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70" firstSheet="4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er-Rep Detail" sheetId="2" state="visible" r:id="rId2"/>
    <sheet xmlns:r="http://schemas.openxmlformats.org/officeDocument/2006/relationships" name="Stage Funnel" sheetId="3" state="visible" r:id="rId3"/>
    <sheet xmlns:r="http://schemas.openxmlformats.org/officeDocument/2006/relationships" name="Pipeline Health" sheetId="4" state="visible" r:id="rId4"/>
    <sheet xmlns:r="http://schemas.openxmlformats.org/officeDocument/2006/relationships" name="Inputs" sheetId="5" state="visible" r:id="rId5"/>
    <sheet xmlns:r="http://schemas.openxmlformats.org/officeDocument/2006/relationships" name="Madine- Coverage" sheetId="6" state="visible" r:id="rId6"/>
    <sheet xmlns:r="http://schemas.openxmlformats.org/officeDocument/2006/relationships" name="Madine- Conversion" sheetId="7" state="visible" r:id="rId7"/>
    <sheet xmlns:r="http://schemas.openxmlformats.org/officeDocument/2006/relationships" name="Zarrah- Coverage" sheetId="8" state="visible" r:id="rId8"/>
    <sheet xmlns:r="http://schemas.openxmlformats.org/officeDocument/2006/relationships" name="Zarrah-Conversion" sheetId="9" state="visible" r:id="rId9"/>
    <sheet xmlns:r="http://schemas.openxmlformats.org/officeDocument/2006/relationships" name="Home-Coverage" sheetId="10" state="visible" r:id="rId10"/>
    <sheet xmlns:r="http://schemas.openxmlformats.org/officeDocument/2006/relationships" name="Home-Conversion" sheetId="11" state="visible" r:id="rId11"/>
    <sheet xmlns:r="http://schemas.openxmlformats.org/officeDocument/2006/relationships" name="Stage_Lookup" sheetId="12" state="hidden" r:id="rId12"/>
    <sheet xmlns:r="http://schemas.openxmlformats.org/officeDocument/2006/relationships" name="Consolidated Dashboard" sheetId="13" state="visible" r:id="rId13"/>
  </sheets>
  <definedNames>
    <definedName name="Quota">Inputs!$C$5</definedName>
    <definedName name="CovTarget">Inputs!$C$7</definedName>
    <definedName name="GPTarget">Inputs!$C$9</definedName>
    <definedName name="AgeThresh">Inputs!$C$11</definedName>
    <definedName name="RiskThresh">Inputs!$C$13</definedName>
    <definedName name="DashTitle">Inputs!$C$15</definedName>
    <definedName name="DashSub">Inputs!$C$17</definedName>
    <definedName name="RepPrefix1">Inputs!$C$22</definedName>
    <definedName name="RepName1">Inputs!$C$23</definedName>
    <definedName name="RepPrefix2">Inputs!$C$25</definedName>
    <definedName name="RepName2">Inputs!$C$26</definedName>
    <definedName name="RepPrefix3">Inputs!$C$28</definedName>
    <definedName name="RepName3">Inputs!$C$29</definedName>
    <definedName name="RepPrefix4">Inputs!$C$31</definedName>
    <definedName name="RepName4">Inputs!$C$32</definedName>
    <definedName name="RepPrefix5">Inputs!$C$34</definedName>
    <definedName name="RepName5">Inputs!$C$35</definedName>
    <definedName name="RepPrefix6">Inputs!$C$37</definedName>
    <definedName name="RepName6">Inputs!$C$38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dd\-mmm\-yyyy"/>
    <numFmt numFmtId="165" formatCode="0.0%"/>
    <numFmt numFmtId="166" formatCode="&quot;₱&quot;#,##0;-&quot;₱&quot;#,##0;&quot;₱&quot;-;@"/>
    <numFmt numFmtId="167" formatCode="0.0&quot;×&quot;"/>
    <numFmt numFmtId="168" formatCode="0.0&quot;× quota&quot;"/>
    <numFmt numFmtId="169" formatCode="MMM DD"/>
  </numFmts>
  <fonts count="40">
    <font>
      <name val="Calibri"/>
      <charset val="1"/>
      <family val="2"/>
      <color theme="1"/>
      <sz val="11"/>
    </font>
    <font>
      <name val="Arial"/>
      <family val="2"/>
      <b val="1"/>
      <color rgb="FFFFFFFF"/>
      <sz val="13"/>
    </font>
    <font>
      <name val="Arial"/>
      <family val="2"/>
      <i val="1"/>
      <color rgb="FF2E5090"/>
      <sz val="9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666666"/>
      <sz val="9"/>
    </font>
    <font>
      <name val="Arial"/>
      <family val="2"/>
      <sz val="9"/>
    </font>
    <font>
      <name val="Arial"/>
      <family val="2"/>
      <color rgb="FF2E5090"/>
      <sz val="10"/>
    </font>
    <font>
      <name val="Arial"/>
      <family val="2"/>
      <b val="1"/>
      <color rgb="FFFFFFFF"/>
      <sz val="15"/>
    </font>
    <font>
      <name val="Arial"/>
      <family val="2"/>
      <b val="1"/>
      <color rgb="FFFFFFFF"/>
      <sz val="12"/>
    </font>
    <font>
      <name val="Arial"/>
      <family val="2"/>
      <i val="1"/>
      <color rgb="FFFFFFFF"/>
      <sz val="9"/>
    </font>
    <font>
      <name val="Century Gothic"/>
      <family val="1"/>
      <color rgb="FF000000"/>
      <sz val="8"/>
    </font>
    <font>
      <name val="Century Gothic"/>
      <family val="1"/>
      <sz val="8"/>
    </font>
    <font>
      <name val="Century Gothic"/>
      <sz val="8"/>
    </font>
    <font>
      <name val="Century Gothic"/>
      <color rgb="FF000000"/>
      <sz val="8"/>
    </font>
    <font>
      <name val="Century Gothic"/>
      <color rgb="FFFF0000"/>
      <sz val="8"/>
    </font>
    <font>
      <name val="Century Gothic"/>
      <color theme="1"/>
      <sz val="8"/>
    </font>
    <font>
      <name val="Calibri"/>
      <i val="1"/>
      <color rgb="00999999"/>
      <sz val="8"/>
    </font>
    <font>
      <name val="Calibri"/>
      <b val="1"/>
      <color rgb="00FFFFFF"/>
      <sz val="14"/>
    </font>
    <font>
      <name val="Calibri"/>
      <b val="1"/>
      <color rgb="00111827"/>
      <sz val="10"/>
    </font>
    <font>
      <name val="Calibri"/>
      <b val="1"/>
      <color rgb="001E6FBF"/>
      <sz val="11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111827"/>
      <sz val="9"/>
    </font>
    <font>
      <name val="Calibri"/>
      <b val="1"/>
      <color rgb="00FFFFFF"/>
      <sz val="15"/>
    </font>
    <font>
      <name val="Calibri"/>
      <i val="1"/>
      <color rgb="009BB5D4"/>
      <sz val="9"/>
    </font>
    <font>
      <name val="Calibri"/>
      <b val="1"/>
      <color rgb="00FFFFFF"/>
      <sz val="18"/>
    </font>
    <font>
      <name val="Calibri"/>
      <b val="1"/>
      <color rgb="009BB5D4"/>
      <sz val="8"/>
    </font>
    <font>
      <name val="Calibri"/>
      <b val="1"/>
      <color rgb="009BB5D4"/>
      <sz val="9"/>
    </font>
    <font>
      <name val="Calibri"/>
      <b val="1"/>
      <color rgb="00FFFFFF"/>
      <sz val="8"/>
    </font>
    <font>
      <name val="Calibri"/>
      <color rgb="00111827"/>
      <sz val="10"/>
    </font>
    <font>
      <name val="Calibri"/>
      <b val="1"/>
      <color rgb="00111827"/>
      <sz val="9"/>
    </font>
    <font>
      <name val="Calibri"/>
      <color rgb="006B7280"/>
      <sz val="7"/>
    </font>
    <font>
      <name val="Calibri"/>
      <b val="1"/>
      <color rgb="00FFFFFF"/>
      <sz val="9"/>
    </font>
    <font>
      <name val="Calibri"/>
      <b val="1"/>
      <color rgb="009BB5D4"/>
      <sz val="7"/>
    </font>
    <font>
      <name val="Calibri"/>
      <i val="1"/>
      <color rgb="009BB5D4"/>
      <sz val="8"/>
    </font>
    <font>
      <name val="Calibri"/>
      <b val="1"/>
      <color rgb="00111827"/>
      <sz val="11"/>
    </font>
  </fonts>
  <fills count="19">
    <fill>
      <patternFill/>
    </fill>
    <fill>
      <patternFill patternType="gray125"/>
    </fill>
    <fill>
      <patternFill patternType="solid">
        <fgColor rgb="FF1F3864"/>
        <bgColor rgb="FF1A3A5C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243F60"/>
        <bgColor rgb="FF1F3864"/>
      </patternFill>
    </fill>
    <fill>
      <patternFill patternType="solid">
        <fgColor rgb="FF0D1F3C"/>
        <bgColor rgb="FF1A3A5C"/>
      </patternFill>
    </fill>
    <fill>
      <patternFill patternType="solid">
        <fgColor rgb="FF1A3A5C"/>
        <bgColor rgb="FF1F3864"/>
      </patternFill>
    </fill>
    <fill>
      <patternFill patternType="solid">
        <fgColor rgb="FF2E6DA4"/>
        <bgColor rgb="FF2E5090"/>
      </patternFill>
    </fill>
    <fill>
      <patternFill patternType="solid">
        <fgColor rgb="FF2E5090"/>
        <bgColor rgb="FF243F60"/>
      </patternFill>
    </fill>
    <fill>
      <patternFill patternType="solid">
        <fgColor rgb="FFFFFFFF"/>
        <bgColor rgb="FF000000"/>
      </patternFill>
    </fill>
    <fill>
      <patternFill patternType="solid">
        <fgColor rgb="FFD3D3D3"/>
        <bgColor rgb="FFD3D3D3"/>
      </patternFill>
    </fill>
    <fill>
      <patternFill patternType="solid">
        <fgColor rgb="001A2B4A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0F1F38"/>
      </patternFill>
    </fill>
    <fill>
      <patternFill patternType="solid">
        <fgColor rgb="002C4A72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194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4" fontId="4" fillId="4" borderId="1" applyAlignment="1" pivotButton="0" quotePrefix="0" xfId="0">
      <alignment horizontal="right" vertical="center" wrapText="1"/>
    </xf>
    <xf numFmtId="3" fontId="4" fillId="4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center" vertical="center" wrapText="1"/>
    </xf>
    <xf numFmtId="9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 wrapText="1"/>
    </xf>
    <xf numFmtId="3" fontId="4" fillId="3" borderId="1" applyAlignment="1" pivotButton="0" quotePrefix="0" xfId="0">
      <alignment horizontal="right" vertical="center" wrapText="1"/>
    </xf>
    <xf numFmtId="164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0" fillId="2" borderId="1" pivotButton="0" quotePrefix="0" xfId="0"/>
    <xf numFmtId="4" fontId="6" fillId="2" borderId="1" applyAlignment="1" pivotButton="0" quotePrefix="0" xfId="0">
      <alignment horizontal="right" vertical="center"/>
    </xf>
    <xf numFmtId="3" fontId="6" fillId="2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4" fontId="6" fillId="7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0" fontId="0" fillId="0" borderId="2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1" fillId="5" borderId="2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9" fontId="4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4" fontId="3" fillId="4" borderId="1" applyAlignment="1" pivotButton="0" quotePrefix="0" xfId="0">
      <alignment horizontal="right" vertical="center" wrapText="1"/>
    </xf>
    <xf numFmtId="3" fontId="3" fillId="4" borderId="1" applyAlignment="1" pivotButton="0" quotePrefix="0" xfId="0">
      <alignment horizontal="right" vertical="center" wrapText="1"/>
    </xf>
    <xf numFmtId="164" fontId="3" fillId="4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9" fontId="8" fillId="0" borderId="0" applyProtection="1" pivotButton="0" quotePrefix="0" xfId="0">
      <protection locked="0" hidden="0"/>
    </xf>
    <xf numFmtId="0" fontId="3" fillId="4" borderId="1" applyAlignment="1" applyProtection="1" pivotButton="0" quotePrefix="0" xfId="0">
      <alignment horizontal="center" vertical="center" wrapText="1"/>
      <protection locked="0" hidden="0"/>
    </xf>
    <xf numFmtId="0" fontId="3" fillId="4" borderId="1" applyAlignment="1" applyProtection="1" pivotButton="0" quotePrefix="0" xfId="0">
      <alignment horizontal="left" vertical="center" wrapText="1"/>
      <protection locked="0" hidden="0"/>
    </xf>
    <xf numFmtId="4" fontId="3" fillId="4" borderId="1" applyAlignment="1" applyProtection="1" pivotButton="0" quotePrefix="0" xfId="0">
      <alignment horizontal="right" vertical="center" wrapText="1"/>
      <protection locked="0" hidden="0"/>
    </xf>
    <xf numFmtId="0" fontId="5" fillId="5" borderId="1" applyAlignment="1" applyProtection="1" pivotButton="0" quotePrefix="0" xfId="0">
      <alignment horizontal="center" vertical="center" wrapText="1"/>
      <protection locked="0" hidden="0"/>
    </xf>
    <xf numFmtId="3" fontId="3" fillId="4" borderId="1" applyAlignment="1" applyProtection="1" pivotButton="0" quotePrefix="0" xfId="0">
      <alignment horizontal="right" vertical="center" wrapText="1"/>
      <protection locked="0" hidden="0"/>
    </xf>
    <xf numFmtId="164" fontId="3" fillId="4" borderId="1" applyAlignment="1" applyProtection="1" pivotButton="0" quotePrefix="0" xfId="0">
      <alignment horizontal="center" vertical="center" wrapText="1"/>
      <protection locked="0" hidden="0"/>
    </xf>
    <xf numFmtId="9" fontId="5" fillId="5" borderId="1" applyAlignment="1" applyProtection="1" pivotButton="0" quotePrefix="0" xfId="0">
      <alignment horizontal="center" vertical="center" wrapText="1"/>
      <protection locked="0" hidden="0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left" vertical="center" wrapText="1"/>
      <protection locked="0" hidden="0"/>
    </xf>
    <xf numFmtId="4" fontId="4" fillId="3" borderId="1" applyAlignment="1" applyProtection="1" pivotButton="0" quotePrefix="0" xfId="0">
      <alignment horizontal="right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9" fontId="9" fillId="3" borderId="1" applyAlignment="1" applyProtection="1" pivotButton="0" quotePrefix="0" xfId="0">
      <alignment horizontal="center" vertical="center"/>
      <protection locked="0" hidden="0"/>
    </xf>
    <xf numFmtId="9" fontId="9" fillId="11" borderId="1" applyAlignment="1" pivotButton="0" quotePrefix="0" xfId="0">
      <alignment horizontal="center" vertical="center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4" fontId="4" fillId="4" borderId="1" applyAlignment="1" applyProtection="1" pivotButton="0" quotePrefix="0" xfId="0">
      <alignment horizontal="right" vertical="center" wrapText="1"/>
      <protection locked="0" hidden="0"/>
    </xf>
    <xf numFmtId="164" fontId="4" fillId="4" borderId="1" applyAlignment="1" applyProtection="1" pivotButton="0" quotePrefix="0" xfId="0">
      <alignment horizontal="center" vertical="center" wrapText="1"/>
      <protection locked="0" hidden="0"/>
    </xf>
    <xf numFmtId="9" fontId="9" fillId="4" borderId="1" applyAlignment="1" applyProtection="1" pivotButton="0" quotePrefix="0" xfId="0">
      <alignment horizontal="center" vertical="center"/>
      <protection locked="0" hidden="0"/>
    </xf>
    <xf numFmtId="3" fontId="4" fillId="3" borderId="1" applyAlignment="1" applyProtection="1" pivotButton="0" quotePrefix="0" xfId="0">
      <alignment horizontal="right" vertical="center" wrapText="1"/>
      <protection locked="0" hidden="0"/>
    </xf>
    <xf numFmtId="3" fontId="4" fillId="4" borderId="1" applyAlignment="1" applyProtection="1" pivotButton="0" quotePrefix="0" xfId="0">
      <alignment horizontal="right" vertical="center" wrapText="1"/>
      <protection locked="0" hidden="0"/>
    </xf>
    <xf numFmtId="0" fontId="6" fillId="5" borderId="1" applyAlignment="1" applyProtection="1" pivotButton="0" quotePrefix="0" xfId="0">
      <alignment horizontal="right" vertical="center"/>
      <protection locked="0" hidden="0"/>
    </xf>
    <xf numFmtId="0" fontId="0" fillId="5" borderId="1" applyProtection="1" pivotButton="0" quotePrefix="0" xfId="0">
      <protection locked="0" hidden="0"/>
    </xf>
    <xf numFmtId="0" fontId="5" fillId="5" borderId="1" applyAlignment="1" applyProtection="1" pivotButton="0" quotePrefix="0" xfId="0">
      <alignment horizontal="right" vertical="center"/>
      <protection locked="0" hidden="0"/>
    </xf>
    <xf numFmtId="0" fontId="6" fillId="5" borderId="1" applyAlignment="1" applyProtection="1" pivotButton="0" quotePrefix="0" xfId="0">
      <alignment horizontal="center" vertical="center"/>
      <protection locked="0" hidden="0"/>
    </xf>
    <xf numFmtId="4" fontId="6" fillId="2" borderId="1" applyAlignment="1" applyProtection="1" pivotButton="0" quotePrefix="0" xfId="0">
      <alignment horizontal="right" vertical="center"/>
      <protection locked="0" hidden="0"/>
    </xf>
    <xf numFmtId="3" fontId="6" fillId="5" borderId="1" applyAlignment="1" applyProtection="1" pivotButton="0" quotePrefix="0" xfId="0">
      <alignment horizontal="right" vertical="center"/>
      <protection locked="0" hidden="0"/>
    </xf>
    <xf numFmtId="0" fontId="0" fillId="11" borderId="1" pivotButton="0" quotePrefix="0" xfId="0"/>
    <xf numFmtId="0" fontId="13" fillId="10" borderId="5" applyAlignment="1" applyProtection="1" pivotButton="0" quotePrefix="0" xfId="0">
      <alignment wrapText="1"/>
      <protection locked="0" hidden="0"/>
    </xf>
    <xf numFmtId="0" fontId="14" fillId="10" borderId="5" applyAlignment="1" applyProtection="1" pivotButton="0" quotePrefix="0" xfId="0">
      <alignment wrapText="1"/>
      <protection locked="0" hidden="0"/>
    </xf>
    <xf numFmtId="0" fontId="15" fillId="3" borderId="1" applyAlignment="1" applyProtection="1" pivotButton="0" quotePrefix="0" xfId="0">
      <alignment horizontal="left" vertical="center" wrapText="1"/>
      <protection locked="0" hidden="0"/>
    </xf>
    <xf numFmtId="0" fontId="15" fillId="4" borderId="1" applyAlignment="1" applyProtection="1" pivotButton="0" quotePrefix="0" xfId="0">
      <alignment horizontal="left" vertical="center" wrapText="1"/>
      <protection locked="0" hidden="0"/>
    </xf>
    <xf numFmtId="0" fontId="16" fillId="0" borderId="0" applyProtection="1" pivotButton="0" quotePrefix="0" xfId="0">
      <protection locked="0" hidden="0"/>
    </xf>
    <xf numFmtId="0" fontId="17" fillId="10" borderId="6" applyProtection="1" pivotButton="0" quotePrefix="0" xfId="0">
      <protection locked="0" hidden="0"/>
    </xf>
    <xf numFmtId="0" fontId="16" fillId="10" borderId="7" applyProtection="1" pivotButton="0" quotePrefix="0" xfId="0">
      <protection locked="0" hidden="0"/>
    </xf>
    <xf numFmtId="0" fontId="18" fillId="0" borderId="0" applyProtection="1" pivotButton="0" quotePrefix="0" xfId="0">
      <protection locked="0" hidden="0"/>
    </xf>
    <xf numFmtId="0" fontId="16" fillId="10" borderId="5" applyAlignment="1" applyProtection="1" pivotButton="0" quotePrefix="0" xfId="0">
      <alignment wrapText="1"/>
      <protection locked="0" hidden="0"/>
    </xf>
    <xf numFmtId="3" fontId="0" fillId="0" borderId="0" applyProtection="1" pivotButton="0" quotePrefix="0" xfId="0">
      <protection locked="0" hidden="0"/>
    </xf>
    <xf numFmtId="0" fontId="3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indent="1"/>
    </xf>
    <xf numFmtId="0" fontId="0" fillId="0" borderId="2" pivotButton="0" quotePrefix="0" xfId="0"/>
    <xf numFmtId="0" fontId="6" fillId="8" borderId="2" applyAlignment="1" pivotButton="0" quotePrefix="0" xfId="0">
      <alignment horizontal="left" vertical="center" indent="1"/>
    </xf>
    <xf numFmtId="0" fontId="11" fillId="7" borderId="2" applyAlignment="1" pivotButton="0" quotePrefix="0" xfId="0">
      <alignment horizontal="left" vertical="center" indent="1"/>
    </xf>
    <xf numFmtId="0" fontId="11" fillId="2" borderId="8" applyAlignment="1" pivotButton="0" quotePrefix="0" xfId="0">
      <alignment horizontal="left" vertical="center" wrapText="1" indent="1"/>
    </xf>
    <xf numFmtId="0" fontId="1" fillId="2" borderId="0" applyAlignment="1" pivotButton="0" quotePrefix="0" xfId="0">
      <alignment horizontal="left" vertical="center" indent="1"/>
    </xf>
    <xf numFmtId="0" fontId="1" fillId="5" borderId="0" applyAlignment="1" applyProtection="1" pivotButton="0" quotePrefix="0" xfId="0">
      <alignment horizontal="left" vertical="center" indent="1"/>
      <protection locked="0" hidden="0"/>
    </xf>
    <xf numFmtId="0" fontId="0" fillId="0" borderId="0" applyProtection="1" pivotButton="0" quotePrefix="0" xfId="0">
      <protection locked="0" hidden="0"/>
    </xf>
    <xf numFmtId="0" fontId="2" fillId="3" borderId="0" applyAlignment="1" applyProtection="1" pivotButton="0" quotePrefix="0" xfId="0">
      <alignment horizontal="left" vertical="center" indent="1"/>
      <protection locked="0" hidden="0"/>
    </xf>
    <xf numFmtId="0" fontId="0" fillId="12" borderId="0" pivotButton="0" quotePrefix="0" xfId="0"/>
    <xf numFmtId="0" fontId="27" fillId="12" borderId="0" applyAlignment="1" pivotButton="0" quotePrefix="0" xfId="0">
      <alignment horizontal="left" vertical="center" indent="1"/>
    </xf>
    <xf numFmtId="0" fontId="25" fillId="12" borderId="0" applyAlignment="1" pivotButton="0" quotePrefix="0" xfId="0">
      <alignment horizontal="right" vertical="center" indent="1"/>
    </xf>
    <xf numFmtId="0" fontId="28" fillId="12" borderId="0" applyAlignment="1" pivotButton="0" quotePrefix="0" xfId="0">
      <alignment horizontal="left" vertical="center" indent="1"/>
    </xf>
    <xf numFmtId="0" fontId="28" fillId="12" borderId="0" applyAlignment="1" pivotButton="0" quotePrefix="0" xfId="0">
      <alignment horizontal="right" vertical="center" indent="1"/>
    </xf>
    <xf numFmtId="166" fontId="29" fillId="15" borderId="0" applyAlignment="1" pivotButton="0" quotePrefix="0" xfId="0">
      <alignment horizontal="center" vertical="center" wrapText="1"/>
    </xf>
    <xf numFmtId="0" fontId="0" fillId="15" borderId="0" pivotButton="0" quotePrefix="0" xfId="0"/>
    <xf numFmtId="165" fontId="29" fillId="15" borderId="0" applyAlignment="1" pivotButton="0" quotePrefix="0" xfId="0">
      <alignment horizontal="center" vertical="center" wrapText="1"/>
    </xf>
    <xf numFmtId="3" fontId="29" fillId="15" borderId="0" applyAlignment="1" pivotButton="0" quotePrefix="0" xfId="0">
      <alignment horizontal="center" vertical="center" wrapText="1"/>
    </xf>
    <xf numFmtId="0" fontId="30" fillId="16" borderId="0" applyAlignment="1" pivotButton="0" quotePrefix="0" xfId="0">
      <alignment horizontal="center" vertical="center" wrapText="1"/>
    </xf>
    <xf numFmtId="0" fontId="0" fillId="16" borderId="0" pivotButton="0" quotePrefix="0" xfId="0"/>
    <xf numFmtId="0" fontId="31" fillId="12" borderId="0" applyAlignment="1" pivotButton="0" quotePrefix="0" xfId="0">
      <alignment horizontal="left" vertical="center" indent="1"/>
    </xf>
    <xf numFmtId="0" fontId="32" fillId="16" borderId="0" applyAlignment="1" pivotButton="0" quotePrefix="0" xfId="0">
      <alignment horizontal="center" vertical="center" wrapText="1"/>
    </xf>
    <xf numFmtId="0" fontId="21" fillId="13" borderId="0" applyAlignment="1" pivotButton="0" quotePrefix="0" xfId="0">
      <alignment horizontal="left" vertical="center" indent="1"/>
    </xf>
    <xf numFmtId="166" fontId="33" fillId="13" borderId="0" applyAlignment="1" pivotButton="0" quotePrefix="0" xfId="0">
      <alignment horizontal="right" vertical="center" indent="1"/>
    </xf>
    <xf numFmtId="165" fontId="21" fillId="13" borderId="0" applyAlignment="1" pivotButton="0" quotePrefix="0" xfId="0">
      <alignment horizontal="center" vertical="center" wrapText="1"/>
    </xf>
    <xf numFmtId="0" fontId="34" fillId="13" borderId="0" applyAlignment="1" pivotButton="0" quotePrefix="0" xfId="0">
      <alignment horizontal="left" vertical="center" indent="1"/>
    </xf>
    <xf numFmtId="3" fontId="21" fillId="13" borderId="0" applyAlignment="1" pivotButton="0" quotePrefix="0" xfId="0">
      <alignment horizontal="center" vertical="center" wrapText="1"/>
    </xf>
    <xf numFmtId="167" fontId="22" fillId="13" borderId="0" applyAlignment="1" pivotButton="0" quotePrefix="0" xfId="0">
      <alignment horizontal="center" vertical="center" wrapText="1"/>
    </xf>
    <xf numFmtId="0" fontId="21" fillId="14" borderId="0" applyAlignment="1" pivotButton="0" quotePrefix="0" xfId="0">
      <alignment horizontal="left" vertical="center" indent="1"/>
    </xf>
    <xf numFmtId="166" fontId="33" fillId="14" borderId="0" applyAlignment="1" pivotButton="0" quotePrefix="0" xfId="0">
      <alignment horizontal="right" vertical="center" indent="1"/>
    </xf>
    <xf numFmtId="165" fontId="21" fillId="14" borderId="0" applyAlignment="1" pivotButton="0" quotePrefix="0" xfId="0">
      <alignment horizontal="center" vertical="center" wrapText="1"/>
    </xf>
    <xf numFmtId="0" fontId="34" fillId="14" borderId="0" applyAlignment="1" pivotButton="0" quotePrefix="0" xfId="0">
      <alignment horizontal="left" vertical="center" indent="1"/>
    </xf>
    <xf numFmtId="3" fontId="21" fillId="14" borderId="0" applyAlignment="1" pivotButton="0" quotePrefix="0" xfId="0">
      <alignment horizontal="center" vertical="center" wrapText="1"/>
    </xf>
    <xf numFmtId="0" fontId="35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34" fillId="17" borderId="0" applyAlignment="1" pivotButton="0" quotePrefix="0" xfId="0">
      <alignment horizontal="left" vertical="center" indent="1"/>
    </xf>
    <xf numFmtId="3" fontId="21" fillId="17" borderId="0" applyAlignment="1" pivotButton="0" quotePrefix="0" xfId="0">
      <alignment horizontal="center" vertical="center" wrapText="1"/>
    </xf>
    <xf numFmtId="166" fontId="33" fillId="17" borderId="0" applyAlignment="1" pivotButton="0" quotePrefix="0" xfId="0">
      <alignment horizontal="right" vertical="center" indent="1"/>
    </xf>
    <xf numFmtId="165" fontId="21" fillId="17" borderId="0" applyAlignment="1" pivotButton="0" quotePrefix="0" xfId="0">
      <alignment horizontal="center" vertical="center" wrapText="1"/>
    </xf>
    <xf numFmtId="0" fontId="24" fillId="16" borderId="0" applyAlignment="1" pivotButton="0" quotePrefix="0" xfId="0">
      <alignment horizontal="left" vertical="center" indent="1"/>
    </xf>
    <xf numFmtId="166" fontId="24" fillId="16" borderId="0" applyAlignment="1" pivotButton="0" quotePrefix="0" xfId="0">
      <alignment horizontal="right" vertical="center" indent="1"/>
    </xf>
    <xf numFmtId="165" fontId="24" fillId="16" borderId="0" applyAlignment="1" pivotButton="0" quotePrefix="0" xfId="0">
      <alignment horizontal="center" vertical="center" wrapText="1"/>
    </xf>
    <xf numFmtId="0" fontId="34" fillId="18" borderId="0" applyAlignment="1" pivotButton="0" quotePrefix="0" xfId="0">
      <alignment horizontal="left" vertical="center" indent="1"/>
    </xf>
    <xf numFmtId="3" fontId="21" fillId="18" borderId="0" applyAlignment="1" pivotButton="0" quotePrefix="0" xfId="0">
      <alignment horizontal="center" vertical="center" wrapText="1"/>
    </xf>
    <xf numFmtId="166" fontId="33" fillId="18" borderId="0" applyAlignment="1" pivotButton="0" quotePrefix="0" xfId="0">
      <alignment horizontal="right" vertical="center" indent="1"/>
    </xf>
    <xf numFmtId="165" fontId="21" fillId="18" borderId="0" applyAlignment="1" pivotButton="0" quotePrefix="0" xfId="0">
      <alignment horizontal="center" vertical="center" wrapText="1"/>
    </xf>
    <xf numFmtId="0" fontId="36" fillId="16" borderId="0" applyAlignment="1" pivotButton="0" quotePrefix="0" xfId="0">
      <alignment horizontal="left" vertical="center" indent="1"/>
    </xf>
    <xf numFmtId="3" fontId="24" fillId="16" borderId="0" applyAlignment="1" pivotButton="0" quotePrefix="0" xfId="0">
      <alignment horizontal="center" vertical="center" wrapText="1"/>
    </xf>
    <xf numFmtId="3" fontId="27" fillId="15" borderId="0" applyAlignment="1" pivotButton="0" quotePrefix="0" xfId="0">
      <alignment horizontal="center" vertical="center" wrapText="1"/>
    </xf>
    <xf numFmtId="166" fontId="27" fillId="15" borderId="0" applyAlignment="1" pivotButton="0" quotePrefix="0" xfId="0">
      <alignment horizontal="center" vertical="center" wrapText="1"/>
    </xf>
    <xf numFmtId="165" fontId="27" fillId="15" borderId="0" applyAlignment="1" pivotButton="0" quotePrefix="0" xfId="0">
      <alignment horizontal="center" vertical="center" wrapText="1"/>
    </xf>
    <xf numFmtId="168" fontId="27" fillId="15" borderId="0" applyAlignment="1" pivotButton="0" quotePrefix="0" xfId="0">
      <alignment horizontal="center" vertical="center" wrapText="1"/>
    </xf>
    <xf numFmtId="0" fontId="37" fillId="16" borderId="0" applyAlignment="1" pivotButton="0" quotePrefix="0" xfId="0">
      <alignment horizontal="center" vertical="center" wrapText="1"/>
    </xf>
    <xf numFmtId="0" fontId="32" fillId="16" borderId="0" applyAlignment="1" pivotButton="0" quotePrefix="0" xfId="0">
      <alignment horizontal="left" vertical="center" indent="1"/>
    </xf>
    <xf numFmtId="0" fontId="32" fillId="16" borderId="0" applyAlignment="1" pivotButton="0" quotePrefix="0" xfId="0">
      <alignment horizontal="right" vertical="center" indent="1"/>
    </xf>
    <xf numFmtId="0" fontId="26" fillId="13" borderId="0" applyAlignment="1" pivotButton="0" quotePrefix="0" xfId="0">
      <alignment horizontal="left" vertical="center" indent="1"/>
    </xf>
    <xf numFmtId="0" fontId="26" fillId="13" borderId="0" applyAlignment="1" pivotButton="0" quotePrefix="0" xfId="0">
      <alignment horizontal="center" vertical="center" wrapText="1"/>
    </xf>
    <xf numFmtId="166" fontId="26" fillId="13" borderId="0" applyAlignment="1" pivotButton="0" quotePrefix="0" xfId="0">
      <alignment horizontal="right" vertical="center" indent="1"/>
    </xf>
    <xf numFmtId="169" fontId="26" fillId="13" borderId="0" applyAlignment="1" pivotButton="0" quotePrefix="0" xfId="0">
      <alignment horizontal="center" vertical="center" wrapText="1"/>
    </xf>
    <xf numFmtId="0" fontId="34" fillId="13" borderId="0" applyAlignment="1" pivotButton="0" quotePrefix="0" xfId="0">
      <alignment horizontal="center" vertical="center" wrapText="1"/>
    </xf>
    <xf numFmtId="0" fontId="26" fillId="14" borderId="0" applyAlignment="1" pivotButton="0" quotePrefix="0" xfId="0">
      <alignment horizontal="left" vertical="center" indent="1"/>
    </xf>
    <xf numFmtId="0" fontId="0" fillId="14" borderId="0" pivotButton="0" quotePrefix="0" xfId="0"/>
    <xf numFmtId="0" fontId="26" fillId="14" borderId="0" applyAlignment="1" pivotButton="0" quotePrefix="0" xfId="0">
      <alignment horizontal="center" vertical="center" wrapText="1"/>
    </xf>
    <xf numFmtId="166" fontId="26" fillId="14" borderId="0" applyAlignment="1" pivotButton="0" quotePrefix="0" xfId="0">
      <alignment horizontal="right" vertical="center" indent="1"/>
    </xf>
    <xf numFmtId="169" fontId="26" fillId="14" borderId="0" applyAlignment="1" pivotButton="0" quotePrefix="0" xfId="0">
      <alignment horizontal="center" vertical="center" wrapText="1"/>
    </xf>
    <xf numFmtId="0" fontId="34" fillId="14" borderId="0" applyAlignment="1" pivotButton="0" quotePrefix="0" xfId="0">
      <alignment horizontal="center" vertical="center" wrapText="1"/>
    </xf>
    <xf numFmtId="0" fontId="38" fillId="12" borderId="0" applyAlignment="1" pivotButton="0" quotePrefix="0" xfId="0">
      <alignment horizontal="left" vertical="center" indent="1"/>
    </xf>
    <xf numFmtId="0" fontId="20" fillId="12" borderId="0" applyAlignment="1" pivotButton="0" quotePrefix="0" xfId="0">
      <alignment horizontal="left" vertical="center" indent="1"/>
    </xf>
    <xf numFmtId="0" fontId="39" fillId="14" borderId="0" applyAlignment="1" pivotButton="0" quotePrefix="0" xfId="0">
      <alignment horizontal="left" vertical="center" indent="1"/>
    </xf>
    <xf numFmtId="3" fontId="33" fillId="14" borderId="0" applyAlignment="1" pivotButton="0" quotePrefix="0" xfId="0">
      <alignment horizontal="center" vertical="center" wrapText="1"/>
    </xf>
    <xf numFmtId="0" fontId="39" fillId="13" borderId="0" applyAlignment="1" pivotButton="0" quotePrefix="0" xfId="0">
      <alignment horizontal="left" vertical="center" indent="1"/>
    </xf>
    <xf numFmtId="3" fontId="33" fillId="13" borderId="0" applyAlignment="1" pivotButton="0" quotePrefix="0" xfId="0">
      <alignment horizontal="center" vertical="center" wrapText="1"/>
    </xf>
    <xf numFmtId="0" fontId="25" fillId="16" borderId="0" applyAlignment="1" pivotButton="0" quotePrefix="0" xfId="0">
      <alignment horizontal="left" vertical="center" indent="1"/>
    </xf>
    <xf numFmtId="3" fontId="25" fillId="16" borderId="0" applyAlignment="1" pivotButton="0" quotePrefix="0" xfId="0">
      <alignment horizontal="center" vertical="center" wrapText="1"/>
    </xf>
    <xf numFmtId="165" fontId="25" fillId="16" borderId="0" applyAlignment="1" pivotButton="0" quotePrefix="0" xfId="0">
      <alignment horizontal="center" vertical="center" wrapText="1"/>
    </xf>
    <xf numFmtId="166" fontId="25" fillId="16" borderId="0" applyAlignment="1" pivotButton="0" quotePrefix="0" xfId="0">
      <alignment horizontal="right" vertical="center" indent="1"/>
    </xf>
    <xf numFmtId="0" fontId="36" fillId="16" borderId="0" applyAlignment="1" pivotButton="0" quotePrefix="0" xfId="0">
      <alignment horizontal="center" vertical="center" wrapText="1"/>
    </xf>
    <xf numFmtId="165" fontId="33" fillId="14" borderId="0" applyAlignment="1" pivotButton="0" quotePrefix="0" xfId="0">
      <alignment horizontal="center" vertical="center" wrapText="1"/>
    </xf>
    <xf numFmtId="165" fontId="33" fillId="13" borderId="0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left" vertical="center" indent="1"/>
    </xf>
    <xf numFmtId="165" fontId="33" fillId="17" borderId="0" applyAlignment="1" pivotButton="0" quotePrefix="0" xfId="0">
      <alignment horizontal="center" vertical="center" wrapText="1"/>
    </xf>
    <xf numFmtId="3" fontId="33" fillId="17" borderId="0" applyAlignment="1" pivotButton="0" quotePrefix="0" xfId="0">
      <alignment horizontal="center" vertical="center" wrapText="1"/>
    </xf>
    <xf numFmtId="0" fontId="21" fillId="18" borderId="0" applyAlignment="1" pivotButton="0" quotePrefix="0" xfId="0">
      <alignment horizontal="left" vertical="center" indent="1"/>
    </xf>
    <xf numFmtId="165" fontId="33" fillId="18" borderId="0" applyAlignment="1" pivotButton="0" quotePrefix="0" xfId="0">
      <alignment horizontal="center" vertical="center" wrapText="1"/>
    </xf>
    <xf numFmtId="3" fontId="33" fillId="18" borderId="0" applyAlignment="1" pivotButton="0" quotePrefix="0" xfId="0">
      <alignment horizontal="center" vertical="center" wrapText="1"/>
    </xf>
    <xf numFmtId="166" fontId="22" fillId="14" borderId="0" applyAlignment="1" pivotButton="0" quotePrefix="0" xfId="0">
      <alignment horizontal="right" vertical="center" indent="1"/>
    </xf>
    <xf numFmtId="0" fontId="23" fillId="13" borderId="0" applyAlignment="1" pivotButton="0" quotePrefix="0" xfId="0">
      <alignment horizontal="left" vertical="center" indent="1"/>
    </xf>
    <xf numFmtId="167" fontId="22" fillId="14" borderId="0" applyAlignment="1" pivotButton="0" quotePrefix="0" xfId="0">
      <alignment horizontal="right" vertical="center" indent="1"/>
    </xf>
    <xf numFmtId="165" fontId="22" fillId="14" borderId="0" applyAlignment="1" pivotButton="0" quotePrefix="0" xfId="0">
      <alignment horizontal="right" vertical="center" indent="1"/>
    </xf>
    <xf numFmtId="3" fontId="22" fillId="14" borderId="0" applyAlignment="1" pivotButton="0" quotePrefix="0" xfId="0">
      <alignment horizontal="right" vertical="center" indent="1"/>
    </xf>
    <xf numFmtId="49" fontId="22" fillId="14" borderId="0" applyAlignment="1" pivotButton="0" quotePrefix="0" xfId="0">
      <alignment horizontal="right" vertical="center" indent="1"/>
    </xf>
    <xf numFmtId="0" fontId="24" fillId="12" borderId="0" applyAlignment="1" pivotButton="0" quotePrefix="0" xfId="0">
      <alignment horizontal="left" vertical="center" indent="1"/>
    </xf>
    <xf numFmtId="0" fontId="25" fillId="12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0" fillId="0" borderId="8" pivotButton="0" quotePrefix="0" xfId="0"/>
  </cellXfs>
  <cellStyles count="1">
    <cellStyle name="Normal" xfId="0" builtinId="0"/>
  </cellStyles>
  <dxfs count="11">
    <dxf>
      <fill>
        <patternFill patternType="solid">
          <fgColor rgb="FFD3D3D3"/>
          <bgColor rgb="FFD3D3D3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C6EFCE"/>
          <bgColor rgb="FFC6EFCE"/>
        </patternFill>
      </fill>
    </dxf>
    <dxf>
      <font>
        <name val="Calibri"/>
        <b val="1"/>
        <color rgb="00991B1B"/>
        <sz val="10"/>
      </font>
      <fill>
        <patternFill patternType="solid">
          <fgColor rgb="00FEE2E2"/>
        </patternFill>
      </fill>
    </dxf>
    <dxf>
      <font>
        <name val="Calibri"/>
        <b val="1"/>
        <color rgb="00991B1B"/>
        <sz val="9"/>
      </font>
      <fill>
        <patternFill patternType="solid">
          <fgColor rgb="00FEE2E2"/>
        </patternFill>
      </fill>
    </dxf>
    <dxf>
      <font>
        <name val="Calibri"/>
        <b val="1"/>
        <color rgb="00166534"/>
        <sz val="9"/>
      </font>
      <fill>
        <patternFill patternType="solid">
          <fgColor rgb="00DCFCE7"/>
        </patternFill>
      </fill>
    </dxf>
    <dxf>
      <font>
        <name val="Calibri"/>
        <color rgb="00374151"/>
        <sz val="9"/>
      </font>
      <fill>
        <patternFill patternType="solid">
          <fgColor rgb="00E5E7EB"/>
        </patternFill>
      </fill>
    </dxf>
    <dxf>
      <font>
        <name val="Calibri"/>
        <b val="1"/>
        <color rgb="0092400E"/>
        <sz val="9"/>
      </font>
      <fill>
        <patternFill patternType="solid">
          <fgColor rgb="00FEF3C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5090"/>
      <rgbColor rgb="FF33CCCC"/>
      <rgbColor rgb="FF99CC00"/>
      <rgbColor rgb="FFFFCC00"/>
      <rgbColor rgb="FFFF9900"/>
      <rgbColor rgb="FFFF6600"/>
      <rgbColor rgb="FF666666"/>
      <rgbColor rgb="FFAAAAAA"/>
      <rgbColor rgb="FF1A3A5C"/>
      <rgbColor rgb="FF339966"/>
      <rgbColor rgb="FF0D1F3C"/>
      <rgbColor rgb="FF333300"/>
      <rgbColor rgb="FF993300"/>
      <rgbColor rgb="FF993366"/>
      <rgbColor rgb="FF1F3864"/>
      <rgbColor rgb="FF243F6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TCV by Rep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'Per-Rep Detail'!H4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'Per-Rep Detail'!$B$5:$B$10</f>
            </numRef>
          </cat>
          <val>
            <numRef>
              <f>'Per-Rep Detail'!$H$5:$H$10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Weighted Pipeline by Rep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'Per-Rep Detail'!K4</f>
            </strRef>
          </tx>
          <spPr>
            <a:ln xmlns:a="http://schemas.openxmlformats.org/drawingml/2006/main">
              <a:prstDash val="solid"/>
            </a:ln>
          </spPr>
          <cat>
            <numRef>
              <f>'Per-Rep Detail'!$B$5:$B$10</f>
            </numRef>
          </cat>
          <val>
            <numRef>
              <f>'Per-Rep Detail'!$K$5:$K$10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Opps Count by Stage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'Stage Funnel'!J4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'Stage Funnel'!$B$5:$B$11</f>
            </numRef>
          </cat>
          <val>
            <numRef>
              <f>'Stage Funnel'!$J$5:$J$11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TCV Distribution by Stage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'Stage Funnel'!$B$5:$B$10</f>
            </numRef>
          </cat>
          <val>
            <numRef>
              <f>'Stage Funnel'!$K$5:$K$10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39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2" customWidth="1" style="96" min="1" max="1"/>
    <col width="14" customWidth="1" style="96" min="2" max="2"/>
    <col width="17" customWidth="1" style="96" min="3" max="3"/>
    <col width="17" customWidth="1" style="96" min="4" max="4"/>
    <col width="11" customWidth="1" style="96" min="5" max="5"/>
    <col width="17" customWidth="1" style="96" min="6" max="6"/>
    <col width="2.5" customWidth="1" style="96" min="7" max="7"/>
    <col width="19" customWidth="1" style="96" min="8" max="8"/>
    <col width="8" customWidth="1" style="96" min="9" max="9"/>
    <col width="17" customWidth="1" style="96" min="10" max="10"/>
    <col width="17" customWidth="1" style="96" min="11" max="11"/>
    <col width="9" customWidth="1" style="96" min="12" max="12"/>
    <col width="2.5" customWidth="1" style="96" min="13" max="13"/>
    <col width="14" customWidth="1" style="96" min="14" max="14"/>
  </cols>
  <sheetData>
    <row r="1" ht="6" customHeight="1" s="96">
      <c r="A1" s="108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</row>
    <row r="2" ht="28" customHeight="1" s="96">
      <c r="A2" s="108" t="n"/>
      <c r="B2" s="109">
        <f>DashTitle</f>
        <v/>
      </c>
      <c r="H2" s="110">
        <f>UPPER(TEXT(TODAY(),"DDDD, DD MMMM YYYY"))</f>
        <v/>
      </c>
    </row>
    <row r="3" ht="18" customHeight="1" s="96">
      <c r="A3" s="108" t="n"/>
      <c r="B3" s="111">
        <f>DashSub</f>
        <v/>
      </c>
      <c r="H3" s="112">
        <f>RepName1&amp;"  ·  "&amp;RepName2&amp;"  ·  "&amp;RepName3</f>
        <v/>
      </c>
    </row>
    <row r="4" ht="8" customHeight="1" s="96">
      <c r="A4" s="108" t="n"/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  <c r="N4" s="108" t="n"/>
    </row>
    <row r="5" ht="46" customHeight="1" s="96">
      <c r="A5" s="108" t="n"/>
      <c r="B5" s="113">
        <f>'Per-Rep Detail'!H11</f>
        <v/>
      </c>
      <c r="C5" s="114" t="n"/>
      <c r="D5" s="113">
        <f>'Per-Rep Detail'!I11</f>
        <v/>
      </c>
      <c r="E5" s="114" t="n"/>
      <c r="F5" s="115">
        <f>IFERROR('Per-Rep Detail'!I11/'Per-Rep Detail'!H11,0)</f>
        <v/>
      </c>
      <c r="G5" s="108" t="n"/>
      <c r="H5" s="113">
        <f>'Per-Rep Detail'!K11</f>
        <v/>
      </c>
      <c r="I5" s="114" t="n"/>
      <c r="J5" s="116">
        <f>'Per-Rep Detail'!D11</f>
        <v/>
      </c>
      <c r="K5" s="114" t="n"/>
      <c r="L5" s="115">
        <f>'Per-Rep Detail'!G11</f>
        <v/>
      </c>
      <c r="M5" s="108" t="n"/>
      <c r="N5" s="114" t="n"/>
    </row>
    <row r="6" ht="18" customHeight="1" s="96">
      <c r="A6" s="108" t="n"/>
      <c r="B6" s="117" t="inlineStr">
        <is>
          <t>TOTAL TCV</t>
        </is>
      </c>
      <c r="C6" s="118" t="n"/>
      <c r="D6" s="117" t="inlineStr">
        <is>
          <t>TOTAL GP</t>
        </is>
      </c>
      <c r="E6" s="118" t="n"/>
      <c r="F6" s="117" t="inlineStr">
        <is>
          <t>GP MARGIN</t>
        </is>
      </c>
      <c r="G6" s="108" t="n"/>
      <c r="H6" s="117" t="inlineStr">
        <is>
          <t>WEIGHTED PIPE</t>
        </is>
      </c>
      <c r="I6" s="118" t="n"/>
      <c r="J6" s="117" t="inlineStr">
        <is>
          <t>ACTIVE OPPS</t>
        </is>
      </c>
      <c r="K6" s="118" t="n"/>
      <c r="L6" s="117" t="inlineStr">
        <is>
          <t>WIN RATE</t>
        </is>
      </c>
      <c r="M6" s="108" t="n"/>
      <c r="N6" s="118" t="n"/>
    </row>
    <row r="7" ht="8" customHeight="1" s="96">
      <c r="A7" s="108" t="n"/>
      <c r="B7" s="108" t="n"/>
      <c r="C7" s="108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8" t="n"/>
      <c r="M7" s="108" t="n"/>
      <c r="N7" s="108" t="n"/>
    </row>
    <row r="8" ht="18" customHeight="1" s="96">
      <c r="A8" s="108" t="n"/>
      <c r="B8" s="119" t="inlineStr">
        <is>
          <t>REP LEADERBOARD</t>
        </is>
      </c>
      <c r="C8" s="108" t="n"/>
      <c r="D8" s="108" t="n"/>
      <c r="E8" s="108" t="n"/>
      <c r="F8" s="108" t="n"/>
      <c r="G8" s="108" t="n"/>
      <c r="H8" s="119" t="inlineStr">
        <is>
          <t>STAGE BREAKDOWN</t>
        </is>
      </c>
      <c r="I8" s="108" t="n"/>
      <c r="J8" s="108" t="n"/>
      <c r="K8" s="108" t="n"/>
      <c r="L8" s="108" t="n"/>
      <c r="M8" s="108" t="n"/>
      <c r="N8" s="108" t="n"/>
    </row>
    <row r="9" ht="22" customHeight="1" s="96">
      <c r="A9" s="108" t="n"/>
      <c r="B9" s="120" t="inlineStr">
        <is>
          <t>REP</t>
        </is>
      </c>
      <c r="C9" s="120" t="inlineStr">
        <is>
          <t>TCV</t>
        </is>
      </c>
      <c r="D9" s="120" t="inlineStr">
        <is>
          <t>GP</t>
        </is>
      </c>
      <c r="E9" s="120" t="inlineStr">
        <is>
          <t>GP%</t>
        </is>
      </c>
      <c r="F9" s="120" t="inlineStr">
        <is>
          <t>WTD PIPE</t>
        </is>
      </c>
      <c r="G9" s="108" t="n"/>
      <c r="H9" s="120" t="inlineStr">
        <is>
          <t>STAGE</t>
        </is>
      </c>
      <c r="I9" s="120" t="inlineStr">
        <is>
          <t>OPPS</t>
        </is>
      </c>
      <c r="J9" s="120" t="inlineStr">
        <is>
          <t>TCV</t>
        </is>
      </c>
      <c r="K9" s="120" t="inlineStr">
        <is>
          <t>WTD</t>
        </is>
      </c>
      <c r="L9" s="120" t="inlineStr">
        <is>
          <t>PROB</t>
        </is>
      </c>
      <c r="M9" s="108" t="n"/>
      <c r="N9" s="120" t="inlineStr">
        <is>
          <t>Δ vs Quota</t>
        </is>
      </c>
    </row>
    <row r="10" ht="22" customHeight="1" s="96">
      <c r="A10" s="108" t="n"/>
      <c r="B10" s="121">
        <f>RepName3</f>
        <v/>
      </c>
      <c r="C10" s="122">
        <f>(SUMIFS('Home-Conversion'!H4:H202,'Home-Conversion'!G4:G202,"&lt;&gt;Closed Lost",'Home-Conversion'!G4:G202,"&lt;&gt;"))</f>
        <v/>
      </c>
      <c r="D10" s="122">
        <f>(SUMIFS('Home-Conversion'!I4:I202,'Home-Conversion'!G4:G202,"&lt;&gt;Closed Lost",'Home-Conversion'!G4:G202,"&lt;&gt;"))</f>
        <v/>
      </c>
      <c r="E10" s="123">
        <f>IFERROR((SUMIFS('Home-Conversion'!I4:I202,'Home-Conversion'!G4:G202,"&lt;&gt;Closed Lost",'Home-Conversion'!G4:G202,"&lt;&gt;"))/(SUMIFS('Home-Conversion'!H4:H202,'Home-Conversion'!G4:G202,"&lt;&gt;Closed Lost",'Home-Conversion'!G4:G202,"&lt;&gt;")),0)</f>
        <v/>
      </c>
      <c r="F10" s="122">
        <f>((SUMIFS('Home-Conversion'!H4:H202,'Home-Conversion'!G4:G202,"Opportunity Creation")*0.1+SUMIFS('Home-Conversion'!H4:H202,'Home-Conversion'!G4:G202,"Scoping")*0.3+SUMIFS('Home-Conversion'!H4:H202,'Home-Conversion'!G4:G202,"BOM Submission")*0.5+SUMIFS('Home-Conversion'!H4:H202,'Home-Conversion'!G4:G202,"Resubmission")*0.7+SUMIFS('Home-Conversion'!H4:H202,'Home-Conversion'!G4:G202,"Negotiation")*0.9))</f>
        <v/>
      </c>
      <c r="G10" s="108" t="n"/>
      <c r="H10" s="124" t="inlineStr">
        <is>
          <t>Opportunity Creation</t>
        </is>
      </c>
      <c r="I10" s="125">
        <f>COUNTIF('Madine- Conversion'!G4:G202,"Opportunity Creation")+COUNTIF('Zarrah-Conversion'!G3:G201,"Opportunity Creation")+COUNTIF('Home-Conversion'!G4:G202,"Opportunity Creation")+IF(RepPrefix4="",0,IFERROR(COUNTIF(INDIRECT("'"&amp;RepPrefix4&amp;"- Conversion'!G4:G202"),"Opportunity Creation"),0))+IF(RepPrefix5="",0,IFERROR(COUNTIF(INDIRECT("'"&amp;RepPrefix5&amp;"- Conversion'!G4:G202"),"Opportunity Creation"),0))+IF(RepPrefix6="",0,IFERROR(COUNTIF(INDIRECT("'"&amp;RepPrefix6&amp;"- Conversion'!G4:G202"),"Opportunity Creation"),0))</f>
        <v/>
      </c>
      <c r="J10" s="122">
        <f>SUMIFS('Madine- Conversion'!H4:H202,'Madine- Conversion'!G4:G202,"Opportunity Creation")+SUMIFS('Zarrah-Conversion'!H3:H201,'Zarrah-Conversion'!G3:G201,"Opportunity Creation")+SUMIFS('Home-Conversion'!H4:H202,'Home-Conversion'!G4:G202,"Opportunity Creation")+IF(RepPrefix4="",0,IFERROR(SUMIFS(INDIRECT("'"&amp;RepPrefix4&amp;"- Conversion'!H4:H202"),INDIRECT("'"&amp;RepPrefix4&amp;"- Conversion'!G4:G202"),"Opportunity Creation"),0))+IF(RepPrefix5="",0,IFERROR(SUMIFS(INDIRECT("'"&amp;RepPrefix5&amp;"- Conversion'!H4:H202"),INDIRECT("'"&amp;RepPrefix5&amp;"- Conversion'!G4:G202"),"Opportunity Creation"),0))+IF(RepPrefix6="",0,IFERROR(SUMIFS(INDIRECT("'"&amp;RepPrefix6&amp;"- Conversion'!H4:H202"),INDIRECT("'"&amp;RepPrefix6&amp;"- Conversion'!G4:G202"),"Opportunity Creation"),0))</f>
        <v/>
      </c>
      <c r="K10" s="122">
        <f>J10*0.1</f>
        <v/>
      </c>
      <c r="L10" s="123" t="n">
        <v>0.1</v>
      </c>
      <c r="M10" s="108" t="n"/>
      <c r="N10" s="126">
        <f>IFERROR(F16/Quota,0)</f>
        <v/>
      </c>
    </row>
    <row r="11" ht="22" customHeight="1" s="96">
      <c r="A11" s="108" t="n"/>
      <c r="B11" s="127">
        <f>RepName2</f>
        <v/>
      </c>
      <c r="C11" s="128">
        <f>(SUMIFS('Zarrah-Conversion'!H3:H201,'Zarrah-Conversion'!G3:G201,"&lt;&gt;Closed Lost",'Zarrah-Conversion'!G3:G201,"&lt;&gt;"))</f>
        <v/>
      </c>
      <c r="D11" s="128">
        <f>(SUMIFS('Zarrah-Conversion'!I3:I201,'Zarrah-Conversion'!G3:G201,"&lt;&gt;Closed Lost",'Zarrah-Conversion'!G3:G201,"&lt;&gt;"))</f>
        <v/>
      </c>
      <c r="E11" s="129">
        <f>IFERROR((SUMIFS('Zarrah-Conversion'!I3:I201,'Zarrah-Conversion'!G3:G201,"&lt;&gt;Closed Lost",'Zarrah-Conversion'!G3:G201,"&lt;&gt;"))/(SUMIFS('Zarrah-Conversion'!H3:H201,'Zarrah-Conversion'!G3:G201,"&lt;&gt;Closed Lost",'Zarrah-Conversion'!G3:G201,"&lt;&gt;")),0)</f>
        <v/>
      </c>
      <c r="F11" s="128">
        <f>((SUMIFS('Zarrah-Conversion'!H3:H201,'Zarrah-Conversion'!G3:G201,"Opportunity Creation")*0.1+SUMIFS('Zarrah-Conversion'!H3:H201,'Zarrah-Conversion'!G3:G201,"Scoping")*0.3+SUMIFS('Zarrah-Conversion'!H3:H201,'Zarrah-Conversion'!G3:G201,"BOM Submission")*0.5+SUMIFS('Zarrah-Conversion'!H3:H201,'Zarrah-Conversion'!G3:G201,"Resubmission")*0.7+SUMIFS('Zarrah-Conversion'!H3:H201,'Zarrah-Conversion'!G3:G201,"Negotiation")*0.9))</f>
        <v/>
      </c>
      <c r="G11" s="108" t="n"/>
      <c r="H11" s="130" t="inlineStr">
        <is>
          <t>Scoping</t>
        </is>
      </c>
      <c r="I11" s="131">
        <f>COUNTIF('Madine- Conversion'!G4:G202,"Scoping")+COUNTIF('Zarrah-Conversion'!G3:G201,"Scoping")+COUNTIF('Home-Conversion'!G4:G202,"Scoping")+IF(RepPrefix4="",0,IFERROR(COUNTIF(INDIRECT("'"&amp;RepPrefix4&amp;"- Conversion'!G4:G202"),"Scoping"),0))+IF(RepPrefix5="",0,IFERROR(COUNTIF(INDIRECT("'"&amp;RepPrefix5&amp;"- Conversion'!G4:G202"),"Scoping"),0))+IF(RepPrefix6="",0,IFERROR(COUNTIF(INDIRECT("'"&amp;RepPrefix6&amp;"- Conversion'!G4:G202"),"Scoping"),0))</f>
        <v/>
      </c>
      <c r="J11" s="128">
        <f>SUMIFS('Madine- Conversion'!H4:H202,'Madine- Conversion'!G4:G202,"Scoping")+SUMIFS('Zarrah-Conversion'!H3:H201,'Zarrah-Conversion'!G3:G201,"Scoping")+SUMIFS('Home-Conversion'!H4:H202,'Home-Conversion'!G4:G202,"Scoping")+IF(RepPrefix4="",0,IFERROR(SUMIFS(INDIRECT("'"&amp;RepPrefix4&amp;"- Conversion'!H4:H202"),INDIRECT("'"&amp;RepPrefix4&amp;"- Conversion'!G4:G202"),"Scoping"),0))+IF(RepPrefix5="",0,IFERROR(SUMIFS(INDIRECT("'"&amp;RepPrefix5&amp;"- Conversion'!H4:H202"),INDIRECT("'"&amp;RepPrefix5&amp;"- Conversion'!G4:G202"),"Scoping"),0))+IF(RepPrefix6="",0,IFERROR(SUMIFS(INDIRECT("'"&amp;RepPrefix6&amp;"- Conversion'!H4:H202"),INDIRECT("'"&amp;RepPrefix6&amp;"- Conversion'!G4:G202"),"Scoping"),0))</f>
        <v/>
      </c>
      <c r="K11" s="128">
        <f>J11*0.3</f>
        <v/>
      </c>
      <c r="L11" s="129" t="n">
        <v>0.3</v>
      </c>
      <c r="M11" s="108" t="n"/>
      <c r="N11" s="132" t="inlineStr">
        <is>
          <t>Pipe÷Quota</t>
        </is>
      </c>
    </row>
    <row r="12" ht="22" customHeight="1" s="96">
      <c r="A12" s="108" t="n"/>
      <c r="B12" s="121">
        <f>RepName1</f>
        <v/>
      </c>
      <c r="C12" s="122">
        <f>(SUMIFS('Madine- Conversion'!H4:H202,'Madine- Conversion'!G4:G202,"&lt;&gt;Closed Lost",'Madine- Conversion'!G4:G202,"&lt;&gt;"))</f>
        <v/>
      </c>
      <c r="D12" s="122">
        <f>(SUMIFS('Madine- Conversion'!I4:I202,'Madine- Conversion'!G4:G202,"&lt;&gt;Closed Lost",'Madine- Conversion'!G4:G202,"&lt;&gt;"))</f>
        <v/>
      </c>
      <c r="E12" s="123">
        <f>IFERROR((SUMIFS('Madine- Conversion'!I4:I202,'Madine- Conversion'!G4:G202,"&lt;&gt;Closed Lost",'Madine- Conversion'!G4:G202,"&lt;&gt;"))/(SUMIFS('Madine- Conversion'!H4:H202,'Madine- Conversion'!G4:G202,"&lt;&gt;Closed Lost",'Madine- Conversion'!G4:G202,"&lt;&gt;")),0)</f>
        <v/>
      </c>
      <c r="F12" s="122">
        <f>((SUMIFS('Madine- Conversion'!H4:H202,'Madine- Conversion'!G4:G202,"Opportunity Creation")*0.1+SUMIFS('Madine- Conversion'!H4:H202,'Madine- Conversion'!G4:G202,"Scoping")*0.3+SUMIFS('Madine- Conversion'!H4:H202,'Madine- Conversion'!G4:G202,"BOM Submission")*0.5+SUMIFS('Madine- Conversion'!H4:H202,'Madine- Conversion'!G4:G202,"Resubmission")*0.7+SUMIFS('Madine- Conversion'!H4:H202,'Madine- Conversion'!G4:G202,"Negotiation")*0.9))</f>
        <v/>
      </c>
      <c r="G12" s="108" t="n"/>
      <c r="H12" s="124" t="inlineStr">
        <is>
          <t>BOM Submission</t>
        </is>
      </c>
      <c r="I12" s="125">
        <f>COUNTIF('Madine- Conversion'!G4:G202,"BOM Submission")+COUNTIF('Zarrah-Conversion'!G3:G201,"BOM Submission")+COUNTIF('Home-Conversion'!G4:G202,"BOM Submission")+IF(RepPrefix4="",0,IFERROR(COUNTIF(INDIRECT("'"&amp;RepPrefix4&amp;"- Conversion'!G4:G202"),"BOM Submission"),0))+IF(RepPrefix5="",0,IFERROR(COUNTIF(INDIRECT("'"&amp;RepPrefix5&amp;"- Conversion'!G4:G202"),"BOM Submission"),0))+IF(RepPrefix6="",0,IFERROR(COUNTIF(INDIRECT("'"&amp;RepPrefix6&amp;"- Conversion'!G4:G202"),"BOM Submission"),0))</f>
        <v/>
      </c>
      <c r="J12" s="122">
        <f>SUMIFS('Madine- Conversion'!H4:H202,'Madine- Conversion'!G4:G202,"BOM Submission")+SUMIFS('Zarrah-Conversion'!H3:H201,'Zarrah-Conversion'!G3:G201,"BOM Submission")+SUMIFS('Home-Conversion'!H4:H202,'Home-Conversion'!G4:G202,"BOM Submission")+IF(RepPrefix4="",0,IFERROR(SUMIFS(INDIRECT("'"&amp;RepPrefix4&amp;"- Conversion'!H4:H202"),INDIRECT("'"&amp;RepPrefix4&amp;"- Conversion'!G4:G202"),"BOM Submission"),0))+IF(RepPrefix5="",0,IFERROR(SUMIFS(INDIRECT("'"&amp;RepPrefix5&amp;"- Conversion'!H4:H202"),INDIRECT("'"&amp;RepPrefix5&amp;"- Conversion'!G4:G202"),"BOM Submission"),0))+IF(RepPrefix6="",0,IFERROR(SUMIFS(INDIRECT("'"&amp;RepPrefix6&amp;"- Conversion'!H4:H202"),INDIRECT("'"&amp;RepPrefix6&amp;"- Conversion'!G4:G202"),"BOM Submission"),0))</f>
        <v/>
      </c>
      <c r="K12" s="122">
        <f>J12*0.5</f>
        <v/>
      </c>
      <c r="L12" s="123" t="n">
        <v>0.5</v>
      </c>
      <c r="M12" s="108" t="n"/>
      <c r="N12" s="133" t="n"/>
    </row>
    <row r="13" ht="22" customHeight="1" s="96">
      <c r="A13" s="108" t="n"/>
      <c r="B13" s="127">
        <f>IF(RepPrefix4="","",RepName4)</f>
        <v/>
      </c>
      <c r="C13" s="128">
        <f>IF(RepPrefix4="","",(IF(RepPrefix4="",0,IFERROR(SUMIFS(INDIRECT("'"&amp;RepPrefix4&amp;"- Conversion'!H4:H202"),INDIRECT("'"&amp;RepPrefix4&amp;"- Conversion'!G4:G202"),"&lt;&gt;Closed Lost",INDIRECT("'"&amp;RepPrefix4&amp;"- Conversion'!G4:G202"),"&lt;&gt;"),0))))</f>
        <v/>
      </c>
      <c r="D13" s="128">
        <f>IF(RepPrefix4="","",(IF(RepPrefix4="",0,IFERROR(SUMIFS(INDIRECT("'"&amp;RepPrefix4&amp;"- Conversion'!I4:I202"),INDIRECT("'"&amp;RepPrefix4&amp;"- Conversion'!G4:G202"),"&lt;&gt;Closed Lost",INDIRECT("'"&amp;RepPrefix4&amp;"- Conversion'!G4:G202"),"&lt;&gt;"),0))))</f>
        <v/>
      </c>
      <c r="E13" s="129">
        <f>IF(RepPrefix4="","",IFERROR((IF(RepPrefix4="",0,IFERROR(SUMIFS(INDIRECT("'"&amp;RepPrefix4&amp;"- Conversion'!I4:I202"),INDIRECT("'"&amp;RepPrefix4&amp;"- Conversion'!G4:G202"),"&lt;&gt;Closed Lost",INDIRECT("'"&amp;RepPrefix4&amp;"- Conversion'!G4:G202"),"&lt;&gt;"),0)))/(IF(RepPrefix4="",0,IFERROR(SUMIFS(INDIRECT("'"&amp;RepPrefix4&amp;"- Conversion'!H4:H202"),INDIRECT("'"&amp;RepPrefix4&amp;"- Conversion'!G4:G202"),"&lt;&gt;Closed Lost",INDIRECT("'"&amp;RepPrefix4&amp;"- Conversion'!G4:G202"),"&lt;&gt;"),0))),0))</f>
        <v/>
      </c>
      <c r="F13" s="128">
        <f>IF(RepPrefix4="","",((IF(RepPrefix4="",0,IFERROR(SUMIFS(INDIRECT("'"&amp;RepPrefix4&amp;"- Conversion'!H4:H202"),INDIRECT("'"&amp;RepPrefix4&amp;"- Conversion'!G4:G202"),"Opportunity Creation"),0))*0.1+IF(RepPrefix4="",0,IFERROR(SUMIFS(INDIRECT("'"&amp;RepPrefix4&amp;"- Conversion'!H4:H202"),INDIRECT("'"&amp;RepPrefix4&amp;"- Conversion'!G4:G202"),"Scoping"),0))*0.3+IF(RepPrefix4="",0,IFERROR(SUMIFS(INDIRECT("'"&amp;RepPrefix4&amp;"- Conversion'!H4:H202"),INDIRECT("'"&amp;RepPrefix4&amp;"- Conversion'!G4:G202"),"BOM Submission"),0))*0.5+IF(RepPrefix4="",0,IFERROR(SUMIFS(INDIRECT("'"&amp;RepPrefix4&amp;"- Conversion'!H4:H202"),INDIRECT("'"&amp;RepPrefix4&amp;"- Conversion'!G4:G202"),"Resubmission"),0))*0.7+IF(RepPrefix4="",0,IFERROR(SUMIFS(INDIRECT("'"&amp;RepPrefix4&amp;"- Conversion'!H4:H202"),INDIRECT("'"&amp;RepPrefix4&amp;"- Conversion'!G4:G202"),"Negotiation"),0))*0.9)))</f>
        <v/>
      </c>
      <c r="G13" s="108" t="n"/>
      <c r="H13" s="130" t="inlineStr">
        <is>
          <t>Resubmission</t>
        </is>
      </c>
      <c r="I13" s="131">
        <f>COUNTIF('Madine- Conversion'!G4:G202,"Resubmission")+COUNTIF('Zarrah-Conversion'!G3:G201,"Resubmission")+COUNTIF('Home-Conversion'!G4:G202,"Resubmission")+IF(RepPrefix4="",0,IFERROR(COUNTIF(INDIRECT("'"&amp;RepPrefix4&amp;"- Conversion'!G4:G202"),"Resubmission"),0))+IF(RepPrefix5="",0,IFERROR(COUNTIF(INDIRECT("'"&amp;RepPrefix5&amp;"- Conversion'!G4:G202"),"Resubmission"),0))+IF(RepPrefix6="",0,IFERROR(COUNTIF(INDIRECT("'"&amp;RepPrefix6&amp;"- Conversion'!G4:G202"),"Resubmission"),0))</f>
        <v/>
      </c>
      <c r="J13" s="128">
        <f>SUMIFS('Madine- Conversion'!H4:H202,'Madine- Conversion'!G4:G202,"Resubmission")+SUMIFS('Zarrah-Conversion'!H3:H201,'Zarrah-Conversion'!G3:G201,"Resubmission")+SUMIFS('Home-Conversion'!H4:H202,'Home-Conversion'!G4:G202,"Resubmission")+IF(RepPrefix4="",0,IFERROR(SUMIFS(INDIRECT("'"&amp;RepPrefix4&amp;"- Conversion'!H4:H202"),INDIRECT("'"&amp;RepPrefix4&amp;"- Conversion'!G4:G202"),"Resubmission"),0))+IF(RepPrefix5="",0,IFERROR(SUMIFS(INDIRECT("'"&amp;RepPrefix5&amp;"- Conversion'!H4:H202"),INDIRECT("'"&amp;RepPrefix5&amp;"- Conversion'!G4:G202"),"Resubmission"),0))+IF(RepPrefix6="",0,IFERROR(SUMIFS(INDIRECT("'"&amp;RepPrefix6&amp;"- Conversion'!H4:H202"),INDIRECT("'"&amp;RepPrefix6&amp;"- Conversion'!G4:G202"),"Resubmission"),0))</f>
        <v/>
      </c>
      <c r="K13" s="128">
        <f>J13*0.7</f>
        <v/>
      </c>
      <c r="L13" s="129" t="n">
        <v>0.7</v>
      </c>
      <c r="M13" s="108" t="n"/>
      <c r="N13" s="133" t="n"/>
    </row>
    <row r="14" ht="22" customHeight="1" s="96">
      <c r="A14" s="108" t="n"/>
      <c r="B14" s="121">
        <f>IF(RepPrefix5="","",RepName5)</f>
        <v/>
      </c>
      <c r="C14" s="122">
        <f>IF(RepPrefix5="","",(IF(RepPrefix5="",0,IFERROR(SUMIFS(INDIRECT("'"&amp;RepPrefix5&amp;"- Conversion'!H4:H202"),INDIRECT("'"&amp;RepPrefix5&amp;"- Conversion'!G4:G202"),"&lt;&gt;Closed Lost",INDIRECT("'"&amp;RepPrefix5&amp;"- Conversion'!G4:G202"),"&lt;&gt;"),0))))</f>
        <v/>
      </c>
      <c r="D14" s="122">
        <f>IF(RepPrefix5="","",(IF(RepPrefix5="",0,IFERROR(SUMIFS(INDIRECT("'"&amp;RepPrefix5&amp;"- Conversion'!I4:I202"),INDIRECT("'"&amp;RepPrefix5&amp;"- Conversion'!G4:G202"),"&lt;&gt;Closed Lost",INDIRECT("'"&amp;RepPrefix5&amp;"- Conversion'!G4:G202"),"&lt;&gt;"),0))))</f>
        <v/>
      </c>
      <c r="E14" s="123">
        <f>IF(RepPrefix5="","",IFERROR((IF(RepPrefix5="",0,IFERROR(SUMIFS(INDIRECT("'"&amp;RepPrefix5&amp;"- Conversion'!I4:I202"),INDIRECT("'"&amp;RepPrefix5&amp;"- Conversion'!G4:G202"),"&lt;&gt;Closed Lost",INDIRECT("'"&amp;RepPrefix5&amp;"- Conversion'!G4:G202"),"&lt;&gt;"),0)))/(IF(RepPrefix5="",0,IFERROR(SUMIFS(INDIRECT("'"&amp;RepPrefix5&amp;"- Conversion'!H4:H202"),INDIRECT("'"&amp;RepPrefix5&amp;"- Conversion'!G4:G202"),"&lt;&gt;Closed Lost",INDIRECT("'"&amp;RepPrefix5&amp;"- Conversion'!G4:G202"),"&lt;&gt;"),0))),0))</f>
        <v/>
      </c>
      <c r="F14" s="122">
        <f>IF(RepPrefix5="","",((IF(RepPrefix5="",0,IFERROR(SUMIFS(INDIRECT("'"&amp;RepPrefix5&amp;"- Conversion'!H4:H202"),INDIRECT("'"&amp;RepPrefix5&amp;"- Conversion'!G4:G202"),"Opportunity Creation"),0))*0.1+IF(RepPrefix5="",0,IFERROR(SUMIFS(INDIRECT("'"&amp;RepPrefix5&amp;"- Conversion'!H4:H202"),INDIRECT("'"&amp;RepPrefix5&amp;"- Conversion'!G4:G202"),"Scoping"),0))*0.3+IF(RepPrefix5="",0,IFERROR(SUMIFS(INDIRECT("'"&amp;RepPrefix5&amp;"- Conversion'!H4:H202"),INDIRECT("'"&amp;RepPrefix5&amp;"- Conversion'!G4:G202"),"BOM Submission"),0))*0.5+IF(RepPrefix5="",0,IFERROR(SUMIFS(INDIRECT("'"&amp;RepPrefix5&amp;"- Conversion'!H4:H202"),INDIRECT("'"&amp;RepPrefix5&amp;"- Conversion'!G4:G202"),"Resubmission"),0))*0.7+IF(RepPrefix5="",0,IFERROR(SUMIFS(INDIRECT("'"&amp;RepPrefix5&amp;"- Conversion'!H4:H202"),INDIRECT("'"&amp;RepPrefix5&amp;"- Conversion'!G4:G202"),"Negotiation"),0))*0.9)))</f>
        <v/>
      </c>
      <c r="G14" s="108" t="n"/>
      <c r="H14" s="124" t="inlineStr">
        <is>
          <t>Negotiation</t>
        </is>
      </c>
      <c r="I14" s="125">
        <f>COUNTIF('Madine- Conversion'!G4:G202,"Negotiation")+COUNTIF('Zarrah-Conversion'!G3:G201,"Negotiation")+COUNTIF('Home-Conversion'!G4:G202,"Negotiation")+IF(RepPrefix4="",0,IFERROR(COUNTIF(INDIRECT("'"&amp;RepPrefix4&amp;"- Conversion'!G4:G202"),"Negotiation"),0))+IF(RepPrefix5="",0,IFERROR(COUNTIF(INDIRECT("'"&amp;RepPrefix5&amp;"- Conversion'!G4:G202"),"Negotiation"),0))+IF(RepPrefix6="",0,IFERROR(COUNTIF(INDIRECT("'"&amp;RepPrefix6&amp;"- Conversion'!G4:G202"),"Negotiation"),0))</f>
        <v/>
      </c>
      <c r="J14" s="122">
        <f>SUMIFS('Madine- Conversion'!H4:H202,'Madine- Conversion'!G4:G202,"Negotiation")+SUMIFS('Zarrah-Conversion'!H3:H201,'Zarrah-Conversion'!G3:G201,"Negotiation")+SUMIFS('Home-Conversion'!H4:H202,'Home-Conversion'!G4:G202,"Negotiation")+IF(RepPrefix4="",0,IFERROR(SUMIFS(INDIRECT("'"&amp;RepPrefix4&amp;"- Conversion'!H4:H202"),INDIRECT("'"&amp;RepPrefix4&amp;"- Conversion'!G4:G202"),"Negotiation"),0))+IF(RepPrefix5="",0,IFERROR(SUMIFS(INDIRECT("'"&amp;RepPrefix5&amp;"- Conversion'!H4:H202"),INDIRECT("'"&amp;RepPrefix5&amp;"- Conversion'!G4:G202"),"Negotiation"),0))+IF(RepPrefix6="",0,IFERROR(SUMIFS(INDIRECT("'"&amp;RepPrefix6&amp;"- Conversion'!H4:H202"),INDIRECT("'"&amp;RepPrefix6&amp;"- Conversion'!G4:G202"),"Negotiation"),0))</f>
        <v/>
      </c>
      <c r="K14" s="122">
        <f>J14*0.9</f>
        <v/>
      </c>
      <c r="L14" s="123" t="n">
        <v>0.9</v>
      </c>
      <c r="M14" s="108" t="n"/>
      <c r="N14" s="133" t="n"/>
    </row>
    <row r="15" ht="22" customHeight="1" s="96">
      <c r="A15" s="108" t="n"/>
      <c r="B15" s="127">
        <f>IF(RepPrefix6="","",RepName6)</f>
        <v/>
      </c>
      <c r="C15" s="128">
        <f>IF(RepPrefix6="","",(IF(RepPrefix6="",0,IFERROR(SUMIFS(INDIRECT("'"&amp;RepPrefix6&amp;"- Conversion'!H4:H202"),INDIRECT("'"&amp;RepPrefix6&amp;"- Conversion'!G4:G202"),"&lt;&gt;Closed Lost",INDIRECT("'"&amp;RepPrefix6&amp;"- Conversion'!G4:G202"),"&lt;&gt;"),0))))</f>
        <v/>
      </c>
      <c r="D15" s="128">
        <f>IF(RepPrefix6="","",(IF(RepPrefix6="",0,IFERROR(SUMIFS(INDIRECT("'"&amp;RepPrefix6&amp;"- Conversion'!I4:I202"),INDIRECT("'"&amp;RepPrefix6&amp;"- Conversion'!G4:G202"),"&lt;&gt;Closed Lost",INDIRECT("'"&amp;RepPrefix6&amp;"- Conversion'!G4:G202"),"&lt;&gt;"),0))))</f>
        <v/>
      </c>
      <c r="E15" s="129">
        <f>IF(RepPrefix6="","",IFERROR((IF(RepPrefix6="",0,IFERROR(SUMIFS(INDIRECT("'"&amp;RepPrefix6&amp;"- Conversion'!I4:I202"),INDIRECT("'"&amp;RepPrefix6&amp;"- Conversion'!G4:G202"),"&lt;&gt;Closed Lost",INDIRECT("'"&amp;RepPrefix6&amp;"- Conversion'!G4:G202"),"&lt;&gt;"),0)))/(IF(RepPrefix6="",0,IFERROR(SUMIFS(INDIRECT("'"&amp;RepPrefix6&amp;"- Conversion'!H4:H202"),INDIRECT("'"&amp;RepPrefix6&amp;"- Conversion'!G4:G202"),"&lt;&gt;Closed Lost",INDIRECT("'"&amp;RepPrefix6&amp;"- Conversion'!G4:G202"),"&lt;&gt;"),0))),0))</f>
        <v/>
      </c>
      <c r="F15" s="128">
        <f>IF(RepPrefix6="","",((IF(RepPrefix6="",0,IFERROR(SUMIFS(INDIRECT("'"&amp;RepPrefix6&amp;"- Conversion'!H4:H202"),INDIRECT("'"&amp;RepPrefix6&amp;"- Conversion'!G4:G202"),"Opportunity Creation"),0))*0.1+IF(RepPrefix6="",0,IFERROR(SUMIFS(INDIRECT("'"&amp;RepPrefix6&amp;"- Conversion'!H4:H202"),INDIRECT("'"&amp;RepPrefix6&amp;"- Conversion'!G4:G202"),"Scoping"),0))*0.3+IF(RepPrefix6="",0,IFERROR(SUMIFS(INDIRECT("'"&amp;RepPrefix6&amp;"- Conversion'!H4:H202"),INDIRECT("'"&amp;RepPrefix6&amp;"- Conversion'!G4:G202"),"BOM Submission"),0))*0.5+IF(RepPrefix6="",0,IFERROR(SUMIFS(INDIRECT("'"&amp;RepPrefix6&amp;"- Conversion'!H4:H202"),INDIRECT("'"&amp;RepPrefix6&amp;"- Conversion'!G4:G202"),"Resubmission"),0))*0.7+IF(RepPrefix6="",0,IFERROR(SUMIFS(INDIRECT("'"&amp;RepPrefix6&amp;"- Conversion'!H4:H202"),INDIRECT("'"&amp;RepPrefix6&amp;"- Conversion'!G4:G202"),"Negotiation"),0))*0.9)))</f>
        <v/>
      </c>
      <c r="G15" s="108" t="n"/>
      <c r="H15" s="134" t="inlineStr">
        <is>
          <t>Closed Won</t>
        </is>
      </c>
      <c r="I15" s="135">
        <f>COUNTIF('Madine- Conversion'!G4:G202,"Closed Won")+COUNTIF('Zarrah-Conversion'!G3:G201,"Closed Won")+COUNTIF('Home-Conversion'!G4:G202,"Closed Won")+IF(RepPrefix4="",0,IFERROR(COUNTIF(INDIRECT("'"&amp;RepPrefix4&amp;"- Conversion'!G4:G202"),"Closed Won"),0))+IF(RepPrefix5="",0,IFERROR(COUNTIF(INDIRECT("'"&amp;RepPrefix5&amp;"- Conversion'!G4:G202"),"Closed Won"),0))+IF(RepPrefix6="",0,IFERROR(COUNTIF(INDIRECT("'"&amp;RepPrefix6&amp;"- Conversion'!G4:G202"),"Closed Won"),0))</f>
        <v/>
      </c>
      <c r="J15" s="136">
        <f>SUMIFS('Madine- Conversion'!H4:H202,'Madine- Conversion'!G4:G202,"Closed Won")+SUMIFS('Zarrah-Conversion'!H3:H201,'Zarrah-Conversion'!G3:G201,"Closed Won")+SUMIFS('Home-Conversion'!H4:H202,'Home-Conversion'!G4:G202,"Closed Won")+IF(RepPrefix4="",0,IFERROR(SUMIFS(INDIRECT("'"&amp;RepPrefix4&amp;"- Conversion'!H4:H202"),INDIRECT("'"&amp;RepPrefix4&amp;"- Conversion'!G4:G202"),"Closed Won"),0))+IF(RepPrefix5="",0,IFERROR(SUMIFS(INDIRECT("'"&amp;RepPrefix5&amp;"- Conversion'!H4:H202"),INDIRECT("'"&amp;RepPrefix5&amp;"- Conversion'!G4:G202"),"Closed Won"),0))+IF(RepPrefix6="",0,IFERROR(SUMIFS(INDIRECT("'"&amp;RepPrefix6&amp;"- Conversion'!H4:H202"),INDIRECT("'"&amp;RepPrefix6&amp;"- Conversion'!G4:G202"),"Closed Won"),0))</f>
        <v/>
      </c>
      <c r="K15" s="136">
        <f>J15*1.0</f>
        <v/>
      </c>
      <c r="L15" s="137" t="n">
        <v>1</v>
      </c>
      <c r="M15" s="108" t="n"/>
      <c r="N15" s="133" t="n"/>
    </row>
    <row r="16" ht="22" customHeight="1" s="96">
      <c r="A16" s="108" t="n"/>
      <c r="B16" s="138" t="inlineStr">
        <is>
          <t>TOTAL</t>
        </is>
      </c>
      <c r="C16" s="139">
        <f>SUM(C10:C15)</f>
        <v/>
      </c>
      <c r="D16" s="139">
        <f>SUM(D10:D15)</f>
        <v/>
      </c>
      <c r="E16" s="140">
        <f>IFERROR(D16/C16,0)</f>
        <v/>
      </c>
      <c r="F16" s="139">
        <f>SUM(F10:F15)</f>
        <v/>
      </c>
      <c r="G16" s="108" t="n"/>
      <c r="H16" s="141" t="inlineStr">
        <is>
          <t>Closed Lost</t>
        </is>
      </c>
      <c r="I16" s="142">
        <f>COUNTIF('Madine- Conversion'!G4:G202,"Closed Lost")+COUNTIF('Zarrah-Conversion'!G3:G201,"Closed Lost")+COUNTIF('Home-Conversion'!G4:G202,"Closed Lost")+IF(RepPrefix4="",0,IFERROR(COUNTIF(INDIRECT("'"&amp;RepPrefix4&amp;"- Conversion'!G4:G202"),"Closed Lost"),0))+IF(RepPrefix5="",0,IFERROR(COUNTIF(INDIRECT("'"&amp;RepPrefix5&amp;"- Conversion'!G4:G202"),"Closed Lost"),0))+IF(RepPrefix6="",0,IFERROR(COUNTIF(INDIRECT("'"&amp;RepPrefix6&amp;"- Conversion'!G4:G202"),"Closed Lost"),0))</f>
        <v/>
      </c>
      <c r="J16" s="143">
        <f>SUMIFS('Madine- Conversion'!H4:H202,'Madine- Conversion'!G4:G202,"Closed Lost")+SUMIFS('Zarrah-Conversion'!H3:H201,'Zarrah-Conversion'!G3:G201,"Closed Lost")+SUMIFS('Home-Conversion'!H4:H202,'Home-Conversion'!G4:G202,"Closed Lost")+IF(RepPrefix4="",0,IFERROR(SUMIFS(INDIRECT("'"&amp;RepPrefix4&amp;"- Conversion'!H4:H202"),INDIRECT("'"&amp;RepPrefix4&amp;"- Conversion'!G4:G202"),"Closed Lost"),0))+IF(RepPrefix5="",0,IFERROR(SUMIFS(INDIRECT("'"&amp;RepPrefix5&amp;"- Conversion'!H4:H202"),INDIRECT("'"&amp;RepPrefix5&amp;"- Conversion'!G4:G202"),"Closed Lost"),0))+IF(RepPrefix6="",0,IFERROR(SUMIFS(INDIRECT("'"&amp;RepPrefix6&amp;"- Conversion'!H4:H202"),INDIRECT("'"&amp;RepPrefix6&amp;"- Conversion'!G4:G202"),"Closed Lost"),0))</f>
        <v/>
      </c>
      <c r="K16" s="143" t="n">
        <v>0</v>
      </c>
      <c r="L16" s="144" t="n">
        <v>0</v>
      </c>
      <c r="M16" s="108" t="n"/>
      <c r="N16" s="133" t="n"/>
    </row>
    <row r="17" ht="22" customHeight="1" s="96">
      <c r="A17" s="108" t="n"/>
      <c r="G17" s="108" t="n"/>
      <c r="H17" s="145" t="inlineStr">
        <is>
          <t>PIPELINE TOTAL</t>
        </is>
      </c>
      <c r="I17" s="146">
        <f>SUM(I10:I15)</f>
        <v/>
      </c>
      <c r="J17" s="139">
        <f>SUM(J10:J15)</f>
        <v/>
      </c>
      <c r="K17" s="139">
        <f>SUM(K10:K15)</f>
        <v/>
      </c>
      <c r="L17" s="118" t="inlineStr"/>
      <c r="M17" s="108" t="n"/>
      <c r="N17" s="133" t="n"/>
    </row>
    <row r="18" ht="8" customHeight="1" s="96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</row>
    <row r="19" ht="18" customHeight="1" s="96">
      <c r="A19" s="108" t="n"/>
      <c r="B19" s="119" t="inlineStr">
        <is>
          <t>PIPELINE HEALTH · AT-RISK &amp; PAST-DUE DEALS</t>
        </is>
      </c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</row>
    <row r="20" ht="38" customHeight="1" s="96">
      <c r="A20" s="108" t="n"/>
      <c r="B20" s="147">
        <f>SUM('Per-Rep Detail'!M5:M10)</f>
        <v/>
      </c>
      <c r="C20" s="114" t="n"/>
      <c r="D20" s="148">
        <f>(SUMPRODUCT(--ISNUMBER('Madine- Conversion'!J4:J202),--('Madine- Conversion'!J4:J202&lt;TODAY()),--('Madine- Conversion'!G4:G202="Opportunity Creation"),'Madine- Conversion'!H4:H202)+SUMPRODUCT(--ISNUMBER('Madine- Conversion'!J4:J202),--('Madine- Conversion'!J4:J202&lt;TODAY()),--('Madine- Conversion'!G4:G202="Scoping"),'Madine- Conversion'!H4:H202)+SUMPRODUCT(--ISNUMBER('Madine- Conversion'!J4:J202),--('Madine- Conversion'!J4:J202&lt;TODAY()),--('Madine- Conversion'!G4:G202="BOM Submission"),'Madine- Conversion'!H4:H202)+SUMPRODUCT(--ISNUMBER('Madine- Conversion'!J4:J202),--('Madine- Conversion'!J4:J202&lt;TODAY()),--('Madine- Conversion'!G4:G202="Resubmission"),'Madine- Conversion'!H4:H202)+SUMPRODUCT(--ISNUMBER('Madine- Conversion'!J4:J202),--('Madine- Conversion'!J4:J202&lt;TODAY()),--('Madine- Conversion'!G4:G202="Negotiation"),'Madine- Conversion'!H4:H202))+(SUMPRODUCT(--ISNUMBER('Zarrah-Conversion'!J3:J201),--('Zarrah-Conversion'!J3:J201&lt;TODAY()),--('Zarrah-Conversion'!G3:G201="Opportunity Creation"),'Zarrah-Conversion'!H3:H201)+SUMPRODUCT(--ISNUMBER('Zarrah-Conversion'!J3:J201),--('Zarrah-Conversion'!J3:J201&lt;TODAY()),--('Zarrah-Conversion'!G3:G201="Scoping"),'Zarrah-Conversion'!H3:H201)+SUMPRODUCT(--ISNUMBER('Zarrah-Conversion'!J3:J201),--('Zarrah-Conversion'!J3:J201&lt;TODAY()),--('Zarrah-Conversion'!G3:G201="BOM Submission"),'Zarrah-Conversion'!H3:H201)+SUMPRODUCT(--ISNUMBER('Zarrah-Conversion'!J3:J201),--('Zarrah-Conversion'!J3:J201&lt;TODAY()),--('Zarrah-Conversion'!G3:G201="Resubmission"),'Zarrah-Conversion'!H3:H201)+SUMPRODUCT(--ISNUMBER('Zarrah-Conversion'!J3:J201),--('Zarrah-Conversion'!J3:J201&lt;TODAY()),--('Zarrah-Conversion'!G3:G201="Negotiation"),'Zarrah-Conversion'!H3:H201))+(SUMPRODUCT(--ISNUMBER('Home-Conversion'!J4:J202),--('Home-Conversion'!J4:J202&lt;TODAY()),--('Home-Conversion'!G4:G202="Opportunity Creation"),'Home-Conversion'!H4:H202)+SUMPRODUCT(--ISNUMBER('Home-Conversion'!J4:J202),--('Home-Conversion'!J4:J202&lt;TODAY()),--('Home-Conversion'!G4:G202="Scoping"),'Home-Conversion'!H4:H202)+SUMPRODUCT(--ISNUMBER('Home-Conversion'!J4:J202),--('Home-Conversion'!J4:J202&lt;TODAY()),--('Home-Conversion'!G4:G202="BOM Submission"),'Home-Conversion'!H4:H202)+SUMPRODUCT(--ISNUMBER('Home-Conversion'!J4:J202),--('Home-Conversion'!J4:J202&lt;TODAY()),--('Home-Conversion'!G4:G202="Resubmission"),'Home-Conversion'!H4:H202)+SUMPRODUCT(--ISNUMBER('Home-Conversion'!J4:J202),--('Home-Conversion'!J4:J202&lt;TODAY()),--('Home-Conversion'!G4:G202="Negotiation"),'Home-Conversion'!H4:H202))+IF(RepPrefix4="",0,IFERROR((SUMPRODUCT(--ISNUMBER(INDIRECT("'"&amp;RepPrefix4&amp;"- Conversion'!J4:J202")),--(INDIRECT("'"&amp;RepPrefix4&amp;"- Conversion'!J4:J202")&lt;TODAY()),--(INDIRECT("'"&amp;RepPrefix4&amp;"- Conversion'!G4:G202")="Opportunity Creation"),INDIRECT("'"&amp;RepPrefix4&amp;"- Conversion'!H4:H202"))+SUMPRODUCT(--ISNUMBER(INDIRECT("'"&amp;RepPrefix4&amp;"- Conversion'!J4:J202")),--(INDIRECT("'"&amp;RepPrefix4&amp;"- Conversion'!J4:J202")&lt;TODAY()),--(INDIRECT("'"&amp;RepPrefix4&amp;"- Conversion'!G4:G202")="Scoping"),INDIRECT("'"&amp;RepPrefix4&amp;"- Conversion'!H4:H202"))+SUMPRODUCT(--ISNUMBER(INDIRECT("'"&amp;RepPrefix4&amp;"- Conversion'!J4:J202")),--(INDIRECT("'"&amp;RepPrefix4&amp;"- Conversion'!J4:J202")&lt;TODAY()),--(INDIRECT("'"&amp;RepPrefix4&amp;"- Conversion'!G4:G202")="BOM Submission"),INDIRECT("'"&amp;RepPrefix4&amp;"- Conversion'!H4:H202"))+SUMPRODUCT(--ISNUMBER(INDIRECT("'"&amp;RepPrefix4&amp;"- Conversion'!J4:J202")),--(INDIRECT("'"&amp;RepPrefix4&amp;"- Conversion'!J4:J202")&lt;TODAY()),--(INDIRECT("'"&amp;RepPrefix4&amp;"- Conversion'!G4:G202")="Resubmission"),INDIRECT("'"&amp;RepPrefix4&amp;"- Conversion'!H4:H202"))+SUMPRODUCT(--ISNUMBER(INDIRECT("'"&amp;RepPrefix4&amp;"- Conversion'!J4:J202")),--(INDIRECT("'"&amp;RepPrefix4&amp;"- Conversion'!J4:J202")&lt;TODAY()),--(INDIRECT("'"&amp;RepPrefix4&amp;"- Conversion'!G4:G202")="Negotiation"),INDIRECT("'"&amp;RepPrefix4&amp;"- Conversion'!H4:H202"))),0))+IF(RepPrefix5="",0,IFERROR((SUMPRODUCT(--ISNUMBER(INDIRECT("'"&amp;RepPrefix5&amp;"- Conversion'!J4:J202")),--(INDIRECT("'"&amp;RepPrefix5&amp;"- Conversion'!J4:J202")&lt;TODAY()),--(INDIRECT("'"&amp;RepPrefix5&amp;"- Conversion'!G4:G202")="Opportunity Creation"),INDIRECT("'"&amp;RepPrefix5&amp;"- Conversion'!H4:H202"))+SUMPRODUCT(--ISNUMBER(INDIRECT("'"&amp;RepPrefix5&amp;"- Conversion'!J4:J202")),--(INDIRECT("'"&amp;RepPrefix5&amp;"- Conversion'!J4:J202")&lt;TODAY()),--(INDIRECT("'"&amp;RepPrefix5&amp;"- Conversion'!G4:G202")="Scoping"),INDIRECT("'"&amp;RepPrefix5&amp;"- Conversion'!H4:H202"))+SUMPRODUCT(--ISNUMBER(INDIRECT("'"&amp;RepPrefix5&amp;"- Conversion'!J4:J202")),--(INDIRECT("'"&amp;RepPrefix5&amp;"- Conversion'!J4:J202")&lt;TODAY()),--(INDIRECT("'"&amp;RepPrefix5&amp;"- Conversion'!G4:G202")="BOM Submission"),INDIRECT("'"&amp;RepPrefix5&amp;"- Conversion'!H4:H202"))+SUMPRODUCT(--ISNUMBER(INDIRECT("'"&amp;RepPrefix5&amp;"- Conversion'!J4:J202")),--(INDIRECT("'"&amp;RepPrefix5&amp;"- Conversion'!J4:J202")&lt;TODAY()),--(INDIRECT("'"&amp;RepPrefix5&amp;"- Conversion'!G4:G202")="Resubmission"),INDIRECT("'"&amp;RepPrefix5&amp;"- Conversion'!H4:H202"))+SUMPRODUCT(--ISNUMBER(INDIRECT("'"&amp;RepPrefix5&amp;"- Conversion'!J4:J202")),--(INDIRECT("'"&amp;RepPrefix5&amp;"- Conversion'!J4:J202")&lt;TODAY()),--(INDIRECT("'"&amp;RepPrefix5&amp;"- Conversion'!G4:G202")="Negotiation"),INDIRECT("'"&amp;RepPrefix5&amp;"- Conversion'!H4:H202"))),0))+IF(RepPrefix6="",0,IFERROR((SUMPRODUCT(--ISNUMBER(INDIRECT("'"&amp;RepPrefix6&amp;"- Conversion'!J4:J202")),--(INDIRECT("'"&amp;RepPrefix6&amp;"- Conversion'!J4:J202")&lt;TODAY()),--(INDIRECT("'"&amp;RepPrefix6&amp;"- Conversion'!G4:G202")="Opportunity Creation"),INDIRECT("'"&amp;RepPrefix6&amp;"- Conversion'!H4:H202"))+SUMPRODUCT(--ISNUMBER(INDIRECT("'"&amp;RepPrefix6&amp;"- Conversion'!J4:J202")),--(INDIRECT("'"&amp;RepPrefix6&amp;"- Conversion'!J4:J202")&lt;TODAY()),--(INDIRECT("'"&amp;RepPrefix6&amp;"- Conversion'!G4:G202")="Scoping"),INDIRECT("'"&amp;RepPrefix6&amp;"- Conversion'!H4:H202"))+SUMPRODUCT(--ISNUMBER(INDIRECT("'"&amp;RepPrefix6&amp;"- Conversion'!J4:J202")),--(INDIRECT("'"&amp;RepPrefix6&amp;"- Conversion'!J4:J202")&lt;TODAY()),--(INDIRECT("'"&amp;RepPrefix6&amp;"- Conversion'!G4:G202")="BOM Submission"),INDIRECT("'"&amp;RepPrefix6&amp;"- Conversion'!H4:H202"))+SUMPRODUCT(--ISNUMBER(INDIRECT("'"&amp;RepPrefix6&amp;"- Conversion'!J4:J202")),--(INDIRECT("'"&amp;RepPrefix6&amp;"- Conversion'!J4:J202")&lt;TODAY()),--(INDIRECT("'"&amp;RepPrefix6&amp;"- Conversion'!G4:G202")="Resubmission"),INDIRECT("'"&amp;RepPrefix6&amp;"- Conversion'!H4:H202"))+SUMPRODUCT(--ISNUMBER(INDIRECT("'"&amp;RepPrefix6&amp;"- Conversion'!J4:J202")),--(INDIRECT("'"&amp;RepPrefix6&amp;"- Conversion'!J4:J202")&lt;TODAY()),--(INDIRECT("'"&amp;RepPrefix6&amp;"- Conversion'!G4:G202")="Negotiation"),INDIRECT("'"&amp;RepPrefix6&amp;"- Conversion'!H4:H202"))),0))</f>
        <v/>
      </c>
      <c r="E20" s="114" t="n"/>
      <c r="F20" s="147">
        <f>SUM('Per-Rep Detail'!C5:C10)</f>
        <v/>
      </c>
      <c r="G20" s="114" t="n"/>
      <c r="H20" s="149">
        <f>IFERROR(('Per-Rep Detail'!D11+'Per-Rep Detail'!E11+'Per-Rep Detail'!F11)/'Per-Rep Detail'!C11,0)</f>
        <v/>
      </c>
      <c r="I20" s="114" t="n"/>
      <c r="J20" s="149">
        <f>IFERROR((SUMIFS('Madine- Conversion'!H4:H202,'Madine- Conversion'!G4:G202,"Closed Lost")+SUMIFS('Zarrah-Conversion'!H3:H201,'Zarrah-Conversion'!G3:G201,"Closed Lost")+SUMIFS('Home-Conversion'!H4:H202,'Home-Conversion'!G4:G202,"Closed Lost")+IF(RepPrefix4="",0,IFERROR(SUMIFS(INDIRECT("'"&amp;RepPrefix4&amp;"- Conversion'!H4:H202"),INDIRECT("'"&amp;RepPrefix4&amp;"- Conversion'!G4:G202"),"Closed Lost"),0))+IF(RepPrefix5="",0,IFERROR(SUMIFS(INDIRECT("'"&amp;RepPrefix5&amp;"- Conversion'!H4:H202"),INDIRECT("'"&amp;RepPrefix5&amp;"- Conversion'!G4:G202"),"Closed Lost"),0))+IF(RepPrefix6="",0,IFERROR(SUMIFS(INDIRECT("'"&amp;RepPrefix6&amp;"- Conversion'!H4:H202"),INDIRECT("'"&amp;RepPrefix6&amp;"- Conversion'!G4:G202"),"Closed Lost"),0)))/(((SUMIFS('Madine- Conversion'!H4:H202,'Madine- Conversion'!G4:G202,"Closed Won")+SUMIFS('Zarrah-Conversion'!H3:H201,'Zarrah-Conversion'!G3:G201,"Closed Won")+SUMIFS('Home-Conversion'!H4:H202,'Home-Conversion'!G4:G202,"Closed Won")+IF(RepPrefix4="",0,IFERROR(SUMIFS(INDIRECT("'"&amp;RepPrefix4&amp;"- Conversion'!H4:H202"),INDIRECT("'"&amp;RepPrefix4&amp;"- Conversion'!G4:G202"),"Closed Won"),0))+IF(RepPrefix5="",0,IFERROR(SUMIFS(INDIRECT("'"&amp;RepPrefix5&amp;"- Conversion'!H4:H202"),INDIRECT("'"&amp;RepPrefix5&amp;"- Conversion'!G4:G202"),"Closed Won"),0))+IF(RepPrefix6="",0,IFERROR(SUMIFS(INDIRECT("'"&amp;RepPrefix6&amp;"- Conversion'!H4:H202"),INDIRECT("'"&amp;RepPrefix6&amp;"- Conversion'!G4:G202"),"Closed Won"),0))))+(SUMIFS('Madine- Conversion'!H4:H202,'Madine- Conversion'!G4:G202,"Closed Lost")+SUMIFS('Zarrah-Conversion'!H3:H201,'Zarrah-Conversion'!G3:G201,"Closed Lost")+SUMIFS('Home-Conversion'!H4:H202,'Home-Conversion'!G4:G202,"Closed Lost")+IF(RepPrefix4="",0,IFERROR(SUMIFS(INDIRECT("'"&amp;RepPrefix4&amp;"- Conversion'!H4:H202"),INDIRECT("'"&amp;RepPrefix4&amp;"- Conversion'!G4:G202"),"Closed Lost"),0))+IF(RepPrefix5="",0,IFERROR(SUMIFS(INDIRECT("'"&amp;RepPrefix5&amp;"- Conversion'!H4:H202"),INDIRECT("'"&amp;RepPrefix5&amp;"- Conversion'!G4:G202"),"Closed Lost"),0))+IF(RepPrefix6="",0,IFERROR(SUMIFS(INDIRECT("'"&amp;RepPrefix6&amp;"- Conversion'!H4:H202"),INDIRECT("'"&amp;RepPrefix6&amp;"- Conversion'!G4:G202"),"Closed Lost"),0)))),0)</f>
        <v/>
      </c>
      <c r="K20" s="114" t="n"/>
      <c r="L20" s="150">
        <f>IFERROR(F16/Quota,0)</f>
        <v/>
      </c>
      <c r="M20" s="114" t="n"/>
      <c r="N20" s="114" t="n"/>
    </row>
    <row r="21" ht="16" customHeight="1" s="96">
      <c r="A21" s="108" t="n"/>
      <c r="B21" s="151" t="inlineStr">
        <is>
          <t>PAST-DUE DEALS</t>
        </is>
      </c>
      <c r="C21" s="118" t="n"/>
      <c r="D21" s="151" t="inlineStr">
        <is>
          <t>PAST-DUE TCV</t>
        </is>
      </c>
      <c r="E21" s="118" t="n"/>
      <c r="F21" s="151" t="inlineStr">
        <is>
          <t>COVERAGE LEADS</t>
        </is>
      </c>
      <c r="G21" s="118" t="n"/>
      <c r="H21" s="151" t="inlineStr">
        <is>
          <t>COV→CONV %</t>
        </is>
      </c>
      <c r="I21" s="118" t="n"/>
      <c r="J21" s="151" t="inlineStr">
        <is>
          <t>LOST RATE (₱)</t>
        </is>
      </c>
      <c r="K21" s="118" t="n"/>
      <c r="L21" s="151" t="inlineStr">
        <is>
          <t>PIPE COVERAGE</t>
        </is>
      </c>
      <c r="M21" s="118" t="n"/>
      <c r="N21" s="118" t="n"/>
    </row>
    <row r="22" ht="8" customHeight="1" s="96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</row>
    <row r="23" ht="18" customHeight="1" s="96">
      <c r="A23" s="108" t="n"/>
      <c r="B23" s="119" t="inlineStr">
        <is>
          <t>TOP DEALS — DRILL TO 'Pipeline Health' SHEET FOR FULL LIST</t>
        </is>
      </c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  <c r="N23" s="108" t="n"/>
    </row>
    <row r="24" ht="22" customHeight="1" s="96">
      <c r="A24" s="108" t="n"/>
      <c r="B24" s="152" t="inlineStr">
        <is>
          <t>ACCOUNT</t>
        </is>
      </c>
      <c r="C24" s="118" t="n"/>
      <c r="D24" s="118" t="n"/>
      <c r="E24" s="120" t="inlineStr">
        <is>
          <t>REP</t>
        </is>
      </c>
      <c r="F24" s="152" t="inlineStr">
        <is>
          <t>STAGE</t>
        </is>
      </c>
      <c r="G24" s="118" t="n"/>
      <c r="H24" s="153" t="inlineStr">
        <is>
          <t>TCV</t>
        </is>
      </c>
      <c r="I24" s="118" t="n"/>
      <c r="J24" s="153" t="inlineStr">
        <is>
          <t>GP</t>
        </is>
      </c>
      <c r="K24" s="118" t="n"/>
      <c r="L24" s="120" t="inlineStr">
        <is>
          <t>CLOSING</t>
        </is>
      </c>
      <c r="M24" s="118" t="n"/>
      <c r="N24" s="120" t="inlineStr">
        <is>
          <t>FLAG</t>
        </is>
      </c>
    </row>
    <row r="25" ht="18" customHeight="1" s="96">
      <c r="A25" s="108" t="n"/>
      <c r="B25" s="154">
        <f>'Pipeline Health'!B5</f>
        <v/>
      </c>
      <c r="C25" s="133" t="n"/>
      <c r="D25" s="133" t="n"/>
      <c r="E25" s="155">
        <f>'Pipeline Health'!C5</f>
        <v/>
      </c>
      <c r="F25" s="154">
        <f>'Pipeline Health'!D5</f>
        <v/>
      </c>
      <c r="G25" s="133" t="n"/>
      <c r="H25" s="156">
        <f>'Pipeline Health'!E5</f>
        <v/>
      </c>
      <c r="I25" s="133" t="n"/>
      <c r="J25" s="156">
        <f>'Pipeline Health'!F5</f>
        <v/>
      </c>
      <c r="K25" s="133" t="n"/>
      <c r="L25" s="157">
        <f>'Pipeline Health'!G5</f>
        <v/>
      </c>
      <c r="M25" s="133" t="n"/>
      <c r="N25" s="158">
        <f>'Pipeline Health'!H5</f>
        <v/>
      </c>
    </row>
    <row r="26" ht="18" customHeight="1" s="96">
      <c r="A26" s="108" t="n"/>
      <c r="B26" s="159">
        <f>'Pipeline Health'!B6</f>
        <v/>
      </c>
      <c r="C26" s="160" t="n"/>
      <c r="D26" s="160" t="n"/>
      <c r="E26" s="161">
        <f>'Pipeline Health'!C6</f>
        <v/>
      </c>
      <c r="F26" s="159">
        <f>'Pipeline Health'!D6</f>
        <v/>
      </c>
      <c r="G26" s="160" t="n"/>
      <c r="H26" s="162">
        <f>'Pipeline Health'!E6</f>
        <v/>
      </c>
      <c r="I26" s="160" t="n"/>
      <c r="J26" s="162">
        <f>'Pipeline Health'!F6</f>
        <v/>
      </c>
      <c r="K26" s="160" t="n"/>
      <c r="L26" s="163">
        <f>'Pipeline Health'!G6</f>
        <v/>
      </c>
      <c r="M26" s="160" t="n"/>
      <c r="N26" s="164">
        <f>'Pipeline Health'!H6</f>
        <v/>
      </c>
    </row>
    <row r="27" ht="18" customHeight="1" s="96">
      <c r="A27" s="108" t="n"/>
      <c r="B27" s="154">
        <f>'Pipeline Health'!B7</f>
        <v/>
      </c>
      <c r="C27" s="133" t="n"/>
      <c r="D27" s="133" t="n"/>
      <c r="E27" s="155">
        <f>'Pipeline Health'!C7</f>
        <v/>
      </c>
      <c r="F27" s="154">
        <f>'Pipeline Health'!D7</f>
        <v/>
      </c>
      <c r="G27" s="133" t="n"/>
      <c r="H27" s="156">
        <f>'Pipeline Health'!E7</f>
        <v/>
      </c>
      <c r="I27" s="133" t="n"/>
      <c r="J27" s="156">
        <f>'Pipeline Health'!F7</f>
        <v/>
      </c>
      <c r="K27" s="133" t="n"/>
      <c r="L27" s="157">
        <f>'Pipeline Health'!G7</f>
        <v/>
      </c>
      <c r="M27" s="133" t="n"/>
      <c r="N27" s="158">
        <f>'Pipeline Health'!H7</f>
        <v/>
      </c>
    </row>
    <row r="28" ht="18" customHeight="1" s="96">
      <c r="A28" s="108" t="n"/>
      <c r="B28" s="159">
        <f>'Pipeline Health'!B8</f>
        <v/>
      </c>
      <c r="C28" s="160" t="n"/>
      <c r="D28" s="160" t="n"/>
      <c r="E28" s="161">
        <f>'Pipeline Health'!C8</f>
        <v/>
      </c>
      <c r="F28" s="159">
        <f>'Pipeline Health'!D8</f>
        <v/>
      </c>
      <c r="G28" s="160" t="n"/>
      <c r="H28" s="162">
        <f>'Pipeline Health'!E8</f>
        <v/>
      </c>
      <c r="I28" s="160" t="n"/>
      <c r="J28" s="162">
        <f>'Pipeline Health'!F8</f>
        <v/>
      </c>
      <c r="K28" s="160" t="n"/>
      <c r="L28" s="163">
        <f>'Pipeline Health'!G8</f>
        <v/>
      </c>
      <c r="M28" s="160" t="n"/>
      <c r="N28" s="164">
        <f>'Pipeline Health'!H8</f>
        <v/>
      </c>
    </row>
    <row r="29" ht="18" customHeight="1" s="96">
      <c r="A29" s="108" t="n"/>
      <c r="B29" s="154">
        <f>'Pipeline Health'!B9</f>
        <v/>
      </c>
      <c r="C29" s="133" t="n"/>
      <c r="D29" s="133" t="n"/>
      <c r="E29" s="155">
        <f>'Pipeline Health'!C9</f>
        <v/>
      </c>
      <c r="F29" s="154">
        <f>'Pipeline Health'!D9</f>
        <v/>
      </c>
      <c r="G29" s="133" t="n"/>
      <c r="H29" s="156">
        <f>'Pipeline Health'!E9</f>
        <v/>
      </c>
      <c r="I29" s="133" t="n"/>
      <c r="J29" s="156">
        <f>'Pipeline Health'!F9</f>
        <v/>
      </c>
      <c r="K29" s="133" t="n"/>
      <c r="L29" s="157">
        <f>'Pipeline Health'!G9</f>
        <v/>
      </c>
      <c r="M29" s="133" t="n"/>
      <c r="N29" s="158">
        <f>'Pipeline Health'!H9</f>
        <v/>
      </c>
    </row>
    <row r="30" ht="18" customHeight="1" s="96">
      <c r="A30" s="108" t="n"/>
      <c r="B30" s="159">
        <f>'Pipeline Health'!B10</f>
        <v/>
      </c>
      <c r="C30" s="160" t="n"/>
      <c r="D30" s="160" t="n"/>
      <c r="E30" s="161">
        <f>'Pipeline Health'!C10</f>
        <v/>
      </c>
      <c r="F30" s="159">
        <f>'Pipeline Health'!D10</f>
        <v/>
      </c>
      <c r="G30" s="160" t="n"/>
      <c r="H30" s="162">
        <f>'Pipeline Health'!E10</f>
        <v/>
      </c>
      <c r="I30" s="160" t="n"/>
      <c r="J30" s="162">
        <f>'Pipeline Health'!F10</f>
        <v/>
      </c>
      <c r="K30" s="160" t="n"/>
      <c r="L30" s="163">
        <f>'Pipeline Health'!G10</f>
        <v/>
      </c>
      <c r="M30" s="160" t="n"/>
      <c r="N30" s="164">
        <f>'Pipeline Health'!H10</f>
        <v/>
      </c>
    </row>
    <row r="31" ht="8" customHeight="1" s="96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</row>
    <row r="32" ht="16" customHeight="1" s="96">
      <c r="A32" s="108" t="n"/>
      <c r="B32" s="165" t="inlineStr">
        <is>
          <t>Live formulas · Edit source sheets to refresh · Inputs sheet drives quota/thresholds</t>
        </is>
      </c>
      <c r="C32" s="108" t="n"/>
      <c r="D32" s="108" t="n"/>
      <c r="E32" s="108" t="n"/>
      <c r="F32" s="108" t="n"/>
      <c r="G32" s="108" t="n"/>
      <c r="H32" s="108" t="n"/>
      <c r="I32" s="108" t="n"/>
      <c r="J32" s="108" t="n"/>
      <c r="K32" s="108" t="n"/>
      <c r="L32" s="108" t="n"/>
      <c r="M32" s="108" t="n"/>
      <c r="N32" s="108" t="n"/>
    </row>
    <row r="33" ht="8" customHeight="1" s="96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</row>
  </sheetData>
  <mergeCells count="68">
    <mergeCell ref="B2:G2"/>
    <mergeCell ref="D20:E20"/>
    <mergeCell ref="H20:I20"/>
    <mergeCell ref="J29:K29"/>
    <mergeCell ref="J5:K5"/>
    <mergeCell ref="F29:G29"/>
    <mergeCell ref="H29:I29"/>
    <mergeCell ref="F25:G25"/>
    <mergeCell ref="H3:N3"/>
    <mergeCell ref="L5:N5"/>
    <mergeCell ref="J28:K28"/>
    <mergeCell ref="B28:D28"/>
    <mergeCell ref="B29:D29"/>
    <mergeCell ref="L28:M28"/>
    <mergeCell ref="L20:N20"/>
    <mergeCell ref="D21:E21"/>
    <mergeCell ref="D6:E6"/>
    <mergeCell ref="F21:G21"/>
    <mergeCell ref="B21:C21"/>
    <mergeCell ref="H21:I21"/>
    <mergeCell ref="F24:G24"/>
    <mergeCell ref="H6:I6"/>
    <mergeCell ref="H8:N8"/>
    <mergeCell ref="H25:I25"/>
    <mergeCell ref="J6:K6"/>
    <mergeCell ref="J24:K24"/>
    <mergeCell ref="F30:G30"/>
    <mergeCell ref="J30:K30"/>
    <mergeCell ref="L24:M24"/>
    <mergeCell ref="F20:G20"/>
    <mergeCell ref="B32:N32"/>
    <mergeCell ref="J27:K27"/>
    <mergeCell ref="B30:D30"/>
    <mergeCell ref="B8:F8"/>
    <mergeCell ref="F26:G26"/>
    <mergeCell ref="L6:N6"/>
    <mergeCell ref="F6"/>
    <mergeCell ref="B24:D24"/>
    <mergeCell ref="J26:K26"/>
    <mergeCell ref="L21:N21"/>
    <mergeCell ref="L30:M30"/>
    <mergeCell ref="L26:M26"/>
    <mergeCell ref="J20:K20"/>
    <mergeCell ref="L29:M29"/>
    <mergeCell ref="J25:K25"/>
    <mergeCell ref="B26:D26"/>
    <mergeCell ref="L25:M25"/>
    <mergeCell ref="F28:G28"/>
    <mergeCell ref="H28:I28"/>
    <mergeCell ref="B25:D25"/>
    <mergeCell ref="F5"/>
    <mergeCell ref="F27:G27"/>
    <mergeCell ref="H27:I27"/>
    <mergeCell ref="B3:G3"/>
    <mergeCell ref="B6:C6"/>
    <mergeCell ref="J21:K21"/>
    <mergeCell ref="B23:N23"/>
    <mergeCell ref="B5:C5"/>
    <mergeCell ref="B20:C20"/>
    <mergeCell ref="H2:N2"/>
    <mergeCell ref="D5:E5"/>
    <mergeCell ref="H24:I24"/>
    <mergeCell ref="B27:D27"/>
    <mergeCell ref="H5:I5"/>
    <mergeCell ref="L27:M27"/>
    <mergeCell ref="B19:N19"/>
    <mergeCell ref="H30:I30"/>
    <mergeCell ref="H26:I26"/>
  </mergeCells>
  <conditionalFormatting sqref="C10:C12">
    <cfRule type="dataBar" priority="1">
      <dataBar>
        <cfvo type="num" val="0"/>
        <cfvo type="max"/>
        <color rgb="001E6FBF"/>
      </dataBar>
    </cfRule>
  </conditionalFormatting>
  <conditionalFormatting sqref="F10:F12">
    <cfRule type="dataBar" priority="2">
      <dataBar>
        <cfvo type="num" val="0"/>
        <cfvo type="max"/>
        <color rgb="0060A5FA"/>
      </dataBar>
    </cfRule>
  </conditionalFormatting>
  <conditionalFormatting sqref="E10:E12">
    <cfRule type="colorScale" priority="3">
      <colorScale>
        <cfvo type="num" val="0.1"/>
        <cfvo type="num" val="0.2"/>
        <cfvo type="num" val="0.3"/>
        <color rgb="00FEE2E2"/>
        <color rgb="00FEF3C7"/>
        <color rgb="00DCFCE7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96" min="1" max="1"/>
    <col width="14" customWidth="1" style="96" min="2" max="2"/>
    <col width="14" customWidth="1" style="96" min="3" max="3"/>
    <col width="12" customWidth="1" style="96" min="4" max="4"/>
    <col width="11" customWidth="1" style="96" min="5" max="5"/>
    <col width="11" customWidth="1" style="96" min="6" max="6"/>
    <col width="11" customWidth="1" style="96" min="7" max="7"/>
    <col width="18" customWidth="1" style="96" min="8" max="8"/>
    <col width="17" customWidth="1" style="96" min="9" max="9"/>
    <col width="11" customWidth="1" style="96" min="10" max="10"/>
    <col width="18" customWidth="1" style="96" min="11" max="11"/>
    <col width="17" customWidth="1" style="96" min="12" max="12"/>
    <col width="13" customWidth="1" style="96" min="13" max="13"/>
    <col width="3" customWidth="1" style="96" min="14" max="14"/>
  </cols>
  <sheetData>
    <row r="1" ht="6" customHeight="1" s="96">
      <c r="A1" s="108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</row>
    <row r="2" ht="28" customHeight="1" s="96">
      <c r="A2" s="108" t="n"/>
      <c r="B2" s="166" t="inlineStr">
        <is>
          <t>PER-REP DETAIL · LEADERBOARD</t>
        </is>
      </c>
      <c r="N2" s="108" t="n"/>
    </row>
    <row r="3" ht="8" customHeight="1" s="96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  <c r="N3" s="108" t="n"/>
    </row>
    <row r="4" ht="36" customHeight="1" s="96">
      <c r="A4" s="108" t="n"/>
      <c r="B4" s="152" t="inlineStr">
        <is>
          <t>REP</t>
        </is>
      </c>
      <c r="C4" s="120" t="inlineStr">
        <is>
          <t>Coverage Leads</t>
        </is>
      </c>
      <c r="D4" s="120" t="inlineStr">
        <is>
          <t>Active Opps</t>
        </is>
      </c>
      <c r="E4" s="120" t="inlineStr">
        <is>
          <t>Closed Won</t>
        </is>
      </c>
      <c r="F4" s="120" t="inlineStr">
        <is>
          <t>Closed Lost</t>
        </is>
      </c>
      <c r="G4" s="120" t="inlineStr">
        <is>
          <t>Win Rate</t>
        </is>
      </c>
      <c r="H4" s="153" t="inlineStr">
        <is>
          <t>TCV (Pipe+Won)</t>
        </is>
      </c>
      <c r="I4" s="153" t="inlineStr">
        <is>
          <t>GP (Pipe+Won)</t>
        </is>
      </c>
      <c r="J4" s="120" t="inlineStr">
        <is>
          <t>GP %</t>
        </is>
      </c>
      <c r="K4" s="153" t="inlineStr">
        <is>
          <t>Weighted Pipe</t>
        </is>
      </c>
      <c r="L4" s="153" t="inlineStr">
        <is>
          <t>Avg Deal Size</t>
        </is>
      </c>
      <c r="M4" s="120" t="inlineStr">
        <is>
          <t>Past-Due Deals</t>
        </is>
      </c>
      <c r="N4" s="108" t="n"/>
    </row>
    <row r="5" ht="24" customHeight="1" s="96">
      <c r="A5" s="108" t="n"/>
      <c r="B5" s="167">
        <f>RepName1</f>
        <v/>
      </c>
      <c r="C5" s="168">
        <f>COUNTIFS('Madine- Coverage'!C4:C202,"&lt;&gt;")</f>
        <v/>
      </c>
      <c r="D5" s="168">
        <f>(COUNTIFS('Madine- Conversion'!G4:G202,"&lt;&gt;Closed Lost",'Madine- Conversion'!G4:G202,"&lt;&gt;Closed Won",'Madine- Conversion'!G4:G202,"&lt;&gt;"))</f>
        <v/>
      </c>
      <c r="E5" s="168">
        <f>COUNTIF('Madine- Conversion'!G4:G202,"Closed Won")</f>
        <v/>
      </c>
      <c r="F5" s="168">
        <f>COUNTIF('Madine- Conversion'!G4:G202,"Closed Lost")</f>
        <v/>
      </c>
      <c r="G5" s="129">
        <f>IFERROR(COUNTIF('Madine- Conversion'!G4:G202,"Closed Won")/(COUNTIF('Madine- Conversion'!G4:G202,"Closed Won")+COUNTIF('Madine- Conversion'!G4:G202,"Closed Lost")),0)</f>
        <v/>
      </c>
      <c r="H5" s="128">
        <f>(SUMIFS('Madine- Conversion'!H4:H202,'Madine- Conversion'!G4:G202,"&lt;&gt;Closed Lost",'Madine- Conversion'!G4:G202,"&lt;&gt;"))</f>
        <v/>
      </c>
      <c r="I5" s="128">
        <f>(SUMIFS('Madine- Conversion'!I4:I202,'Madine- Conversion'!G4:G202,"&lt;&gt;Closed Lost",'Madine- Conversion'!G4:G202,"&lt;&gt;"))</f>
        <v/>
      </c>
      <c r="J5" s="129">
        <f>IFERROR(I5/H5,0)</f>
        <v/>
      </c>
      <c r="K5" s="128">
        <f>((SUMIFS('Madine- Conversion'!H4:H202,'Madine- Conversion'!G4:G202,"Opportunity Creation")*0.1+SUMIFS('Madine- Conversion'!H4:H202,'Madine- Conversion'!G4:G202,"Scoping")*0.3+SUMIFS('Madine- Conversion'!H4:H202,'Madine- Conversion'!G4:G202,"BOM Submission")*0.5+SUMIFS('Madine- Conversion'!H4:H202,'Madine- Conversion'!G4:G202,"Resubmission")*0.7+SUMIFS('Madine- Conversion'!H4:H202,'Madine- Conversion'!G4:G202,"Negotiation")*0.9))</f>
        <v/>
      </c>
      <c r="L5" s="128">
        <f>IFERROR(H5/(D5+E5),0)</f>
        <v/>
      </c>
      <c r="M5" s="131">
        <f>((SUMPRODUCT(--ISNUMBER('Madine- Conversion'!J4:J202),--('Madine- Conversion'!J4:J202&lt;TODAY()),--('Madine- Conversion'!G4:G202="Opportunity Creation"))+SUMPRODUCT(--ISNUMBER('Madine- Conversion'!J4:J202),--('Madine- Conversion'!J4:J202&lt;TODAY()),--('Madine- Conversion'!G4:G202="Scoping"))+SUMPRODUCT(--ISNUMBER('Madine- Conversion'!J4:J202),--('Madine- Conversion'!J4:J202&lt;TODAY()),--('Madine- Conversion'!G4:G202="BOM Submission"))+SUMPRODUCT(--ISNUMBER('Madine- Conversion'!J4:J202),--('Madine- Conversion'!J4:J202&lt;TODAY()),--('Madine- Conversion'!G4:G202="Resubmission"))+SUMPRODUCT(--ISNUMBER('Madine- Conversion'!J4:J202),--('Madine- Conversion'!J4:J202&lt;TODAY()),--('Madine- Conversion'!G4:G202="Negotiation"))))</f>
        <v/>
      </c>
      <c r="N5" s="108" t="n"/>
    </row>
    <row r="6" ht="24" customHeight="1" s="96">
      <c r="A6" s="108" t="n"/>
      <c r="B6" s="169">
        <f>RepName2</f>
        <v/>
      </c>
      <c r="C6" s="170">
        <f>COUNTIFS('Zarrah- Coverage'!C4:C202,"&lt;&gt;")</f>
        <v/>
      </c>
      <c r="D6" s="170">
        <f>(COUNTIFS('Zarrah-Conversion'!G3:G201,"&lt;&gt;Closed Lost",'Zarrah-Conversion'!G3:G201,"&lt;&gt;Closed Won",'Zarrah-Conversion'!G3:G201,"&lt;&gt;"))</f>
        <v/>
      </c>
      <c r="E6" s="170">
        <f>COUNTIF('Zarrah-Conversion'!G3:G201,"Closed Won")</f>
        <v/>
      </c>
      <c r="F6" s="170">
        <f>COUNTIF('Zarrah-Conversion'!G3:G201,"Closed Lost")</f>
        <v/>
      </c>
      <c r="G6" s="123">
        <f>IFERROR(COUNTIF('Zarrah-Conversion'!G3:G201,"Closed Won")/(COUNTIF('Zarrah-Conversion'!G3:G201,"Closed Won")+COUNTIF('Zarrah-Conversion'!G3:G201,"Closed Lost")),0)</f>
        <v/>
      </c>
      <c r="H6" s="122">
        <f>(SUMIFS('Zarrah-Conversion'!H3:H201,'Zarrah-Conversion'!G3:G201,"&lt;&gt;Closed Lost",'Zarrah-Conversion'!G3:G201,"&lt;&gt;"))</f>
        <v/>
      </c>
      <c r="I6" s="122">
        <f>(SUMIFS('Zarrah-Conversion'!I3:I201,'Zarrah-Conversion'!G3:G201,"&lt;&gt;Closed Lost",'Zarrah-Conversion'!G3:G201,"&lt;&gt;"))</f>
        <v/>
      </c>
      <c r="J6" s="123">
        <f>IFERROR(I6/H6,0)</f>
        <v/>
      </c>
      <c r="K6" s="122">
        <f>((SUMIFS('Zarrah-Conversion'!H3:H201,'Zarrah-Conversion'!G3:G201,"Opportunity Creation")*0.1+SUMIFS('Zarrah-Conversion'!H3:H201,'Zarrah-Conversion'!G3:G201,"Scoping")*0.3+SUMIFS('Zarrah-Conversion'!H3:H201,'Zarrah-Conversion'!G3:G201,"BOM Submission")*0.5+SUMIFS('Zarrah-Conversion'!H3:H201,'Zarrah-Conversion'!G3:G201,"Resubmission")*0.7+SUMIFS('Zarrah-Conversion'!H3:H201,'Zarrah-Conversion'!G3:G201,"Negotiation")*0.9))</f>
        <v/>
      </c>
      <c r="L6" s="122">
        <f>IFERROR(H6/(D6+E6),0)</f>
        <v/>
      </c>
      <c r="M6" s="125">
        <f>((SUMPRODUCT(--ISNUMBER('Zarrah-Conversion'!J3:J201),--('Zarrah-Conversion'!J3:J201&lt;TODAY()),--('Zarrah-Conversion'!G3:G201="Opportunity Creation"))+SUMPRODUCT(--ISNUMBER('Zarrah-Conversion'!J3:J201),--('Zarrah-Conversion'!J3:J201&lt;TODAY()),--('Zarrah-Conversion'!G3:G201="Scoping"))+SUMPRODUCT(--ISNUMBER('Zarrah-Conversion'!J3:J201),--('Zarrah-Conversion'!J3:J201&lt;TODAY()),--('Zarrah-Conversion'!G3:G201="BOM Submission"))+SUMPRODUCT(--ISNUMBER('Zarrah-Conversion'!J3:J201),--('Zarrah-Conversion'!J3:J201&lt;TODAY()),--('Zarrah-Conversion'!G3:G201="Resubmission"))+SUMPRODUCT(--ISNUMBER('Zarrah-Conversion'!J3:J201),--('Zarrah-Conversion'!J3:J201&lt;TODAY()),--('Zarrah-Conversion'!G3:G201="Negotiation"))))</f>
        <v/>
      </c>
      <c r="N6" s="108" t="n"/>
    </row>
    <row r="7" ht="24" customHeight="1" s="96">
      <c r="A7" s="108" t="n"/>
      <c r="B7" s="167">
        <f>RepName3</f>
        <v/>
      </c>
      <c r="C7" s="168">
        <f>COUNTIFS('Home-Coverage'!C4:C202,"&lt;&gt;")</f>
        <v/>
      </c>
      <c r="D7" s="168">
        <f>(COUNTIFS('Home-Conversion'!G4:G202,"&lt;&gt;Closed Lost",'Home-Conversion'!G4:G202,"&lt;&gt;Closed Won",'Home-Conversion'!G4:G202,"&lt;&gt;"))</f>
        <v/>
      </c>
      <c r="E7" s="168">
        <f>COUNTIF('Home-Conversion'!G4:G202,"Closed Won")</f>
        <v/>
      </c>
      <c r="F7" s="168">
        <f>COUNTIF('Home-Conversion'!G4:G202,"Closed Lost")</f>
        <v/>
      </c>
      <c r="G7" s="129">
        <f>IFERROR(COUNTIF('Home-Conversion'!G4:G202,"Closed Won")/(COUNTIF('Home-Conversion'!G4:G202,"Closed Won")+COUNTIF('Home-Conversion'!G4:G202,"Closed Lost")),0)</f>
        <v/>
      </c>
      <c r="H7" s="128">
        <f>(SUMIFS('Home-Conversion'!H4:H202,'Home-Conversion'!G4:G202,"&lt;&gt;Closed Lost",'Home-Conversion'!G4:G202,"&lt;&gt;"))</f>
        <v/>
      </c>
      <c r="I7" s="128">
        <f>(SUMIFS('Home-Conversion'!I4:I202,'Home-Conversion'!G4:G202,"&lt;&gt;Closed Lost",'Home-Conversion'!G4:G202,"&lt;&gt;"))</f>
        <v/>
      </c>
      <c r="J7" s="129">
        <f>IFERROR(I7/H7,0)</f>
        <v/>
      </c>
      <c r="K7" s="128">
        <f>((SUMIFS('Home-Conversion'!H4:H202,'Home-Conversion'!G4:G202,"Opportunity Creation")*0.1+SUMIFS('Home-Conversion'!H4:H202,'Home-Conversion'!G4:G202,"Scoping")*0.3+SUMIFS('Home-Conversion'!H4:H202,'Home-Conversion'!G4:G202,"BOM Submission")*0.5+SUMIFS('Home-Conversion'!H4:H202,'Home-Conversion'!G4:G202,"Resubmission")*0.7+SUMIFS('Home-Conversion'!H4:H202,'Home-Conversion'!G4:G202,"Negotiation")*0.9))</f>
        <v/>
      </c>
      <c r="L7" s="128">
        <f>IFERROR(H7/(D7+E7),0)</f>
        <v/>
      </c>
      <c r="M7" s="131">
        <f>((SUMPRODUCT(--ISNUMBER('Home-Conversion'!J4:J202),--('Home-Conversion'!J4:J202&lt;TODAY()),--('Home-Conversion'!G4:G202="Opportunity Creation"))+SUMPRODUCT(--ISNUMBER('Home-Conversion'!J4:J202),--('Home-Conversion'!J4:J202&lt;TODAY()),--('Home-Conversion'!G4:G202="Scoping"))+SUMPRODUCT(--ISNUMBER('Home-Conversion'!J4:J202),--('Home-Conversion'!J4:J202&lt;TODAY()),--('Home-Conversion'!G4:G202="BOM Submission"))+SUMPRODUCT(--ISNUMBER('Home-Conversion'!J4:J202),--('Home-Conversion'!J4:J202&lt;TODAY()),--('Home-Conversion'!G4:G202="Resubmission"))+SUMPRODUCT(--ISNUMBER('Home-Conversion'!J4:J202),--('Home-Conversion'!J4:J202&lt;TODAY()),--('Home-Conversion'!G4:G202="Negotiation"))))</f>
        <v/>
      </c>
      <c r="N7" s="108" t="n"/>
    </row>
    <row r="8" ht="24" customHeight="1" s="96">
      <c r="A8" s="108" t="n"/>
      <c r="B8" s="169">
        <f>IF(RepPrefix4="","",RepName4)</f>
        <v/>
      </c>
      <c r="C8" s="170">
        <f>IF(RepPrefix4="","",IF(RepPrefix4="",0,IFERROR(COUNTIFS(INDIRECT("'"&amp;RepPrefix4&amp;"- Coverage'!C4:C202"),"&lt;&gt;"),0)))</f>
        <v/>
      </c>
      <c r="D8" s="170">
        <f>IF(RepPrefix4="","",(IF(RepPrefix4="",0,IFERROR(COUNTIFS(INDIRECT("'"&amp;RepPrefix4&amp;"- Conversion'!G4:G202"),"&lt;&gt;Closed Lost",INDIRECT("'"&amp;RepPrefix4&amp;"- Conversion'!G4:G202"),"&lt;&gt;Closed Won",INDIRECT("'"&amp;RepPrefix4&amp;"- Conversion'!G4:G202"),"&lt;&gt;"),0))))</f>
        <v/>
      </c>
      <c r="E8" s="170">
        <f>IF(RepPrefix4="","",IF(RepPrefix4="",0,IFERROR(COUNTIF(INDIRECT("'"&amp;RepPrefix4&amp;"- Conversion'!G4:G202"),"Closed Won"),0)))</f>
        <v/>
      </c>
      <c r="F8" s="170">
        <f>IF(RepPrefix4="","",IF(RepPrefix4="",0,IFERROR(COUNTIF(INDIRECT("'"&amp;RepPrefix4&amp;"- Conversion'!G4:G202"),"Closed Lost"),0)))</f>
        <v/>
      </c>
      <c r="G8" s="123">
        <f>IF(RepPrefix4="","",IFERROR(IF(RepPrefix4="",0,IFERROR(COUNTIF(INDIRECT("'"&amp;RepPrefix4&amp;"- Conversion'!G4:G202"),"Closed Won"),0))/(IF(RepPrefix4="",0,IFERROR(COUNTIF(INDIRECT("'"&amp;RepPrefix4&amp;"- Conversion'!G4:G202"),"Closed Won"),0))+IF(RepPrefix4="",0,IFERROR(COUNTIF(INDIRECT("'"&amp;RepPrefix4&amp;"- Conversion'!G4:G202"),"Closed Lost"),0))),0))</f>
        <v/>
      </c>
      <c r="H8" s="122">
        <f>IF(RepPrefix4="","",(IF(RepPrefix4="",0,IFERROR(SUMIFS(INDIRECT("'"&amp;RepPrefix4&amp;"- Conversion'!H4:H202"),INDIRECT("'"&amp;RepPrefix4&amp;"- Conversion'!G4:G202"),"&lt;&gt;Closed Lost",INDIRECT("'"&amp;RepPrefix4&amp;"- Conversion'!G4:G202"),"&lt;&gt;"),0))))</f>
        <v/>
      </c>
      <c r="I8" s="122">
        <f>IF(RepPrefix4="","",(IF(RepPrefix4="",0,IFERROR(SUMIFS(INDIRECT("'"&amp;RepPrefix4&amp;"- Conversion'!I4:I202"),INDIRECT("'"&amp;RepPrefix4&amp;"- Conversion'!G4:G202"),"&lt;&gt;Closed Lost",INDIRECT("'"&amp;RepPrefix4&amp;"- Conversion'!G4:G202"),"&lt;&gt;"),0))))</f>
        <v/>
      </c>
      <c r="J8" s="123">
        <f>IFERROR(I8/H8,0)</f>
        <v/>
      </c>
      <c r="K8" s="122">
        <f>IF(RepPrefix4="","",((IF(RepPrefix4="",0,IFERROR(SUMIFS(INDIRECT("'"&amp;RepPrefix4&amp;"- Conversion'!H4:H202"),INDIRECT("'"&amp;RepPrefix4&amp;"- Conversion'!G4:G202"),"Opportunity Creation"),0))*0.1+IF(RepPrefix4="",0,IFERROR(SUMIFS(INDIRECT("'"&amp;RepPrefix4&amp;"- Conversion'!H4:H202"),INDIRECT("'"&amp;RepPrefix4&amp;"- Conversion'!G4:G202"),"Scoping"),0))*0.3+IF(RepPrefix4="",0,IFERROR(SUMIFS(INDIRECT("'"&amp;RepPrefix4&amp;"- Conversion'!H4:H202"),INDIRECT("'"&amp;RepPrefix4&amp;"- Conversion'!G4:G202"),"BOM Submission"),0))*0.5+IF(RepPrefix4="",0,IFERROR(SUMIFS(INDIRECT("'"&amp;RepPrefix4&amp;"- Conversion'!H4:H202"),INDIRECT("'"&amp;RepPrefix4&amp;"- Conversion'!G4:G202"),"Resubmission"),0))*0.7+IF(RepPrefix4="",0,IFERROR(SUMIFS(INDIRECT("'"&amp;RepPrefix4&amp;"- Conversion'!H4:H202"),INDIRECT("'"&amp;RepPrefix4&amp;"- Conversion'!G4:G202"),"Negotiation"),0))*0.9)))</f>
        <v/>
      </c>
      <c r="L8" s="122">
        <f>IFERROR(H8/(D8+E8),0)</f>
        <v/>
      </c>
      <c r="M8" s="125">
        <f>IF(RepPrefix4="","",(IF(RepPrefix4="",0,IFERROR((SUMPRODUCT(--ISNUMBER(INDIRECT("'"&amp;RepPrefix4&amp;"- Conversion'!J4:J202")),--(INDIRECT("'"&amp;RepPrefix4&amp;"- Conversion'!J4:J202")&lt;TODAY()),--(INDIRECT("'"&amp;RepPrefix4&amp;"- Conversion'!G4:G202")="Opportunity Creation"))+SUMPRODUCT(--ISNUMBER(INDIRECT("'"&amp;RepPrefix4&amp;"- Conversion'!J4:J202")),--(INDIRECT("'"&amp;RepPrefix4&amp;"- Conversion'!J4:J202")&lt;TODAY()),--(INDIRECT("'"&amp;RepPrefix4&amp;"- Conversion'!G4:G202")="Scoping"))+SUMPRODUCT(--ISNUMBER(INDIRECT("'"&amp;RepPrefix4&amp;"- Conversion'!J4:J202")),--(INDIRECT("'"&amp;RepPrefix4&amp;"- Conversion'!J4:J202")&lt;TODAY()),--(INDIRECT("'"&amp;RepPrefix4&amp;"- Conversion'!G4:G202")="BOM Submission"))+SUMPRODUCT(--ISNUMBER(INDIRECT("'"&amp;RepPrefix4&amp;"- Conversion'!J4:J202")),--(INDIRECT("'"&amp;RepPrefix4&amp;"- Conversion'!J4:J202")&lt;TODAY()),--(INDIRECT("'"&amp;RepPrefix4&amp;"- Conversion'!G4:G202")="Resubmission"))+SUMPRODUCT(--ISNUMBER(INDIRECT("'"&amp;RepPrefix4&amp;"- Conversion'!J4:J202")),--(INDIRECT("'"&amp;RepPrefix4&amp;"- Conversion'!J4:J202")&lt;TODAY()),--(INDIRECT("'"&amp;RepPrefix4&amp;"- Conversion'!G4:G202")="Negotiation"))),0))))</f>
        <v/>
      </c>
      <c r="N8" s="108" t="n"/>
    </row>
    <row r="9" ht="24" customHeight="1" s="96">
      <c r="A9" s="108" t="n"/>
      <c r="B9" s="167">
        <f>IF(RepPrefix5="","",RepName5)</f>
        <v/>
      </c>
      <c r="C9" s="168">
        <f>IF(RepPrefix5="","",IF(RepPrefix5="",0,IFERROR(COUNTIFS(INDIRECT("'"&amp;RepPrefix5&amp;"- Coverage'!C4:C202"),"&lt;&gt;"),0)))</f>
        <v/>
      </c>
      <c r="D9" s="168">
        <f>IF(RepPrefix5="","",(IF(RepPrefix5="",0,IFERROR(COUNTIFS(INDIRECT("'"&amp;RepPrefix5&amp;"- Conversion'!G4:G202"),"&lt;&gt;Closed Lost",INDIRECT("'"&amp;RepPrefix5&amp;"- Conversion'!G4:G202"),"&lt;&gt;Closed Won",INDIRECT("'"&amp;RepPrefix5&amp;"- Conversion'!G4:G202"),"&lt;&gt;"),0))))</f>
        <v/>
      </c>
      <c r="E9" s="168">
        <f>IF(RepPrefix5="","",IF(RepPrefix5="",0,IFERROR(COUNTIF(INDIRECT("'"&amp;RepPrefix5&amp;"- Conversion'!G4:G202"),"Closed Won"),0)))</f>
        <v/>
      </c>
      <c r="F9" s="168">
        <f>IF(RepPrefix5="","",IF(RepPrefix5="",0,IFERROR(COUNTIF(INDIRECT("'"&amp;RepPrefix5&amp;"- Conversion'!G4:G202"),"Closed Lost"),0)))</f>
        <v/>
      </c>
      <c r="G9" s="129">
        <f>IF(RepPrefix5="","",IFERROR(IF(RepPrefix5="",0,IFERROR(COUNTIF(INDIRECT("'"&amp;RepPrefix5&amp;"- Conversion'!G4:G202"),"Closed Won"),0))/(IF(RepPrefix5="",0,IFERROR(COUNTIF(INDIRECT("'"&amp;RepPrefix5&amp;"- Conversion'!G4:G202"),"Closed Won"),0))+IF(RepPrefix5="",0,IFERROR(COUNTIF(INDIRECT("'"&amp;RepPrefix5&amp;"- Conversion'!G4:G202"),"Closed Lost"),0))),0))</f>
        <v/>
      </c>
      <c r="H9" s="128">
        <f>IF(RepPrefix5="","",(IF(RepPrefix5="",0,IFERROR(SUMIFS(INDIRECT("'"&amp;RepPrefix5&amp;"- Conversion'!H4:H202"),INDIRECT("'"&amp;RepPrefix5&amp;"- Conversion'!G4:G202"),"&lt;&gt;Closed Lost",INDIRECT("'"&amp;RepPrefix5&amp;"- Conversion'!G4:G202"),"&lt;&gt;"),0))))</f>
        <v/>
      </c>
      <c r="I9" s="128">
        <f>IF(RepPrefix5="","",(IF(RepPrefix5="",0,IFERROR(SUMIFS(INDIRECT("'"&amp;RepPrefix5&amp;"- Conversion'!I4:I202"),INDIRECT("'"&amp;RepPrefix5&amp;"- Conversion'!G4:G202"),"&lt;&gt;Closed Lost",INDIRECT("'"&amp;RepPrefix5&amp;"- Conversion'!G4:G202"),"&lt;&gt;"),0))))</f>
        <v/>
      </c>
      <c r="J9" s="129">
        <f>IFERROR(I9/H9,0)</f>
        <v/>
      </c>
      <c r="K9" s="128">
        <f>IF(RepPrefix5="","",((IF(RepPrefix5="",0,IFERROR(SUMIFS(INDIRECT("'"&amp;RepPrefix5&amp;"- Conversion'!H4:H202"),INDIRECT("'"&amp;RepPrefix5&amp;"- Conversion'!G4:G202"),"Opportunity Creation"),0))*0.1+IF(RepPrefix5="",0,IFERROR(SUMIFS(INDIRECT("'"&amp;RepPrefix5&amp;"- Conversion'!H4:H202"),INDIRECT("'"&amp;RepPrefix5&amp;"- Conversion'!G4:G202"),"Scoping"),0))*0.3+IF(RepPrefix5="",0,IFERROR(SUMIFS(INDIRECT("'"&amp;RepPrefix5&amp;"- Conversion'!H4:H202"),INDIRECT("'"&amp;RepPrefix5&amp;"- Conversion'!G4:G202"),"BOM Submission"),0))*0.5+IF(RepPrefix5="",0,IFERROR(SUMIFS(INDIRECT("'"&amp;RepPrefix5&amp;"- Conversion'!H4:H202"),INDIRECT("'"&amp;RepPrefix5&amp;"- Conversion'!G4:G202"),"Resubmission"),0))*0.7+IF(RepPrefix5="",0,IFERROR(SUMIFS(INDIRECT("'"&amp;RepPrefix5&amp;"- Conversion'!H4:H202"),INDIRECT("'"&amp;RepPrefix5&amp;"- Conversion'!G4:G202"),"Negotiation"),0))*0.9)))</f>
        <v/>
      </c>
      <c r="L9" s="128">
        <f>IFERROR(H9/(D9+E9),0)</f>
        <v/>
      </c>
      <c r="M9" s="131">
        <f>IF(RepPrefix5="","",(IF(RepPrefix5="",0,IFERROR((SUMPRODUCT(--ISNUMBER(INDIRECT("'"&amp;RepPrefix5&amp;"- Conversion'!J4:J202")),--(INDIRECT("'"&amp;RepPrefix5&amp;"- Conversion'!J4:J202")&lt;TODAY()),--(INDIRECT("'"&amp;RepPrefix5&amp;"- Conversion'!G4:G202")="Opportunity Creation"))+SUMPRODUCT(--ISNUMBER(INDIRECT("'"&amp;RepPrefix5&amp;"- Conversion'!J4:J202")),--(INDIRECT("'"&amp;RepPrefix5&amp;"- Conversion'!J4:J202")&lt;TODAY()),--(INDIRECT("'"&amp;RepPrefix5&amp;"- Conversion'!G4:G202")="Scoping"))+SUMPRODUCT(--ISNUMBER(INDIRECT("'"&amp;RepPrefix5&amp;"- Conversion'!J4:J202")),--(INDIRECT("'"&amp;RepPrefix5&amp;"- Conversion'!J4:J202")&lt;TODAY()),--(INDIRECT("'"&amp;RepPrefix5&amp;"- Conversion'!G4:G202")="BOM Submission"))+SUMPRODUCT(--ISNUMBER(INDIRECT("'"&amp;RepPrefix5&amp;"- Conversion'!J4:J202")),--(INDIRECT("'"&amp;RepPrefix5&amp;"- Conversion'!J4:J202")&lt;TODAY()),--(INDIRECT("'"&amp;RepPrefix5&amp;"- Conversion'!G4:G202")="Resubmission"))+SUMPRODUCT(--ISNUMBER(INDIRECT("'"&amp;RepPrefix5&amp;"- Conversion'!J4:J202")),--(INDIRECT("'"&amp;RepPrefix5&amp;"- Conversion'!J4:J202")&lt;TODAY()),--(INDIRECT("'"&amp;RepPrefix5&amp;"- Conversion'!G4:G202")="Negotiation"))),0))))</f>
        <v/>
      </c>
      <c r="N9" s="108" t="n"/>
    </row>
    <row r="10" ht="24" customHeight="1" s="96">
      <c r="A10" s="108" t="n"/>
      <c r="B10" s="169">
        <f>IF(RepPrefix6="","",RepName6)</f>
        <v/>
      </c>
      <c r="C10" s="170">
        <f>IF(RepPrefix6="","",IF(RepPrefix6="",0,IFERROR(COUNTIFS(INDIRECT("'"&amp;RepPrefix6&amp;"- Coverage'!C4:C202"),"&lt;&gt;"),0)))</f>
        <v/>
      </c>
      <c r="D10" s="170">
        <f>IF(RepPrefix6="","",(IF(RepPrefix6="",0,IFERROR(COUNTIFS(INDIRECT("'"&amp;RepPrefix6&amp;"- Conversion'!G4:G202"),"&lt;&gt;Closed Lost",INDIRECT("'"&amp;RepPrefix6&amp;"- Conversion'!G4:G202"),"&lt;&gt;Closed Won",INDIRECT("'"&amp;RepPrefix6&amp;"- Conversion'!G4:G202"),"&lt;&gt;"),0))))</f>
        <v/>
      </c>
      <c r="E10" s="170">
        <f>IF(RepPrefix6="","",IF(RepPrefix6="",0,IFERROR(COUNTIF(INDIRECT("'"&amp;RepPrefix6&amp;"- Conversion'!G4:G202"),"Closed Won"),0)))</f>
        <v/>
      </c>
      <c r="F10" s="170">
        <f>IF(RepPrefix6="","",IF(RepPrefix6="",0,IFERROR(COUNTIF(INDIRECT("'"&amp;RepPrefix6&amp;"- Conversion'!G4:G202"),"Closed Lost"),0)))</f>
        <v/>
      </c>
      <c r="G10" s="123">
        <f>IF(RepPrefix6="","",IFERROR(IF(RepPrefix6="",0,IFERROR(COUNTIF(INDIRECT("'"&amp;RepPrefix6&amp;"- Conversion'!G4:G202"),"Closed Won"),0))/(IF(RepPrefix6="",0,IFERROR(COUNTIF(INDIRECT("'"&amp;RepPrefix6&amp;"- Conversion'!G4:G202"),"Closed Won"),0))+IF(RepPrefix6="",0,IFERROR(COUNTIF(INDIRECT("'"&amp;RepPrefix6&amp;"- Conversion'!G4:G202"),"Closed Lost"),0))),0))</f>
        <v/>
      </c>
      <c r="H10" s="122">
        <f>IF(RepPrefix6="","",(IF(RepPrefix6="",0,IFERROR(SUMIFS(INDIRECT("'"&amp;RepPrefix6&amp;"- Conversion'!H4:H202"),INDIRECT("'"&amp;RepPrefix6&amp;"- Conversion'!G4:G202"),"&lt;&gt;Closed Lost",INDIRECT("'"&amp;RepPrefix6&amp;"- Conversion'!G4:G202"),"&lt;&gt;"),0))))</f>
        <v/>
      </c>
      <c r="I10" s="122">
        <f>IF(RepPrefix6="","",(IF(RepPrefix6="",0,IFERROR(SUMIFS(INDIRECT("'"&amp;RepPrefix6&amp;"- Conversion'!I4:I202"),INDIRECT("'"&amp;RepPrefix6&amp;"- Conversion'!G4:G202"),"&lt;&gt;Closed Lost",INDIRECT("'"&amp;RepPrefix6&amp;"- Conversion'!G4:G202"),"&lt;&gt;"),0))))</f>
        <v/>
      </c>
      <c r="J10" s="123">
        <f>IFERROR(I10/H10,0)</f>
        <v/>
      </c>
      <c r="K10" s="122">
        <f>IF(RepPrefix6="","",((IF(RepPrefix6="",0,IFERROR(SUMIFS(INDIRECT("'"&amp;RepPrefix6&amp;"- Conversion'!H4:H202"),INDIRECT("'"&amp;RepPrefix6&amp;"- Conversion'!G4:G202"),"Opportunity Creation"),0))*0.1+IF(RepPrefix6="",0,IFERROR(SUMIFS(INDIRECT("'"&amp;RepPrefix6&amp;"- Conversion'!H4:H202"),INDIRECT("'"&amp;RepPrefix6&amp;"- Conversion'!G4:G202"),"Scoping"),0))*0.3+IF(RepPrefix6="",0,IFERROR(SUMIFS(INDIRECT("'"&amp;RepPrefix6&amp;"- Conversion'!H4:H202"),INDIRECT("'"&amp;RepPrefix6&amp;"- Conversion'!G4:G202"),"BOM Submission"),0))*0.5+IF(RepPrefix6="",0,IFERROR(SUMIFS(INDIRECT("'"&amp;RepPrefix6&amp;"- Conversion'!H4:H202"),INDIRECT("'"&amp;RepPrefix6&amp;"- Conversion'!G4:G202"),"Resubmission"),0))*0.7+IF(RepPrefix6="",0,IFERROR(SUMIFS(INDIRECT("'"&amp;RepPrefix6&amp;"- Conversion'!H4:H202"),INDIRECT("'"&amp;RepPrefix6&amp;"- Conversion'!G4:G202"),"Negotiation"),0))*0.9)))</f>
        <v/>
      </c>
      <c r="L10" s="122">
        <f>IFERROR(H10/(D10+E10),0)</f>
        <v/>
      </c>
      <c r="M10" s="125">
        <f>IF(RepPrefix6="","",(IF(RepPrefix6="",0,IFERROR((SUMPRODUCT(--ISNUMBER(INDIRECT("'"&amp;RepPrefix6&amp;"- Conversion'!J4:J202")),--(INDIRECT("'"&amp;RepPrefix6&amp;"- Conversion'!J4:J202")&lt;TODAY()),--(INDIRECT("'"&amp;RepPrefix6&amp;"- Conversion'!G4:G202")="Opportunity Creation"))+SUMPRODUCT(--ISNUMBER(INDIRECT("'"&amp;RepPrefix6&amp;"- Conversion'!J4:J202")),--(INDIRECT("'"&amp;RepPrefix6&amp;"- Conversion'!J4:J202")&lt;TODAY()),--(INDIRECT("'"&amp;RepPrefix6&amp;"- Conversion'!G4:G202")="Scoping"))+SUMPRODUCT(--ISNUMBER(INDIRECT("'"&amp;RepPrefix6&amp;"- Conversion'!J4:J202")),--(INDIRECT("'"&amp;RepPrefix6&amp;"- Conversion'!J4:J202")&lt;TODAY()),--(INDIRECT("'"&amp;RepPrefix6&amp;"- Conversion'!G4:G202")="BOM Submission"))+SUMPRODUCT(--ISNUMBER(INDIRECT("'"&amp;RepPrefix6&amp;"- Conversion'!J4:J202")),--(INDIRECT("'"&amp;RepPrefix6&amp;"- Conversion'!J4:J202")&lt;TODAY()),--(INDIRECT("'"&amp;RepPrefix6&amp;"- Conversion'!G4:G202")="Resubmission"))+SUMPRODUCT(--ISNUMBER(INDIRECT("'"&amp;RepPrefix6&amp;"- Conversion'!J4:J202")),--(INDIRECT("'"&amp;RepPrefix6&amp;"- Conversion'!J4:J202")&lt;TODAY()),--(INDIRECT("'"&amp;RepPrefix6&amp;"- Conversion'!G4:G202")="Negotiation"))),0))))</f>
        <v/>
      </c>
      <c r="N10" s="108" t="n"/>
    </row>
    <row r="11" ht="26" customHeight="1" s="96">
      <c r="A11" s="108" t="n"/>
      <c r="B11" s="171" t="inlineStr">
        <is>
          <t>TOTAL</t>
        </is>
      </c>
      <c r="C11" s="172">
        <f>SUM(C5:C10)</f>
        <v/>
      </c>
      <c r="D11" s="172">
        <f>SUM(D5:D10)</f>
        <v/>
      </c>
      <c r="E11" s="172">
        <f>SUM(E5:E10)</f>
        <v/>
      </c>
      <c r="F11" s="172">
        <f>SUM(F5:F10)</f>
        <v/>
      </c>
      <c r="G11" s="173">
        <f>IFERROR(SUM(E5:E10)/(SUM(E5:E10)+SUM(F5:F10)),0)</f>
        <v/>
      </c>
      <c r="H11" s="174">
        <f>SUM(H5:H10)</f>
        <v/>
      </c>
      <c r="I11" s="174">
        <f>SUM(I5:I10)</f>
        <v/>
      </c>
      <c r="J11" s="173">
        <f>IFERROR(I11/H11,0)</f>
        <v/>
      </c>
      <c r="K11" s="174">
        <f>SUM(K5:K10)</f>
        <v/>
      </c>
      <c r="L11" s="174">
        <f>IFERROR(H11/(D11+E11),0)</f>
        <v/>
      </c>
      <c r="M11" s="172">
        <f>SUM(M5:M10)</f>
        <v/>
      </c>
      <c r="N11" s="108" t="n"/>
    </row>
  </sheetData>
  <mergeCells count="1">
    <mergeCell ref="B2:M2"/>
  </mergeCells>
  <conditionalFormatting sqref="H5:H10">
    <cfRule type="dataBar" priority="1">
      <dataBar>
        <cfvo type="num" val="0"/>
        <cfvo type="max"/>
        <color rgb="001E6FBF"/>
      </dataBar>
    </cfRule>
  </conditionalFormatting>
  <conditionalFormatting sqref="K5:K10">
    <cfRule type="dataBar" priority="2">
      <dataBar>
        <cfvo type="num" val="0"/>
        <cfvo type="max"/>
        <color rgb="0060A5FA"/>
      </dataBar>
    </cfRule>
  </conditionalFormatting>
  <conditionalFormatting sqref="J5:J10">
    <cfRule type="colorScale" priority="3">
      <colorScale>
        <cfvo type="num" val="0.1"/>
        <cfvo type="num" val="0.2"/>
        <cfvo type="num" val="0.3"/>
        <color rgb="00FEE2E2"/>
        <color rgb="00FEF3C7"/>
        <color rgb="00DCFCE7"/>
      </colorScale>
    </cfRule>
  </conditionalFormatting>
  <conditionalFormatting sqref="M5:M10">
    <cfRule type="cellIs" priority="4" operator="greaterThan" dxfId="6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96" min="1" max="1"/>
    <col width="22" customWidth="1" style="96" min="2" max="2"/>
    <col width="11" customWidth="1" style="96" min="3" max="3"/>
    <col width="11" customWidth="1" style="96" min="4" max="4"/>
    <col width="11" customWidth="1" style="96" min="5" max="5"/>
    <col width="11" customWidth="1" style="96" min="6" max="6"/>
    <col width="11" customWidth="1" style="96" min="7" max="7"/>
    <col width="11" customWidth="1" style="96" min="8" max="8"/>
    <col width="11" customWidth="1" style="96" min="9" max="9"/>
    <col width="11" customWidth="1" style="96" min="10" max="10"/>
    <col width="18" customWidth="1" style="96" min="11" max="11"/>
    <col width="17" customWidth="1" style="96" min="12" max="12"/>
    <col width="3" customWidth="1" style="96" min="13" max="13"/>
  </cols>
  <sheetData>
    <row r="1" ht="6" customHeight="1" s="96">
      <c r="A1" s="108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</row>
    <row r="2" ht="28" customHeight="1" s="96">
      <c r="A2" s="108" t="n"/>
      <c r="B2" s="166" t="inlineStr">
        <is>
          <t>STAGE FUNNEL · PIPELINE BY STAGE</t>
        </is>
      </c>
      <c r="M2" s="108" t="n"/>
    </row>
    <row r="3" ht="8" customHeight="1" s="96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</row>
    <row r="4" ht="32" customHeight="1" s="96">
      <c r="A4" s="108" t="n"/>
      <c r="B4" s="175" t="inlineStr">
        <is>
          <t>STAGE</t>
        </is>
      </c>
      <c r="C4" s="175" t="inlineStr">
        <is>
          <t>Probability</t>
        </is>
      </c>
      <c r="D4" s="175">
        <f>RepName1&amp;" #"</f>
        <v/>
      </c>
      <c r="E4" s="175">
        <f>RepName2&amp;" #"</f>
        <v/>
      </c>
      <c r="F4" s="175">
        <f>RepName3&amp;" #"</f>
        <v/>
      </c>
      <c r="G4" s="175">
        <f>IF(RepPrefix4="","—",RepName4&amp;" #")</f>
        <v/>
      </c>
      <c r="H4" s="175">
        <f>IF(RepPrefix5="","—",RepName5&amp;" #")</f>
        <v/>
      </c>
      <c r="I4" s="175">
        <f>IF(RepPrefix6="","—",RepName6&amp;" #")</f>
        <v/>
      </c>
      <c r="J4" s="175" t="inlineStr">
        <is>
          <t>Total Opps</t>
        </is>
      </c>
      <c r="K4" s="175" t="inlineStr">
        <is>
          <t>Total TCV</t>
        </is>
      </c>
      <c r="L4" s="175" t="inlineStr">
        <is>
          <t>Weighted</t>
        </is>
      </c>
      <c r="M4" s="108" t="n"/>
    </row>
    <row r="5" ht="22" customHeight="1" s="96">
      <c r="A5" s="108" t="n"/>
      <c r="B5" s="127" t="inlineStr">
        <is>
          <t>Opportunity Creation</t>
        </is>
      </c>
      <c r="C5" s="176" t="n">
        <v>0.1</v>
      </c>
      <c r="D5" s="168">
        <f>COUNTIF('Madine- Conversion'!G4:G202,"Opportunity Creation")</f>
        <v/>
      </c>
      <c r="E5" s="168">
        <f>COUNTIF('Zarrah-Conversion'!G3:G201,"Opportunity Creation")</f>
        <v/>
      </c>
      <c r="F5" s="168">
        <f>COUNTIF('Home-Conversion'!G4:G202,"Opportunity Creation")</f>
        <v/>
      </c>
      <c r="G5" s="168">
        <f>IF(RepPrefix4="","",IF(RepPrefix4="",0,IFERROR(COUNTIF(INDIRECT("'"&amp;RepPrefix4&amp;"- Conversion'!G4:G202"),"Opportunity Creation"),0)))</f>
        <v/>
      </c>
      <c r="H5" s="168">
        <f>IF(RepPrefix5="","",IF(RepPrefix5="",0,IFERROR(COUNTIF(INDIRECT("'"&amp;RepPrefix5&amp;"- Conversion'!G4:G202"),"Opportunity Creation"),0)))</f>
        <v/>
      </c>
      <c r="I5" s="168">
        <f>IF(RepPrefix6="","",IF(RepPrefix6="",0,IFERROR(COUNTIF(INDIRECT("'"&amp;RepPrefix6&amp;"- Conversion'!G4:G202"),"Opportunity Creation"),0)))</f>
        <v/>
      </c>
      <c r="J5" s="131">
        <f>SUM(D5:I5)</f>
        <v/>
      </c>
      <c r="K5" s="128">
        <f>SUMIFS('Madine- Conversion'!H4:H202,'Madine- Conversion'!G4:G202,"Opportunity Creation")+SUMIFS('Zarrah-Conversion'!H3:H201,'Zarrah-Conversion'!G3:G201,"Opportunity Creation")+SUMIFS('Home-Conversion'!H4:H202,'Home-Conversion'!G4:G202,"Opportunity Creation")+IF(RepPrefix4="",0,IFERROR(SUMIFS(INDIRECT("'"&amp;RepPrefix4&amp;"- Conversion'!H4:H202"),INDIRECT("'"&amp;RepPrefix4&amp;"- Conversion'!G4:G202"),"Opportunity Creation"),0))+IF(RepPrefix5="",0,IFERROR(SUMIFS(INDIRECT("'"&amp;RepPrefix5&amp;"- Conversion'!H4:H202"),INDIRECT("'"&amp;RepPrefix5&amp;"- Conversion'!G4:G202"),"Opportunity Creation"),0))+IF(RepPrefix6="",0,IFERROR(SUMIFS(INDIRECT("'"&amp;RepPrefix6&amp;"- Conversion'!H4:H202"),INDIRECT("'"&amp;RepPrefix6&amp;"- Conversion'!G4:G202"),"Opportunity Creation"),0))</f>
        <v/>
      </c>
      <c r="L5" s="128">
        <f>K5*C5</f>
        <v/>
      </c>
      <c r="M5" s="108" t="n"/>
    </row>
    <row r="6" ht="22" customHeight="1" s="96">
      <c r="A6" s="108" t="n"/>
      <c r="B6" s="121" t="inlineStr">
        <is>
          <t>Scoping</t>
        </is>
      </c>
      <c r="C6" s="177" t="n">
        <v>0.3</v>
      </c>
      <c r="D6" s="170">
        <f>COUNTIF('Madine- Conversion'!G4:G202,"Scoping")</f>
        <v/>
      </c>
      <c r="E6" s="170">
        <f>COUNTIF('Zarrah-Conversion'!G3:G201,"Scoping")</f>
        <v/>
      </c>
      <c r="F6" s="170">
        <f>COUNTIF('Home-Conversion'!G4:G202,"Scoping")</f>
        <v/>
      </c>
      <c r="G6" s="170">
        <f>IF(RepPrefix4="","",IF(RepPrefix4="",0,IFERROR(COUNTIF(INDIRECT("'"&amp;RepPrefix4&amp;"- Conversion'!G4:G202"),"Scoping"),0)))</f>
        <v/>
      </c>
      <c r="H6" s="170">
        <f>IF(RepPrefix5="","",IF(RepPrefix5="",0,IFERROR(COUNTIF(INDIRECT("'"&amp;RepPrefix5&amp;"- Conversion'!G4:G202"),"Scoping"),0)))</f>
        <v/>
      </c>
      <c r="I6" s="170">
        <f>IF(RepPrefix6="","",IF(RepPrefix6="",0,IFERROR(COUNTIF(INDIRECT("'"&amp;RepPrefix6&amp;"- Conversion'!G4:G202"),"Scoping"),0)))</f>
        <v/>
      </c>
      <c r="J6" s="125">
        <f>SUM(D6:I6)</f>
        <v/>
      </c>
      <c r="K6" s="122">
        <f>SUMIFS('Madine- Conversion'!H4:H202,'Madine- Conversion'!G4:G202,"Scoping")+SUMIFS('Zarrah-Conversion'!H3:H201,'Zarrah-Conversion'!G3:G201,"Scoping")+SUMIFS('Home-Conversion'!H4:H202,'Home-Conversion'!G4:G202,"Scoping")+IF(RepPrefix4="",0,IFERROR(SUMIFS(INDIRECT("'"&amp;RepPrefix4&amp;"- Conversion'!H4:H202"),INDIRECT("'"&amp;RepPrefix4&amp;"- Conversion'!G4:G202"),"Scoping"),0))+IF(RepPrefix5="",0,IFERROR(SUMIFS(INDIRECT("'"&amp;RepPrefix5&amp;"- Conversion'!H4:H202"),INDIRECT("'"&amp;RepPrefix5&amp;"- Conversion'!G4:G202"),"Scoping"),0))+IF(RepPrefix6="",0,IFERROR(SUMIFS(INDIRECT("'"&amp;RepPrefix6&amp;"- Conversion'!H4:H202"),INDIRECT("'"&amp;RepPrefix6&amp;"- Conversion'!G4:G202"),"Scoping"),0))</f>
        <v/>
      </c>
      <c r="L6" s="122">
        <f>K6*C6</f>
        <v/>
      </c>
      <c r="M6" s="108" t="n"/>
    </row>
    <row r="7" ht="22" customHeight="1" s="96">
      <c r="A7" s="108" t="n"/>
      <c r="B7" s="127" t="inlineStr">
        <is>
          <t>BOM Submission</t>
        </is>
      </c>
      <c r="C7" s="176" t="n">
        <v>0.5</v>
      </c>
      <c r="D7" s="168">
        <f>COUNTIF('Madine- Conversion'!G4:G202,"BOM Submission")</f>
        <v/>
      </c>
      <c r="E7" s="168">
        <f>COUNTIF('Zarrah-Conversion'!G3:G201,"BOM Submission")</f>
        <v/>
      </c>
      <c r="F7" s="168">
        <f>COUNTIF('Home-Conversion'!G4:G202,"BOM Submission")</f>
        <v/>
      </c>
      <c r="G7" s="168">
        <f>IF(RepPrefix4="","",IF(RepPrefix4="",0,IFERROR(COUNTIF(INDIRECT("'"&amp;RepPrefix4&amp;"- Conversion'!G4:G202"),"BOM Submission"),0)))</f>
        <v/>
      </c>
      <c r="H7" s="168">
        <f>IF(RepPrefix5="","",IF(RepPrefix5="",0,IFERROR(COUNTIF(INDIRECT("'"&amp;RepPrefix5&amp;"- Conversion'!G4:G202"),"BOM Submission"),0)))</f>
        <v/>
      </c>
      <c r="I7" s="168">
        <f>IF(RepPrefix6="","",IF(RepPrefix6="",0,IFERROR(COUNTIF(INDIRECT("'"&amp;RepPrefix6&amp;"- Conversion'!G4:G202"),"BOM Submission"),0)))</f>
        <v/>
      </c>
      <c r="J7" s="131">
        <f>SUM(D7:I7)</f>
        <v/>
      </c>
      <c r="K7" s="128">
        <f>SUMIFS('Madine- Conversion'!H4:H202,'Madine- Conversion'!G4:G202,"BOM Submission")+SUMIFS('Zarrah-Conversion'!H3:H201,'Zarrah-Conversion'!G3:G201,"BOM Submission")+SUMIFS('Home-Conversion'!H4:H202,'Home-Conversion'!G4:G202,"BOM Submission")+IF(RepPrefix4="",0,IFERROR(SUMIFS(INDIRECT("'"&amp;RepPrefix4&amp;"- Conversion'!H4:H202"),INDIRECT("'"&amp;RepPrefix4&amp;"- Conversion'!G4:G202"),"BOM Submission"),0))+IF(RepPrefix5="",0,IFERROR(SUMIFS(INDIRECT("'"&amp;RepPrefix5&amp;"- Conversion'!H4:H202"),INDIRECT("'"&amp;RepPrefix5&amp;"- Conversion'!G4:G202"),"BOM Submission"),0))+IF(RepPrefix6="",0,IFERROR(SUMIFS(INDIRECT("'"&amp;RepPrefix6&amp;"- Conversion'!H4:H202"),INDIRECT("'"&amp;RepPrefix6&amp;"- Conversion'!G4:G202"),"BOM Submission"),0))</f>
        <v/>
      </c>
      <c r="L7" s="128">
        <f>K7*C7</f>
        <v/>
      </c>
      <c r="M7" s="108" t="n"/>
    </row>
    <row r="8" ht="22" customHeight="1" s="96">
      <c r="A8" s="108" t="n"/>
      <c r="B8" s="121" t="inlineStr">
        <is>
          <t>Resubmission</t>
        </is>
      </c>
      <c r="C8" s="177" t="n">
        <v>0.7</v>
      </c>
      <c r="D8" s="170">
        <f>COUNTIF('Madine- Conversion'!G4:G202,"Resubmission")</f>
        <v/>
      </c>
      <c r="E8" s="170">
        <f>COUNTIF('Zarrah-Conversion'!G3:G201,"Resubmission")</f>
        <v/>
      </c>
      <c r="F8" s="170">
        <f>COUNTIF('Home-Conversion'!G4:G202,"Resubmission")</f>
        <v/>
      </c>
      <c r="G8" s="170">
        <f>IF(RepPrefix4="","",IF(RepPrefix4="",0,IFERROR(COUNTIF(INDIRECT("'"&amp;RepPrefix4&amp;"- Conversion'!G4:G202"),"Resubmission"),0)))</f>
        <v/>
      </c>
      <c r="H8" s="170">
        <f>IF(RepPrefix5="","",IF(RepPrefix5="",0,IFERROR(COUNTIF(INDIRECT("'"&amp;RepPrefix5&amp;"- Conversion'!G4:G202"),"Resubmission"),0)))</f>
        <v/>
      </c>
      <c r="I8" s="170">
        <f>IF(RepPrefix6="","",IF(RepPrefix6="",0,IFERROR(COUNTIF(INDIRECT("'"&amp;RepPrefix6&amp;"- Conversion'!G4:G202"),"Resubmission"),0)))</f>
        <v/>
      </c>
      <c r="J8" s="125">
        <f>SUM(D8:I8)</f>
        <v/>
      </c>
      <c r="K8" s="122">
        <f>SUMIFS('Madine- Conversion'!H4:H202,'Madine- Conversion'!G4:G202,"Resubmission")+SUMIFS('Zarrah-Conversion'!H3:H201,'Zarrah-Conversion'!G3:G201,"Resubmission")+SUMIFS('Home-Conversion'!H4:H202,'Home-Conversion'!G4:G202,"Resubmission")+IF(RepPrefix4="",0,IFERROR(SUMIFS(INDIRECT("'"&amp;RepPrefix4&amp;"- Conversion'!H4:H202"),INDIRECT("'"&amp;RepPrefix4&amp;"- Conversion'!G4:G202"),"Resubmission"),0))+IF(RepPrefix5="",0,IFERROR(SUMIFS(INDIRECT("'"&amp;RepPrefix5&amp;"- Conversion'!H4:H202"),INDIRECT("'"&amp;RepPrefix5&amp;"- Conversion'!G4:G202"),"Resubmission"),0))+IF(RepPrefix6="",0,IFERROR(SUMIFS(INDIRECT("'"&amp;RepPrefix6&amp;"- Conversion'!H4:H202"),INDIRECT("'"&amp;RepPrefix6&amp;"- Conversion'!G4:G202"),"Resubmission"),0))</f>
        <v/>
      </c>
      <c r="L8" s="122">
        <f>K8*C8</f>
        <v/>
      </c>
      <c r="M8" s="108" t="n"/>
    </row>
    <row r="9" ht="22" customHeight="1" s="96">
      <c r="A9" s="108" t="n"/>
      <c r="B9" s="127" t="inlineStr">
        <is>
          <t>Negotiation</t>
        </is>
      </c>
      <c r="C9" s="176" t="n">
        <v>0.9</v>
      </c>
      <c r="D9" s="168">
        <f>COUNTIF('Madine- Conversion'!G4:G202,"Negotiation")</f>
        <v/>
      </c>
      <c r="E9" s="168">
        <f>COUNTIF('Zarrah-Conversion'!G3:G201,"Negotiation")</f>
        <v/>
      </c>
      <c r="F9" s="168">
        <f>COUNTIF('Home-Conversion'!G4:G202,"Negotiation")</f>
        <v/>
      </c>
      <c r="G9" s="168">
        <f>IF(RepPrefix4="","",IF(RepPrefix4="",0,IFERROR(COUNTIF(INDIRECT("'"&amp;RepPrefix4&amp;"- Conversion'!G4:G202"),"Negotiation"),0)))</f>
        <v/>
      </c>
      <c r="H9" s="168">
        <f>IF(RepPrefix5="","",IF(RepPrefix5="",0,IFERROR(COUNTIF(INDIRECT("'"&amp;RepPrefix5&amp;"- Conversion'!G4:G202"),"Negotiation"),0)))</f>
        <v/>
      </c>
      <c r="I9" s="168">
        <f>IF(RepPrefix6="","",IF(RepPrefix6="",0,IFERROR(COUNTIF(INDIRECT("'"&amp;RepPrefix6&amp;"- Conversion'!G4:G202"),"Negotiation"),0)))</f>
        <v/>
      </c>
      <c r="J9" s="131">
        <f>SUM(D9:I9)</f>
        <v/>
      </c>
      <c r="K9" s="128">
        <f>SUMIFS('Madine- Conversion'!H4:H202,'Madine- Conversion'!G4:G202,"Negotiation")+SUMIFS('Zarrah-Conversion'!H3:H201,'Zarrah-Conversion'!G3:G201,"Negotiation")+SUMIFS('Home-Conversion'!H4:H202,'Home-Conversion'!G4:G202,"Negotiation")+IF(RepPrefix4="",0,IFERROR(SUMIFS(INDIRECT("'"&amp;RepPrefix4&amp;"- Conversion'!H4:H202"),INDIRECT("'"&amp;RepPrefix4&amp;"- Conversion'!G4:G202"),"Negotiation"),0))+IF(RepPrefix5="",0,IFERROR(SUMIFS(INDIRECT("'"&amp;RepPrefix5&amp;"- Conversion'!H4:H202"),INDIRECT("'"&amp;RepPrefix5&amp;"- Conversion'!G4:G202"),"Negotiation"),0))+IF(RepPrefix6="",0,IFERROR(SUMIFS(INDIRECT("'"&amp;RepPrefix6&amp;"- Conversion'!H4:H202"),INDIRECT("'"&amp;RepPrefix6&amp;"- Conversion'!G4:G202"),"Negotiation"),0))</f>
        <v/>
      </c>
      <c r="L9" s="128">
        <f>K9*C9</f>
        <v/>
      </c>
      <c r="M9" s="108" t="n"/>
    </row>
    <row r="10" ht="22" customHeight="1" s="96">
      <c r="A10" s="108" t="n"/>
      <c r="B10" s="178" t="inlineStr">
        <is>
          <t>Closed Won</t>
        </is>
      </c>
      <c r="C10" s="179" t="n">
        <v>1</v>
      </c>
      <c r="D10" s="180">
        <f>COUNTIF('Madine- Conversion'!G4:G202,"Closed Won")</f>
        <v/>
      </c>
      <c r="E10" s="180">
        <f>COUNTIF('Zarrah-Conversion'!G3:G201,"Closed Won")</f>
        <v/>
      </c>
      <c r="F10" s="180">
        <f>COUNTIF('Home-Conversion'!G4:G202,"Closed Won")</f>
        <v/>
      </c>
      <c r="G10" s="180">
        <f>IF(RepPrefix4="","",IF(RepPrefix4="",0,IFERROR(COUNTIF(INDIRECT("'"&amp;RepPrefix4&amp;"- Conversion'!G4:G202"),"Closed Won"),0)))</f>
        <v/>
      </c>
      <c r="H10" s="180">
        <f>IF(RepPrefix5="","",IF(RepPrefix5="",0,IFERROR(COUNTIF(INDIRECT("'"&amp;RepPrefix5&amp;"- Conversion'!G4:G202"),"Closed Won"),0)))</f>
        <v/>
      </c>
      <c r="I10" s="180">
        <f>IF(RepPrefix6="","",IF(RepPrefix6="",0,IFERROR(COUNTIF(INDIRECT("'"&amp;RepPrefix6&amp;"- Conversion'!G4:G202"),"Closed Won"),0)))</f>
        <v/>
      </c>
      <c r="J10" s="135">
        <f>SUM(D10:I10)</f>
        <v/>
      </c>
      <c r="K10" s="136">
        <f>SUMIFS('Madine- Conversion'!H4:H202,'Madine- Conversion'!G4:G202,"Closed Won")+SUMIFS('Zarrah-Conversion'!H3:H201,'Zarrah-Conversion'!G3:G201,"Closed Won")+SUMIFS('Home-Conversion'!H4:H202,'Home-Conversion'!G4:G202,"Closed Won")+IF(RepPrefix4="",0,IFERROR(SUMIFS(INDIRECT("'"&amp;RepPrefix4&amp;"- Conversion'!H4:H202"),INDIRECT("'"&amp;RepPrefix4&amp;"- Conversion'!G4:G202"),"Closed Won"),0))+IF(RepPrefix5="",0,IFERROR(SUMIFS(INDIRECT("'"&amp;RepPrefix5&amp;"- Conversion'!H4:H202"),INDIRECT("'"&amp;RepPrefix5&amp;"- Conversion'!G4:G202"),"Closed Won"),0))+IF(RepPrefix6="",0,IFERROR(SUMIFS(INDIRECT("'"&amp;RepPrefix6&amp;"- Conversion'!H4:H202"),INDIRECT("'"&amp;RepPrefix6&amp;"- Conversion'!G4:G202"),"Closed Won"),0))</f>
        <v/>
      </c>
      <c r="L10" s="136">
        <f>K10*C10</f>
        <v/>
      </c>
      <c r="M10" s="108" t="n"/>
    </row>
    <row r="11" ht="22" customHeight="1" s="96">
      <c r="A11" s="108" t="n"/>
      <c r="B11" s="181" t="inlineStr">
        <is>
          <t>Closed Lost</t>
        </is>
      </c>
      <c r="C11" s="182" t="n">
        <v>0</v>
      </c>
      <c r="D11" s="183">
        <f>COUNTIF('Madine- Conversion'!G4:G202,"Closed Lost")</f>
        <v/>
      </c>
      <c r="E11" s="183">
        <f>COUNTIF('Zarrah-Conversion'!G3:G201,"Closed Lost")</f>
        <v/>
      </c>
      <c r="F11" s="183">
        <f>COUNTIF('Home-Conversion'!G4:G202,"Closed Lost")</f>
        <v/>
      </c>
      <c r="G11" s="183">
        <f>IF(RepPrefix4="","",IF(RepPrefix4="",0,IFERROR(COUNTIF(INDIRECT("'"&amp;RepPrefix4&amp;"- Conversion'!G4:G202"),"Closed Lost"),0)))</f>
        <v/>
      </c>
      <c r="H11" s="183">
        <f>IF(RepPrefix5="","",IF(RepPrefix5="",0,IFERROR(COUNTIF(INDIRECT("'"&amp;RepPrefix5&amp;"- Conversion'!G4:G202"),"Closed Lost"),0)))</f>
        <v/>
      </c>
      <c r="I11" s="183">
        <f>IF(RepPrefix6="","",IF(RepPrefix6="",0,IFERROR(COUNTIF(INDIRECT("'"&amp;RepPrefix6&amp;"- Conversion'!G4:G202"),"Closed Lost"),0)))</f>
        <v/>
      </c>
      <c r="J11" s="142">
        <f>SUM(D11:I11)</f>
        <v/>
      </c>
      <c r="K11" s="143">
        <f>SUMIFS('Madine- Conversion'!H4:H202,'Madine- Conversion'!G4:G202,"Closed Lost")+SUMIFS('Zarrah-Conversion'!H3:H201,'Zarrah-Conversion'!G3:G201,"Closed Lost")+SUMIFS('Home-Conversion'!H4:H202,'Home-Conversion'!G4:G202,"Closed Lost")+IF(RepPrefix4="",0,IFERROR(SUMIFS(INDIRECT("'"&amp;RepPrefix4&amp;"- Conversion'!H4:H202"),INDIRECT("'"&amp;RepPrefix4&amp;"- Conversion'!G4:G202"),"Closed Lost"),0))+IF(RepPrefix5="",0,IFERROR(SUMIFS(INDIRECT("'"&amp;RepPrefix5&amp;"- Conversion'!H4:H202"),INDIRECT("'"&amp;RepPrefix5&amp;"- Conversion'!G4:G202"),"Closed Lost"),0))+IF(RepPrefix6="",0,IFERROR(SUMIFS(INDIRECT("'"&amp;RepPrefix6&amp;"- Conversion'!H4:H202"),INDIRECT("'"&amp;RepPrefix6&amp;"- Conversion'!G4:G202"),"Closed Lost"),0))</f>
        <v/>
      </c>
      <c r="L11" s="143">
        <f>K11*C11</f>
        <v/>
      </c>
      <c r="M11" s="108" t="n"/>
    </row>
    <row r="12" ht="26" customHeight="1" s="96">
      <c r="A12" s="108" t="n"/>
      <c r="B12" s="171" t="inlineStr">
        <is>
          <t>PIPELINE TOTAL (excl. Lost)</t>
        </is>
      </c>
      <c r="C12" s="118" t="inlineStr"/>
      <c r="D12" s="172">
        <f>SUM(D5:D10)</f>
        <v/>
      </c>
      <c r="E12" s="172">
        <f>SUM(E5:E10)</f>
        <v/>
      </c>
      <c r="F12" s="172">
        <f>SUM(F5:F10)</f>
        <v/>
      </c>
      <c r="G12" s="172">
        <f>SUM(G5:G10)</f>
        <v/>
      </c>
      <c r="H12" s="172">
        <f>SUM(H5:H10)</f>
        <v/>
      </c>
      <c r="I12" s="172">
        <f>SUM(I5:I10)</f>
        <v/>
      </c>
      <c r="J12" s="172">
        <f>SUM(J5:J10)</f>
        <v/>
      </c>
      <c r="K12" s="174">
        <f>SUM(K5:K10)</f>
        <v/>
      </c>
      <c r="L12" s="174">
        <f>SUM(L5:L10)</f>
        <v/>
      </c>
      <c r="M12" s="108" t="n"/>
    </row>
  </sheetData>
  <mergeCells count="1">
    <mergeCell ref="B2:L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96" min="1" max="1"/>
    <col width="32" customWidth="1" style="96" min="2" max="2"/>
    <col width="10" customWidth="1" style="96" min="3" max="3"/>
    <col width="17" customWidth="1" style="96" min="4" max="4"/>
    <col width="17" customWidth="1" style="96" min="5" max="5"/>
    <col width="17" customWidth="1" style="96" min="6" max="6"/>
    <col width="13" customWidth="1" style="96" min="7" max="7"/>
    <col width="16" customWidth="1" style="96" min="8" max="8"/>
    <col width="30" customWidth="1" style="96" min="9" max="9"/>
    <col width="3" customWidth="1" style="96" min="10" max="10"/>
  </cols>
  <sheetData>
    <row r="1" ht="6" customHeight="1" s="96">
      <c r="A1" s="108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</row>
    <row r="2" ht="28" customHeight="1" s="96">
      <c r="A2" s="108" t="n"/>
      <c r="B2" s="166" t="inlineStr">
        <is>
          <t>PIPELINE HEALTH · TOP DEALS &amp; AT-RISK</t>
        </is>
      </c>
      <c r="J2" s="108" t="n"/>
    </row>
    <row r="3" ht="8" customHeight="1" s="96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</row>
    <row r="4" ht="28" customHeight="1" s="96">
      <c r="A4" s="108" t="n"/>
      <c r="B4" s="175" t="inlineStr">
        <is>
          <t>ACCOUNT</t>
        </is>
      </c>
      <c r="C4" s="175" t="inlineStr">
        <is>
          <t>REP</t>
        </is>
      </c>
      <c r="D4" s="175" t="inlineStr">
        <is>
          <t>STAGE</t>
        </is>
      </c>
      <c r="E4" s="175" t="inlineStr">
        <is>
          <t>TCV</t>
        </is>
      </c>
      <c r="F4" s="175" t="inlineStr">
        <is>
          <t>GP</t>
        </is>
      </c>
      <c r="G4" s="175" t="inlineStr">
        <is>
          <t>CLOSING</t>
        </is>
      </c>
      <c r="H4" s="175" t="inlineStr">
        <is>
          <t>FLAG</t>
        </is>
      </c>
      <c r="I4" s="175" t="inlineStr">
        <is>
          <t>NOTES</t>
        </is>
      </c>
      <c r="J4" s="108" t="n"/>
    </row>
    <row r="5" ht="18" customHeight="1" s="96">
      <c r="A5" s="108" t="n"/>
      <c r="B5" s="159">
        <f>IFERROR(INDEX('Home-Conversion'!D4:D202,MATCH(LARGE('Home-Conversion'!T4:T202,1),'Home-Conversion'!T4:T202,0)),"")</f>
        <v/>
      </c>
      <c r="C5" s="164">
        <f>IF(B5="","",RepName3)</f>
        <v/>
      </c>
      <c r="D5" s="159">
        <f>IFERROR(INDEX('Home-Conversion'!G4:G202,MATCH(LARGE('Home-Conversion'!T4:T202,1),'Home-Conversion'!T4:T202,0)),"")</f>
        <v/>
      </c>
      <c r="E5" s="162">
        <f>IFERROR(LARGE('Home-Conversion'!T4:T202,1),"")</f>
        <v/>
      </c>
      <c r="F5" s="162">
        <f>IFERROR(INDEX('Home-Conversion'!I4:I202,MATCH(LARGE('Home-Conversion'!T4:T202,1),'Home-Conversion'!T4:T202,0)),"")</f>
        <v/>
      </c>
      <c r="G5" s="163">
        <f>IFERROR(INDEX('Home-Conversion'!J4:J202,MATCH(LARGE('Home-Conversion'!T4:T202,1),'Home-Conversion'!T4:T202,0)),"")</f>
        <v/>
      </c>
      <c r="H5" s="164">
        <f>IF(B5="","",IF(D5="Closed Won","✓ WON",IF(D5="Closed Lost","✗ LOST",IF(AND(G5&lt;&gt;"",ISNUMBER(G5),G5&lt;TODAY()),"⚠ PAST DUE",IF(G5="","◔ NO DATE",IF(D5="Negotiation","● NEGOTIATING","○ ACTIVE"))))))</f>
        <v/>
      </c>
      <c r="I5" s="160" t="inlineStr"/>
      <c r="J5" s="108" t="n"/>
    </row>
    <row r="6" ht="18" customHeight="1" s="96">
      <c r="A6" s="108" t="n"/>
      <c r="B6" s="154">
        <f>IFERROR(INDEX('Home-Conversion'!D4:D202,MATCH(LARGE('Home-Conversion'!T4:T202,2),'Home-Conversion'!T4:T202,0)),"")</f>
        <v/>
      </c>
      <c r="C6" s="158">
        <f>IF(B6="","",RepName3)</f>
        <v/>
      </c>
      <c r="D6" s="154">
        <f>IFERROR(INDEX('Home-Conversion'!G4:G202,MATCH(LARGE('Home-Conversion'!T4:T202,2),'Home-Conversion'!T4:T202,0)),"")</f>
        <v/>
      </c>
      <c r="E6" s="156">
        <f>IFERROR(LARGE('Home-Conversion'!T4:T202,2),"")</f>
        <v/>
      </c>
      <c r="F6" s="156">
        <f>IFERROR(INDEX('Home-Conversion'!I4:I202,MATCH(LARGE('Home-Conversion'!T4:T202,2),'Home-Conversion'!T4:T202,0)),"")</f>
        <v/>
      </c>
      <c r="G6" s="157">
        <f>IFERROR(INDEX('Home-Conversion'!J4:J202,MATCH(LARGE('Home-Conversion'!T4:T202,2),'Home-Conversion'!T4:T202,0)),"")</f>
        <v/>
      </c>
      <c r="H6" s="158">
        <f>IF(B6="","",IF(D6="Closed Won","✓ WON",IF(D6="Closed Lost","✗ LOST",IF(AND(G6&lt;&gt;"",ISNUMBER(G6),G6&lt;TODAY()),"⚠ PAST DUE",IF(G6="","◔ NO DATE",IF(D6="Negotiation","● NEGOTIATING","○ ACTIVE"))))))</f>
        <v/>
      </c>
      <c r="I6" s="133" t="inlineStr"/>
      <c r="J6" s="108" t="n"/>
    </row>
    <row r="7" ht="18" customHeight="1" s="96">
      <c r="A7" s="108" t="n"/>
      <c r="B7" s="159">
        <f>IFERROR(INDEX('Home-Conversion'!D4:D202,MATCH(LARGE('Home-Conversion'!T4:T202,3),'Home-Conversion'!T4:T202,0)),"")</f>
        <v/>
      </c>
      <c r="C7" s="164">
        <f>IF(B7="","",RepName3)</f>
        <v/>
      </c>
      <c r="D7" s="159">
        <f>IFERROR(INDEX('Home-Conversion'!G4:G202,MATCH(LARGE('Home-Conversion'!T4:T202,3),'Home-Conversion'!T4:T202,0)),"")</f>
        <v/>
      </c>
      <c r="E7" s="162">
        <f>IFERROR(LARGE('Home-Conversion'!T4:T202,3),"")</f>
        <v/>
      </c>
      <c r="F7" s="162">
        <f>IFERROR(INDEX('Home-Conversion'!I4:I202,MATCH(LARGE('Home-Conversion'!T4:T202,3),'Home-Conversion'!T4:T202,0)),"")</f>
        <v/>
      </c>
      <c r="G7" s="163">
        <f>IFERROR(INDEX('Home-Conversion'!J4:J202,MATCH(LARGE('Home-Conversion'!T4:T202,3),'Home-Conversion'!T4:T202,0)),"")</f>
        <v/>
      </c>
      <c r="H7" s="164">
        <f>IF(B7="","",IF(D7="Closed Won","✓ WON",IF(D7="Closed Lost","✗ LOST",IF(AND(G7&lt;&gt;"",ISNUMBER(G7),G7&lt;TODAY()),"⚠ PAST DUE",IF(G7="","◔ NO DATE",IF(D7="Negotiation","● NEGOTIATING","○ ACTIVE"))))))</f>
        <v/>
      </c>
      <c r="I7" s="160" t="inlineStr"/>
      <c r="J7" s="108" t="n"/>
    </row>
    <row r="8" ht="18" customHeight="1" s="96">
      <c r="A8" s="108" t="n"/>
      <c r="B8" s="154">
        <f>IFERROR(INDEX('Home-Conversion'!D4:D202,MATCH(LARGE('Home-Conversion'!T4:T202,4),'Home-Conversion'!T4:T202,0)),"")</f>
        <v/>
      </c>
      <c r="C8" s="158">
        <f>IF(B8="","",RepName3)</f>
        <v/>
      </c>
      <c r="D8" s="154">
        <f>IFERROR(INDEX('Home-Conversion'!G4:G202,MATCH(LARGE('Home-Conversion'!T4:T202,4),'Home-Conversion'!T4:T202,0)),"")</f>
        <v/>
      </c>
      <c r="E8" s="156">
        <f>IFERROR(LARGE('Home-Conversion'!T4:T202,4),"")</f>
        <v/>
      </c>
      <c r="F8" s="156">
        <f>IFERROR(INDEX('Home-Conversion'!I4:I202,MATCH(LARGE('Home-Conversion'!T4:T202,4),'Home-Conversion'!T4:T202,0)),"")</f>
        <v/>
      </c>
      <c r="G8" s="157">
        <f>IFERROR(INDEX('Home-Conversion'!J4:J202,MATCH(LARGE('Home-Conversion'!T4:T202,4),'Home-Conversion'!T4:T202,0)),"")</f>
        <v/>
      </c>
      <c r="H8" s="158">
        <f>IF(B8="","",IF(D8="Closed Won","✓ WON",IF(D8="Closed Lost","✗ LOST",IF(AND(G8&lt;&gt;"",ISNUMBER(G8),G8&lt;TODAY()),"⚠ PAST DUE",IF(G8="","◔ NO DATE",IF(D8="Negotiation","● NEGOTIATING","○ ACTIVE"))))))</f>
        <v/>
      </c>
      <c r="I8" s="133" t="inlineStr"/>
      <c r="J8" s="108" t="n"/>
    </row>
    <row r="9" ht="18" customHeight="1" s="96">
      <c r="A9" s="108" t="n"/>
      <c r="B9" s="159">
        <f>IFERROR(INDEX('Home-Conversion'!D4:D202,MATCH(LARGE('Home-Conversion'!T4:T202,5),'Home-Conversion'!T4:T202,0)),"")</f>
        <v/>
      </c>
      <c r="C9" s="164">
        <f>IF(B9="","",RepName3)</f>
        <v/>
      </c>
      <c r="D9" s="159">
        <f>IFERROR(INDEX('Home-Conversion'!G4:G202,MATCH(LARGE('Home-Conversion'!T4:T202,5),'Home-Conversion'!T4:T202,0)),"")</f>
        <v/>
      </c>
      <c r="E9" s="162">
        <f>IFERROR(LARGE('Home-Conversion'!T4:T202,5),"")</f>
        <v/>
      </c>
      <c r="F9" s="162">
        <f>IFERROR(INDEX('Home-Conversion'!I4:I202,MATCH(LARGE('Home-Conversion'!T4:T202,5),'Home-Conversion'!T4:T202,0)),"")</f>
        <v/>
      </c>
      <c r="G9" s="163">
        <f>IFERROR(INDEX('Home-Conversion'!J4:J202,MATCH(LARGE('Home-Conversion'!T4:T202,5),'Home-Conversion'!T4:T202,0)),"")</f>
        <v/>
      </c>
      <c r="H9" s="164">
        <f>IF(B9="","",IF(D9="Closed Won","✓ WON",IF(D9="Closed Lost","✗ LOST",IF(AND(G9&lt;&gt;"",ISNUMBER(G9),G9&lt;TODAY()),"⚠ PAST DUE",IF(G9="","◔ NO DATE",IF(D9="Negotiation","● NEGOTIATING","○ ACTIVE"))))))</f>
        <v/>
      </c>
      <c r="I9" s="160" t="inlineStr"/>
      <c r="J9" s="108" t="n"/>
    </row>
    <row r="10" ht="18" customHeight="1" s="96">
      <c r="A10" s="108" t="n"/>
      <c r="B10" s="154">
        <f>IFERROR(INDEX('Home-Conversion'!D4:D202,MATCH(LARGE('Home-Conversion'!T4:T202,6),'Home-Conversion'!T4:T202,0)),"")</f>
        <v/>
      </c>
      <c r="C10" s="158">
        <f>IF(B10="","",RepName3)</f>
        <v/>
      </c>
      <c r="D10" s="154">
        <f>IFERROR(INDEX('Home-Conversion'!G4:G202,MATCH(LARGE('Home-Conversion'!T4:T202,6),'Home-Conversion'!T4:T202,0)),"")</f>
        <v/>
      </c>
      <c r="E10" s="156">
        <f>IFERROR(LARGE('Home-Conversion'!T4:T202,6),"")</f>
        <v/>
      </c>
      <c r="F10" s="156">
        <f>IFERROR(INDEX('Home-Conversion'!I4:I202,MATCH(LARGE('Home-Conversion'!T4:T202,6),'Home-Conversion'!T4:T202,0)),"")</f>
        <v/>
      </c>
      <c r="G10" s="157">
        <f>IFERROR(INDEX('Home-Conversion'!J4:J202,MATCH(LARGE('Home-Conversion'!T4:T202,6),'Home-Conversion'!T4:T202,0)),"")</f>
        <v/>
      </c>
      <c r="H10" s="158">
        <f>IF(B10="","",IF(D10="Closed Won","✓ WON",IF(D10="Closed Lost","✗ LOST",IF(AND(G10&lt;&gt;"",ISNUMBER(G10),G10&lt;TODAY()),"⚠ PAST DUE",IF(G10="","◔ NO DATE",IF(D10="Negotiation","● NEGOTIATING","○ ACTIVE"))))))</f>
        <v/>
      </c>
      <c r="I10" s="133" t="inlineStr"/>
      <c r="J10" s="108" t="n"/>
    </row>
    <row r="11" ht="18" customHeight="1" s="96">
      <c r="A11" s="108" t="n"/>
      <c r="B11" s="159">
        <f>IFERROR(INDEX('Home-Conversion'!D4:D202,MATCH(LARGE('Home-Conversion'!T4:T202,7),'Home-Conversion'!T4:T202,0)),"")</f>
        <v/>
      </c>
      <c r="C11" s="164">
        <f>IF(B11="","",RepName3)</f>
        <v/>
      </c>
      <c r="D11" s="159">
        <f>IFERROR(INDEX('Home-Conversion'!G4:G202,MATCH(LARGE('Home-Conversion'!T4:T202,7),'Home-Conversion'!T4:T202,0)),"")</f>
        <v/>
      </c>
      <c r="E11" s="162">
        <f>IFERROR(LARGE('Home-Conversion'!T4:T202,7),"")</f>
        <v/>
      </c>
      <c r="F11" s="162">
        <f>IFERROR(INDEX('Home-Conversion'!I4:I202,MATCH(LARGE('Home-Conversion'!T4:T202,7),'Home-Conversion'!T4:T202,0)),"")</f>
        <v/>
      </c>
      <c r="G11" s="163">
        <f>IFERROR(INDEX('Home-Conversion'!J4:J202,MATCH(LARGE('Home-Conversion'!T4:T202,7),'Home-Conversion'!T4:T202,0)),"")</f>
        <v/>
      </c>
      <c r="H11" s="164">
        <f>IF(B11="","",IF(D11="Closed Won","✓ WON",IF(D11="Closed Lost","✗ LOST",IF(AND(G11&lt;&gt;"",ISNUMBER(G11),G11&lt;TODAY()),"⚠ PAST DUE",IF(G11="","◔ NO DATE",IF(D11="Negotiation","● NEGOTIATING","○ ACTIVE"))))))</f>
        <v/>
      </c>
      <c r="I11" s="160" t="inlineStr"/>
      <c r="J11" s="108" t="n"/>
    </row>
    <row r="12" ht="18" customHeight="1" s="96">
      <c r="A12" s="108" t="n"/>
      <c r="B12" s="154">
        <f>IFERROR(INDEX('Home-Conversion'!D4:D202,MATCH(LARGE('Home-Conversion'!T4:T202,8),'Home-Conversion'!T4:T202,0)),"")</f>
        <v/>
      </c>
      <c r="C12" s="158">
        <f>IF(B12="","",RepName3)</f>
        <v/>
      </c>
      <c r="D12" s="154">
        <f>IFERROR(INDEX('Home-Conversion'!G4:G202,MATCH(LARGE('Home-Conversion'!T4:T202,8),'Home-Conversion'!T4:T202,0)),"")</f>
        <v/>
      </c>
      <c r="E12" s="156">
        <f>IFERROR(LARGE('Home-Conversion'!T4:T202,8),"")</f>
        <v/>
      </c>
      <c r="F12" s="156">
        <f>IFERROR(INDEX('Home-Conversion'!I4:I202,MATCH(LARGE('Home-Conversion'!T4:T202,8),'Home-Conversion'!T4:T202,0)),"")</f>
        <v/>
      </c>
      <c r="G12" s="157">
        <f>IFERROR(INDEX('Home-Conversion'!J4:J202,MATCH(LARGE('Home-Conversion'!T4:T202,8),'Home-Conversion'!T4:T202,0)),"")</f>
        <v/>
      </c>
      <c r="H12" s="158">
        <f>IF(B12="","",IF(D12="Closed Won","✓ WON",IF(D12="Closed Lost","✗ LOST",IF(AND(G12&lt;&gt;"",ISNUMBER(G12),G12&lt;TODAY()),"⚠ PAST DUE",IF(G12="","◔ NO DATE",IF(D12="Negotiation","● NEGOTIATING","○ ACTIVE"))))))</f>
        <v/>
      </c>
      <c r="I12" s="133" t="inlineStr"/>
      <c r="J12" s="108" t="n"/>
    </row>
    <row r="13" ht="18" customHeight="1" s="96">
      <c r="A13" s="108" t="n"/>
      <c r="B13" s="159">
        <f>IFERROR(INDEX('Zarrah-Conversion'!D3:D201,MATCH(LARGE('Zarrah-Conversion'!T3:T201,1),'Zarrah-Conversion'!T3:T201,0)),"")</f>
        <v/>
      </c>
      <c r="C13" s="164">
        <f>IF(B13="","",RepName2)</f>
        <v/>
      </c>
      <c r="D13" s="159">
        <f>IFERROR(INDEX('Zarrah-Conversion'!G3:G201,MATCH(LARGE('Zarrah-Conversion'!T3:T201,1),'Zarrah-Conversion'!T3:T201,0)),"")</f>
        <v/>
      </c>
      <c r="E13" s="162">
        <f>IFERROR(LARGE('Zarrah-Conversion'!T3:T201,1),"")</f>
        <v/>
      </c>
      <c r="F13" s="162">
        <f>IFERROR(INDEX('Zarrah-Conversion'!I3:I201,MATCH(LARGE('Zarrah-Conversion'!T3:T201,1),'Zarrah-Conversion'!T3:T201,0)),"")</f>
        <v/>
      </c>
      <c r="G13" s="163">
        <f>IFERROR(INDEX('Zarrah-Conversion'!J3:J201,MATCH(LARGE('Zarrah-Conversion'!T3:T201,1),'Zarrah-Conversion'!T3:T201,0)),"")</f>
        <v/>
      </c>
      <c r="H13" s="164">
        <f>IF(B13="","",IF(D13="Closed Won","✓ WON",IF(D13="Closed Lost","✗ LOST",IF(AND(G13&lt;&gt;"",ISNUMBER(G13),G13&lt;TODAY()),"⚠ PAST DUE",IF(G13="","◔ NO DATE",IF(D13="Negotiation","● NEGOTIATING","○ ACTIVE"))))))</f>
        <v/>
      </c>
      <c r="I13" s="160" t="inlineStr"/>
      <c r="J13" s="108" t="n"/>
    </row>
    <row r="14" ht="18" customHeight="1" s="96">
      <c r="A14" s="108" t="n"/>
      <c r="B14" s="154">
        <f>IFERROR(INDEX('Zarrah-Conversion'!D3:D201,MATCH(LARGE('Zarrah-Conversion'!T3:T201,2),'Zarrah-Conversion'!T3:T201,0)),"")</f>
        <v/>
      </c>
      <c r="C14" s="158">
        <f>IF(B14="","",RepName2)</f>
        <v/>
      </c>
      <c r="D14" s="154">
        <f>IFERROR(INDEX('Zarrah-Conversion'!G3:G201,MATCH(LARGE('Zarrah-Conversion'!T3:T201,2),'Zarrah-Conversion'!T3:T201,0)),"")</f>
        <v/>
      </c>
      <c r="E14" s="156">
        <f>IFERROR(LARGE('Zarrah-Conversion'!T3:T201,2),"")</f>
        <v/>
      </c>
      <c r="F14" s="156">
        <f>IFERROR(INDEX('Zarrah-Conversion'!I3:I201,MATCH(LARGE('Zarrah-Conversion'!T3:T201,2),'Zarrah-Conversion'!T3:T201,0)),"")</f>
        <v/>
      </c>
      <c r="G14" s="157">
        <f>IFERROR(INDEX('Zarrah-Conversion'!J3:J201,MATCH(LARGE('Zarrah-Conversion'!T3:T201,2),'Zarrah-Conversion'!T3:T201,0)),"")</f>
        <v/>
      </c>
      <c r="H14" s="158">
        <f>IF(B14="","",IF(D14="Closed Won","✓ WON",IF(D14="Closed Lost","✗ LOST",IF(AND(G14&lt;&gt;"",ISNUMBER(G14),G14&lt;TODAY()),"⚠ PAST DUE",IF(G14="","◔ NO DATE",IF(D14="Negotiation","● NEGOTIATING","○ ACTIVE"))))))</f>
        <v/>
      </c>
      <c r="I14" s="133" t="inlineStr"/>
      <c r="J14" s="108" t="n"/>
    </row>
    <row r="15" ht="18" customHeight="1" s="96">
      <c r="A15" s="108" t="n"/>
      <c r="B15" s="159">
        <f>IFERROR(INDEX('Zarrah-Conversion'!D3:D201,MATCH(LARGE('Zarrah-Conversion'!T3:T201,3),'Zarrah-Conversion'!T3:T201,0)),"")</f>
        <v/>
      </c>
      <c r="C15" s="164">
        <f>IF(B15="","",RepName2)</f>
        <v/>
      </c>
      <c r="D15" s="159">
        <f>IFERROR(INDEX('Zarrah-Conversion'!G3:G201,MATCH(LARGE('Zarrah-Conversion'!T3:T201,3),'Zarrah-Conversion'!T3:T201,0)),"")</f>
        <v/>
      </c>
      <c r="E15" s="162">
        <f>IFERROR(LARGE('Zarrah-Conversion'!T3:T201,3),"")</f>
        <v/>
      </c>
      <c r="F15" s="162">
        <f>IFERROR(INDEX('Zarrah-Conversion'!I3:I201,MATCH(LARGE('Zarrah-Conversion'!T3:T201,3),'Zarrah-Conversion'!T3:T201,0)),"")</f>
        <v/>
      </c>
      <c r="G15" s="163">
        <f>IFERROR(INDEX('Zarrah-Conversion'!J3:J201,MATCH(LARGE('Zarrah-Conversion'!T3:T201,3),'Zarrah-Conversion'!T3:T201,0)),"")</f>
        <v/>
      </c>
      <c r="H15" s="164">
        <f>IF(B15="","",IF(D15="Closed Won","✓ WON",IF(D15="Closed Lost","✗ LOST",IF(AND(G15&lt;&gt;"",ISNUMBER(G15),G15&lt;TODAY()),"⚠ PAST DUE",IF(G15="","◔ NO DATE",IF(D15="Negotiation","● NEGOTIATING","○ ACTIVE"))))))</f>
        <v/>
      </c>
      <c r="I15" s="160" t="inlineStr"/>
      <c r="J15" s="108" t="n"/>
    </row>
    <row r="16" ht="18" customHeight="1" s="96">
      <c r="A16" s="108" t="n"/>
      <c r="B16" s="154">
        <f>IFERROR(INDEX('Zarrah-Conversion'!D3:D201,MATCH(LARGE('Zarrah-Conversion'!T3:T201,4),'Zarrah-Conversion'!T3:T201,0)),"")</f>
        <v/>
      </c>
      <c r="C16" s="158">
        <f>IF(B16="","",RepName2)</f>
        <v/>
      </c>
      <c r="D16" s="154">
        <f>IFERROR(INDEX('Zarrah-Conversion'!G3:G201,MATCH(LARGE('Zarrah-Conversion'!T3:T201,4),'Zarrah-Conversion'!T3:T201,0)),"")</f>
        <v/>
      </c>
      <c r="E16" s="156">
        <f>IFERROR(LARGE('Zarrah-Conversion'!T3:T201,4),"")</f>
        <v/>
      </c>
      <c r="F16" s="156">
        <f>IFERROR(INDEX('Zarrah-Conversion'!I3:I201,MATCH(LARGE('Zarrah-Conversion'!T3:T201,4),'Zarrah-Conversion'!T3:T201,0)),"")</f>
        <v/>
      </c>
      <c r="G16" s="157">
        <f>IFERROR(INDEX('Zarrah-Conversion'!J3:J201,MATCH(LARGE('Zarrah-Conversion'!T3:T201,4),'Zarrah-Conversion'!T3:T201,0)),"")</f>
        <v/>
      </c>
      <c r="H16" s="158">
        <f>IF(B16="","",IF(D16="Closed Won","✓ WON",IF(D16="Closed Lost","✗ LOST",IF(AND(G16&lt;&gt;"",ISNUMBER(G16),G16&lt;TODAY()),"⚠ PAST DUE",IF(G16="","◔ NO DATE",IF(D16="Negotiation","● NEGOTIATING","○ ACTIVE"))))))</f>
        <v/>
      </c>
      <c r="I16" s="133" t="inlineStr"/>
      <c r="J16" s="108" t="n"/>
    </row>
    <row r="17" ht="18" customHeight="1" s="96">
      <c r="A17" s="108" t="n"/>
      <c r="B17" s="159">
        <f>IFERROR(INDEX('Zarrah-Conversion'!D3:D201,MATCH(LARGE('Zarrah-Conversion'!T3:T201,5),'Zarrah-Conversion'!T3:T201,0)),"")</f>
        <v/>
      </c>
      <c r="C17" s="164">
        <f>IF(B17="","",RepName2)</f>
        <v/>
      </c>
      <c r="D17" s="159">
        <f>IFERROR(INDEX('Zarrah-Conversion'!G3:G201,MATCH(LARGE('Zarrah-Conversion'!T3:T201,5),'Zarrah-Conversion'!T3:T201,0)),"")</f>
        <v/>
      </c>
      <c r="E17" s="162">
        <f>IFERROR(LARGE('Zarrah-Conversion'!T3:T201,5),"")</f>
        <v/>
      </c>
      <c r="F17" s="162">
        <f>IFERROR(INDEX('Zarrah-Conversion'!I3:I201,MATCH(LARGE('Zarrah-Conversion'!T3:T201,5),'Zarrah-Conversion'!T3:T201,0)),"")</f>
        <v/>
      </c>
      <c r="G17" s="163">
        <f>IFERROR(INDEX('Zarrah-Conversion'!J3:J201,MATCH(LARGE('Zarrah-Conversion'!T3:T201,5),'Zarrah-Conversion'!T3:T201,0)),"")</f>
        <v/>
      </c>
      <c r="H17" s="164">
        <f>IF(B17="","",IF(D17="Closed Won","✓ WON",IF(D17="Closed Lost","✗ LOST",IF(AND(G17&lt;&gt;"",ISNUMBER(G17),G17&lt;TODAY()),"⚠ PAST DUE",IF(G17="","◔ NO DATE",IF(D17="Negotiation","● NEGOTIATING","○ ACTIVE"))))))</f>
        <v/>
      </c>
      <c r="I17" s="160" t="inlineStr"/>
      <c r="J17" s="108" t="n"/>
    </row>
    <row r="18" ht="18" customHeight="1" s="96">
      <c r="A18" s="108" t="n"/>
      <c r="B18" s="154">
        <f>IFERROR(INDEX('Zarrah-Conversion'!D3:D201,MATCH(LARGE('Zarrah-Conversion'!T3:T201,6),'Zarrah-Conversion'!T3:T201,0)),"")</f>
        <v/>
      </c>
      <c r="C18" s="158">
        <f>IF(B18="","",RepName2)</f>
        <v/>
      </c>
      <c r="D18" s="154">
        <f>IFERROR(INDEX('Zarrah-Conversion'!G3:G201,MATCH(LARGE('Zarrah-Conversion'!T3:T201,6),'Zarrah-Conversion'!T3:T201,0)),"")</f>
        <v/>
      </c>
      <c r="E18" s="156">
        <f>IFERROR(LARGE('Zarrah-Conversion'!T3:T201,6),"")</f>
        <v/>
      </c>
      <c r="F18" s="156">
        <f>IFERROR(INDEX('Zarrah-Conversion'!I3:I201,MATCH(LARGE('Zarrah-Conversion'!T3:T201,6),'Zarrah-Conversion'!T3:T201,0)),"")</f>
        <v/>
      </c>
      <c r="G18" s="157">
        <f>IFERROR(INDEX('Zarrah-Conversion'!J3:J201,MATCH(LARGE('Zarrah-Conversion'!T3:T201,6),'Zarrah-Conversion'!T3:T201,0)),"")</f>
        <v/>
      </c>
      <c r="H18" s="158">
        <f>IF(B18="","",IF(D18="Closed Won","✓ WON",IF(D18="Closed Lost","✗ LOST",IF(AND(G18&lt;&gt;"",ISNUMBER(G18),G18&lt;TODAY()),"⚠ PAST DUE",IF(G18="","◔ NO DATE",IF(D18="Negotiation","● NEGOTIATING","○ ACTIVE"))))))</f>
        <v/>
      </c>
      <c r="I18" s="133" t="inlineStr"/>
      <c r="J18" s="108" t="n"/>
    </row>
    <row r="19" ht="18" customHeight="1" s="96">
      <c r="A19" s="108" t="n"/>
      <c r="B19" s="159">
        <f>IFERROR(INDEX('Zarrah-Conversion'!D3:D201,MATCH(LARGE('Zarrah-Conversion'!T3:T201,7),'Zarrah-Conversion'!T3:T201,0)),"")</f>
        <v/>
      </c>
      <c r="C19" s="164">
        <f>IF(B19="","",RepName2)</f>
        <v/>
      </c>
      <c r="D19" s="159">
        <f>IFERROR(INDEX('Zarrah-Conversion'!G3:G201,MATCH(LARGE('Zarrah-Conversion'!T3:T201,7),'Zarrah-Conversion'!T3:T201,0)),"")</f>
        <v/>
      </c>
      <c r="E19" s="162">
        <f>IFERROR(LARGE('Zarrah-Conversion'!T3:T201,7),"")</f>
        <v/>
      </c>
      <c r="F19" s="162">
        <f>IFERROR(INDEX('Zarrah-Conversion'!I3:I201,MATCH(LARGE('Zarrah-Conversion'!T3:T201,7),'Zarrah-Conversion'!T3:T201,0)),"")</f>
        <v/>
      </c>
      <c r="G19" s="163">
        <f>IFERROR(INDEX('Zarrah-Conversion'!J3:J201,MATCH(LARGE('Zarrah-Conversion'!T3:T201,7),'Zarrah-Conversion'!T3:T201,0)),"")</f>
        <v/>
      </c>
      <c r="H19" s="164">
        <f>IF(B19="","",IF(D19="Closed Won","✓ WON",IF(D19="Closed Lost","✗ LOST",IF(AND(G19&lt;&gt;"",ISNUMBER(G19),G19&lt;TODAY()),"⚠ PAST DUE",IF(G19="","◔ NO DATE",IF(D19="Negotiation","● NEGOTIATING","○ ACTIVE"))))))</f>
        <v/>
      </c>
      <c r="I19" s="160" t="inlineStr"/>
      <c r="J19" s="108" t="n"/>
    </row>
    <row r="20" ht="18" customHeight="1" s="96">
      <c r="A20" s="108" t="n"/>
      <c r="B20" s="154">
        <f>IFERROR(INDEX('Zarrah-Conversion'!D3:D201,MATCH(LARGE('Zarrah-Conversion'!T3:T201,8),'Zarrah-Conversion'!T3:T201,0)),"")</f>
        <v/>
      </c>
      <c r="C20" s="158">
        <f>IF(B20="","",RepName2)</f>
        <v/>
      </c>
      <c r="D20" s="154">
        <f>IFERROR(INDEX('Zarrah-Conversion'!G3:G201,MATCH(LARGE('Zarrah-Conversion'!T3:T201,8),'Zarrah-Conversion'!T3:T201,0)),"")</f>
        <v/>
      </c>
      <c r="E20" s="156">
        <f>IFERROR(LARGE('Zarrah-Conversion'!T3:T201,8),"")</f>
        <v/>
      </c>
      <c r="F20" s="156">
        <f>IFERROR(INDEX('Zarrah-Conversion'!I3:I201,MATCH(LARGE('Zarrah-Conversion'!T3:T201,8),'Zarrah-Conversion'!T3:T201,0)),"")</f>
        <v/>
      </c>
      <c r="G20" s="157">
        <f>IFERROR(INDEX('Zarrah-Conversion'!J3:J201,MATCH(LARGE('Zarrah-Conversion'!T3:T201,8),'Zarrah-Conversion'!T3:T201,0)),"")</f>
        <v/>
      </c>
      <c r="H20" s="158">
        <f>IF(B20="","",IF(D20="Closed Won","✓ WON",IF(D20="Closed Lost","✗ LOST",IF(AND(G20&lt;&gt;"",ISNUMBER(G20),G20&lt;TODAY()),"⚠ PAST DUE",IF(G20="","◔ NO DATE",IF(D20="Negotiation","● NEGOTIATING","○ ACTIVE"))))))</f>
        <v/>
      </c>
      <c r="I20" s="133" t="inlineStr"/>
      <c r="J20" s="108" t="n"/>
    </row>
    <row r="21" ht="18" customHeight="1" s="96">
      <c r="A21" s="108" t="n"/>
      <c r="B21" s="159">
        <f>IFERROR(INDEX('Madine- Conversion'!D4:D202,MATCH(LARGE('Madine- Conversion'!T4:T202,1),'Madine- Conversion'!T4:T202,0)),"")</f>
        <v/>
      </c>
      <c r="C21" s="164">
        <f>IF(B21="","",RepName1)</f>
        <v/>
      </c>
      <c r="D21" s="159">
        <f>IFERROR(INDEX('Madine- Conversion'!G4:G202,MATCH(LARGE('Madine- Conversion'!T4:T202,1),'Madine- Conversion'!T4:T202,0)),"")</f>
        <v/>
      </c>
      <c r="E21" s="162">
        <f>IFERROR(LARGE('Madine- Conversion'!T4:T202,1),"")</f>
        <v/>
      </c>
      <c r="F21" s="162">
        <f>IFERROR(INDEX('Madine- Conversion'!I4:I202,MATCH(LARGE('Madine- Conversion'!T4:T202,1),'Madine- Conversion'!T4:T202,0)),"")</f>
        <v/>
      </c>
      <c r="G21" s="163">
        <f>IFERROR(INDEX('Madine- Conversion'!J4:J202,MATCH(LARGE('Madine- Conversion'!T4:T202,1),'Madine- Conversion'!T4:T202,0)),"")</f>
        <v/>
      </c>
      <c r="H21" s="164">
        <f>IF(B21="","",IF(D21="Closed Won","✓ WON",IF(D21="Closed Lost","✗ LOST",IF(AND(G21&lt;&gt;"",ISNUMBER(G21),G21&lt;TODAY()),"⚠ PAST DUE",IF(G21="","◔ NO DATE",IF(D21="Negotiation","● NEGOTIATING","○ ACTIVE"))))))</f>
        <v/>
      </c>
      <c r="I21" s="160" t="inlineStr"/>
      <c r="J21" s="108" t="n"/>
    </row>
    <row r="22" ht="18" customHeight="1" s="96">
      <c r="A22" s="108" t="n"/>
      <c r="B22" s="154">
        <f>IFERROR(INDEX('Madine- Conversion'!D4:D202,MATCH(LARGE('Madine- Conversion'!T4:T202,2),'Madine- Conversion'!T4:T202,0)),"")</f>
        <v/>
      </c>
      <c r="C22" s="158">
        <f>IF(B22="","",RepName1)</f>
        <v/>
      </c>
      <c r="D22" s="154">
        <f>IFERROR(INDEX('Madine- Conversion'!G4:G202,MATCH(LARGE('Madine- Conversion'!T4:T202,2),'Madine- Conversion'!T4:T202,0)),"")</f>
        <v/>
      </c>
      <c r="E22" s="156">
        <f>IFERROR(LARGE('Madine- Conversion'!T4:T202,2),"")</f>
        <v/>
      </c>
      <c r="F22" s="156">
        <f>IFERROR(INDEX('Madine- Conversion'!I4:I202,MATCH(LARGE('Madine- Conversion'!T4:T202,2),'Madine- Conversion'!T4:T202,0)),"")</f>
        <v/>
      </c>
      <c r="G22" s="157">
        <f>IFERROR(INDEX('Madine- Conversion'!J4:J202,MATCH(LARGE('Madine- Conversion'!T4:T202,2),'Madine- Conversion'!T4:T202,0)),"")</f>
        <v/>
      </c>
      <c r="H22" s="158">
        <f>IF(B22="","",IF(D22="Closed Won","✓ WON",IF(D22="Closed Lost","✗ LOST",IF(AND(G22&lt;&gt;"",ISNUMBER(G22),G22&lt;TODAY()),"⚠ PAST DUE",IF(G22="","◔ NO DATE",IF(D22="Negotiation","● NEGOTIATING","○ ACTIVE"))))))</f>
        <v/>
      </c>
      <c r="I22" s="133" t="inlineStr"/>
      <c r="J22" s="108" t="n"/>
    </row>
    <row r="23" ht="18" customHeight="1" s="96">
      <c r="A23" s="108" t="n"/>
      <c r="B23" s="159">
        <f>IFERROR(INDEX('Madine- Conversion'!D4:D202,MATCH(LARGE('Madine- Conversion'!T4:T202,3),'Madine- Conversion'!T4:T202,0)),"")</f>
        <v/>
      </c>
      <c r="C23" s="164">
        <f>IF(B23="","",RepName1)</f>
        <v/>
      </c>
      <c r="D23" s="159">
        <f>IFERROR(INDEX('Madine- Conversion'!G4:G202,MATCH(LARGE('Madine- Conversion'!T4:T202,3),'Madine- Conversion'!T4:T202,0)),"")</f>
        <v/>
      </c>
      <c r="E23" s="162">
        <f>IFERROR(LARGE('Madine- Conversion'!T4:T202,3),"")</f>
        <v/>
      </c>
      <c r="F23" s="162">
        <f>IFERROR(INDEX('Madine- Conversion'!I4:I202,MATCH(LARGE('Madine- Conversion'!T4:T202,3),'Madine- Conversion'!T4:T202,0)),"")</f>
        <v/>
      </c>
      <c r="G23" s="163">
        <f>IFERROR(INDEX('Madine- Conversion'!J4:J202,MATCH(LARGE('Madine- Conversion'!T4:T202,3),'Madine- Conversion'!T4:T202,0)),"")</f>
        <v/>
      </c>
      <c r="H23" s="164">
        <f>IF(B23="","",IF(D23="Closed Won","✓ WON",IF(D23="Closed Lost","✗ LOST",IF(AND(G23&lt;&gt;"",ISNUMBER(G23),G23&lt;TODAY()),"⚠ PAST DUE",IF(G23="","◔ NO DATE",IF(D23="Negotiation","● NEGOTIATING","○ ACTIVE"))))))</f>
        <v/>
      </c>
      <c r="I23" s="160" t="inlineStr"/>
      <c r="J23" s="108" t="n"/>
    </row>
    <row r="24" ht="18" customHeight="1" s="96">
      <c r="A24" s="108" t="n"/>
      <c r="B24" s="154">
        <f>IFERROR(INDEX('Madine- Conversion'!D4:D202,MATCH(LARGE('Madine- Conversion'!T4:T202,4),'Madine- Conversion'!T4:T202,0)),"")</f>
        <v/>
      </c>
      <c r="C24" s="158">
        <f>IF(B24="","",RepName1)</f>
        <v/>
      </c>
      <c r="D24" s="154">
        <f>IFERROR(INDEX('Madine- Conversion'!G4:G202,MATCH(LARGE('Madine- Conversion'!T4:T202,4),'Madine- Conversion'!T4:T202,0)),"")</f>
        <v/>
      </c>
      <c r="E24" s="156">
        <f>IFERROR(LARGE('Madine- Conversion'!T4:T202,4),"")</f>
        <v/>
      </c>
      <c r="F24" s="156">
        <f>IFERROR(INDEX('Madine- Conversion'!I4:I202,MATCH(LARGE('Madine- Conversion'!T4:T202,4),'Madine- Conversion'!T4:T202,0)),"")</f>
        <v/>
      </c>
      <c r="G24" s="157">
        <f>IFERROR(INDEX('Madine- Conversion'!J4:J202,MATCH(LARGE('Madine- Conversion'!T4:T202,4),'Madine- Conversion'!T4:T202,0)),"")</f>
        <v/>
      </c>
      <c r="H24" s="158">
        <f>IF(B24="","",IF(D24="Closed Won","✓ WON",IF(D24="Closed Lost","✗ LOST",IF(AND(G24&lt;&gt;"",ISNUMBER(G24),G24&lt;TODAY()),"⚠ PAST DUE",IF(G24="","◔ NO DATE",IF(D24="Negotiation","● NEGOTIATING","○ ACTIVE"))))))</f>
        <v/>
      </c>
      <c r="I24" s="133" t="inlineStr"/>
      <c r="J24" s="108" t="n"/>
    </row>
    <row r="25" ht="18" customHeight="1" s="96">
      <c r="A25" s="108" t="n"/>
      <c r="B25" s="159">
        <f>IFERROR(INDEX('Madine- Conversion'!D4:D202,MATCH(LARGE('Madine- Conversion'!T4:T202,5),'Madine- Conversion'!T4:T202,0)),"")</f>
        <v/>
      </c>
      <c r="C25" s="164">
        <f>IF(B25="","",RepName1)</f>
        <v/>
      </c>
      <c r="D25" s="159">
        <f>IFERROR(INDEX('Madine- Conversion'!G4:G202,MATCH(LARGE('Madine- Conversion'!T4:T202,5),'Madine- Conversion'!T4:T202,0)),"")</f>
        <v/>
      </c>
      <c r="E25" s="162">
        <f>IFERROR(LARGE('Madine- Conversion'!T4:T202,5),"")</f>
        <v/>
      </c>
      <c r="F25" s="162">
        <f>IFERROR(INDEX('Madine- Conversion'!I4:I202,MATCH(LARGE('Madine- Conversion'!T4:T202,5),'Madine- Conversion'!T4:T202,0)),"")</f>
        <v/>
      </c>
      <c r="G25" s="163">
        <f>IFERROR(INDEX('Madine- Conversion'!J4:J202,MATCH(LARGE('Madine- Conversion'!T4:T202,5),'Madine- Conversion'!T4:T202,0)),"")</f>
        <v/>
      </c>
      <c r="H25" s="164">
        <f>IF(B25="","",IF(D25="Closed Won","✓ WON",IF(D25="Closed Lost","✗ LOST",IF(AND(G25&lt;&gt;"",ISNUMBER(G25),G25&lt;TODAY()),"⚠ PAST DUE",IF(G25="","◔ NO DATE",IF(D25="Negotiation","● NEGOTIATING","○ ACTIVE"))))))</f>
        <v/>
      </c>
      <c r="I25" s="160" t="inlineStr"/>
      <c r="J25" s="108" t="n"/>
    </row>
    <row r="26" ht="18" customHeight="1" s="96">
      <c r="A26" s="108" t="n"/>
      <c r="B26" s="154">
        <f>IFERROR(INDEX('Madine- Conversion'!D4:D202,MATCH(LARGE('Madine- Conversion'!T4:T202,6),'Madine- Conversion'!T4:T202,0)),"")</f>
        <v/>
      </c>
      <c r="C26" s="158">
        <f>IF(B26="","",RepName1)</f>
        <v/>
      </c>
      <c r="D26" s="154">
        <f>IFERROR(INDEX('Madine- Conversion'!G4:G202,MATCH(LARGE('Madine- Conversion'!T4:T202,6),'Madine- Conversion'!T4:T202,0)),"")</f>
        <v/>
      </c>
      <c r="E26" s="156">
        <f>IFERROR(LARGE('Madine- Conversion'!T4:T202,6),"")</f>
        <v/>
      </c>
      <c r="F26" s="156">
        <f>IFERROR(INDEX('Madine- Conversion'!I4:I202,MATCH(LARGE('Madine- Conversion'!T4:T202,6),'Madine- Conversion'!T4:T202,0)),"")</f>
        <v/>
      </c>
      <c r="G26" s="157">
        <f>IFERROR(INDEX('Madine- Conversion'!J4:J202,MATCH(LARGE('Madine- Conversion'!T4:T202,6),'Madine- Conversion'!T4:T202,0)),"")</f>
        <v/>
      </c>
      <c r="H26" s="158">
        <f>IF(B26="","",IF(D26="Closed Won","✓ WON",IF(D26="Closed Lost","✗ LOST",IF(AND(G26&lt;&gt;"",ISNUMBER(G26),G26&lt;TODAY()),"⚠ PAST DUE",IF(G26="","◔ NO DATE",IF(D26="Negotiation","● NEGOTIATING","○ ACTIVE"))))))</f>
        <v/>
      </c>
      <c r="I26" s="133" t="inlineStr"/>
      <c r="J26" s="108" t="n"/>
    </row>
    <row r="27" ht="18" customHeight="1" s="96">
      <c r="A27" s="108" t="n"/>
      <c r="B27" s="159">
        <f>IFERROR(INDEX('Madine- Conversion'!D4:D202,MATCH(LARGE('Madine- Conversion'!T4:T202,7),'Madine- Conversion'!T4:T202,0)),"")</f>
        <v/>
      </c>
      <c r="C27" s="164">
        <f>IF(B27="","",RepName1)</f>
        <v/>
      </c>
      <c r="D27" s="159">
        <f>IFERROR(INDEX('Madine- Conversion'!G4:G202,MATCH(LARGE('Madine- Conversion'!T4:T202,7),'Madine- Conversion'!T4:T202,0)),"")</f>
        <v/>
      </c>
      <c r="E27" s="162">
        <f>IFERROR(LARGE('Madine- Conversion'!T4:T202,7),"")</f>
        <v/>
      </c>
      <c r="F27" s="162">
        <f>IFERROR(INDEX('Madine- Conversion'!I4:I202,MATCH(LARGE('Madine- Conversion'!T4:T202,7),'Madine- Conversion'!T4:T202,0)),"")</f>
        <v/>
      </c>
      <c r="G27" s="163">
        <f>IFERROR(INDEX('Madine- Conversion'!J4:J202,MATCH(LARGE('Madine- Conversion'!T4:T202,7),'Madine- Conversion'!T4:T202,0)),"")</f>
        <v/>
      </c>
      <c r="H27" s="164">
        <f>IF(B27="","",IF(D27="Closed Won","✓ WON",IF(D27="Closed Lost","✗ LOST",IF(AND(G27&lt;&gt;"",ISNUMBER(G27),G27&lt;TODAY()),"⚠ PAST DUE",IF(G27="","◔ NO DATE",IF(D27="Negotiation","● NEGOTIATING","○ ACTIVE"))))))</f>
        <v/>
      </c>
      <c r="I27" s="160" t="inlineStr"/>
      <c r="J27" s="108" t="n"/>
    </row>
    <row r="28" ht="18" customHeight="1" s="96">
      <c r="A28" s="108" t="n"/>
      <c r="B28" s="154">
        <f>IFERROR(INDEX('Madine- Conversion'!D4:D202,MATCH(LARGE('Madine- Conversion'!T4:T202,8),'Madine- Conversion'!T4:T202,0)),"")</f>
        <v/>
      </c>
      <c r="C28" s="158">
        <f>IF(B28="","",RepName1)</f>
        <v/>
      </c>
      <c r="D28" s="154">
        <f>IFERROR(INDEX('Madine- Conversion'!G4:G202,MATCH(LARGE('Madine- Conversion'!T4:T202,8),'Madine- Conversion'!T4:T202,0)),"")</f>
        <v/>
      </c>
      <c r="E28" s="156">
        <f>IFERROR(LARGE('Madine- Conversion'!T4:T202,8),"")</f>
        <v/>
      </c>
      <c r="F28" s="156">
        <f>IFERROR(INDEX('Madine- Conversion'!I4:I202,MATCH(LARGE('Madine- Conversion'!T4:T202,8),'Madine- Conversion'!T4:T202,0)),"")</f>
        <v/>
      </c>
      <c r="G28" s="157">
        <f>IFERROR(INDEX('Madine- Conversion'!J4:J202,MATCH(LARGE('Madine- Conversion'!T4:T202,8),'Madine- Conversion'!T4:T202,0)),"")</f>
        <v/>
      </c>
      <c r="H28" s="158">
        <f>IF(B28="","",IF(D28="Closed Won","✓ WON",IF(D28="Closed Lost","✗ LOST",IF(AND(G28&lt;&gt;"",ISNUMBER(G28),G28&lt;TODAY()),"⚠ PAST DUE",IF(G28="","◔ NO DATE",IF(D28="Negotiation","● NEGOTIATING","○ ACTIVE"))))))</f>
        <v/>
      </c>
      <c r="I28" s="133" t="inlineStr"/>
      <c r="J28" s="108" t="n"/>
    </row>
    <row r="29" ht="18" customHeight="1" s="96">
      <c r="A29" s="108" t="n"/>
      <c r="B29" s="159">
        <f>IFERROR(INDEX(INDIRECT("'"&amp;RepPrefix4&amp;"- Conversion'!D4:D202"),MATCH(LARGE(INDIRECT("'"&amp;RepPrefix4&amp;"- Conversion'!T4:T202"),1),INDIRECT("'"&amp;RepPrefix4&amp;"- Conversion'!T4:T202"),0)),"")</f>
        <v/>
      </c>
      <c r="C29" s="164">
        <f>IF(OR(RepPrefix4="",B29=""),"",RepName4)</f>
        <v/>
      </c>
      <c r="D29" s="159">
        <f>IFERROR(INDEX(INDIRECT("'"&amp;RepPrefix4&amp;"- Conversion'!G4:G202"),MATCH(LARGE(INDIRECT("'"&amp;RepPrefix4&amp;"- Conversion'!T4:T202"),1),INDIRECT("'"&amp;RepPrefix4&amp;"- Conversion'!T4:T202"),0)),"")</f>
        <v/>
      </c>
      <c r="E29" s="162">
        <f>IFERROR(LARGE(INDIRECT("'"&amp;RepPrefix4&amp;"- Conversion'!T4:T202"),1),"")</f>
        <v/>
      </c>
      <c r="F29" s="162">
        <f>IFERROR(INDEX(INDIRECT("'"&amp;RepPrefix4&amp;"- Conversion'!I4:I202"),MATCH(LARGE(INDIRECT("'"&amp;RepPrefix4&amp;"- Conversion'!T4:T202"),1),INDIRECT("'"&amp;RepPrefix4&amp;"- Conversion'!T4:T202"),0)),"")</f>
        <v/>
      </c>
      <c r="G29" s="163">
        <f>IFERROR(INDEX(INDIRECT("'"&amp;RepPrefix4&amp;"- Conversion'!J4:J202"),MATCH(LARGE(INDIRECT("'"&amp;RepPrefix4&amp;"- Conversion'!T4:T202"),1),INDIRECT("'"&amp;RepPrefix4&amp;"- Conversion'!T4:T202"),0)),"")</f>
        <v/>
      </c>
      <c r="H29" s="164">
        <f>IF(B29="","",IF(D29="Closed Won","✓ WON",IF(D29="Closed Lost","✗ LOST",IF(AND(G29&lt;&gt;"",ISNUMBER(G29),G29&lt;TODAY()),"⚠ PAST DUE",IF(G29="","◔ NO DATE",IF(D29="Negotiation","● NEGOTIATING","○ ACTIVE"))))))</f>
        <v/>
      </c>
      <c r="I29" s="160" t="inlineStr"/>
      <c r="J29" s="108" t="n"/>
    </row>
    <row r="30" ht="18" customHeight="1" s="96">
      <c r="A30" s="108" t="n"/>
      <c r="B30" s="154">
        <f>IFERROR(INDEX(INDIRECT("'"&amp;RepPrefix4&amp;"- Conversion'!D4:D202"),MATCH(LARGE(INDIRECT("'"&amp;RepPrefix4&amp;"- Conversion'!T4:T202"),2),INDIRECT("'"&amp;RepPrefix4&amp;"- Conversion'!T4:T202"),0)),"")</f>
        <v/>
      </c>
      <c r="C30" s="158">
        <f>IF(OR(RepPrefix4="",B30=""),"",RepName4)</f>
        <v/>
      </c>
      <c r="D30" s="154">
        <f>IFERROR(INDEX(INDIRECT("'"&amp;RepPrefix4&amp;"- Conversion'!G4:G202"),MATCH(LARGE(INDIRECT("'"&amp;RepPrefix4&amp;"- Conversion'!T4:T202"),2),INDIRECT("'"&amp;RepPrefix4&amp;"- Conversion'!T4:T202"),0)),"")</f>
        <v/>
      </c>
      <c r="E30" s="156">
        <f>IFERROR(LARGE(INDIRECT("'"&amp;RepPrefix4&amp;"- Conversion'!T4:T202"),2),"")</f>
        <v/>
      </c>
      <c r="F30" s="156">
        <f>IFERROR(INDEX(INDIRECT("'"&amp;RepPrefix4&amp;"- Conversion'!I4:I202"),MATCH(LARGE(INDIRECT("'"&amp;RepPrefix4&amp;"- Conversion'!T4:T202"),2),INDIRECT("'"&amp;RepPrefix4&amp;"- Conversion'!T4:T202"),0)),"")</f>
        <v/>
      </c>
      <c r="G30" s="157">
        <f>IFERROR(INDEX(INDIRECT("'"&amp;RepPrefix4&amp;"- Conversion'!J4:J202"),MATCH(LARGE(INDIRECT("'"&amp;RepPrefix4&amp;"- Conversion'!T4:T202"),2),INDIRECT("'"&amp;RepPrefix4&amp;"- Conversion'!T4:T202"),0)),"")</f>
        <v/>
      </c>
      <c r="H30" s="158">
        <f>IF(B30="","",IF(D30="Closed Won","✓ WON",IF(D30="Closed Lost","✗ LOST",IF(AND(G30&lt;&gt;"",ISNUMBER(G30),G30&lt;TODAY()),"⚠ PAST DUE",IF(G30="","◔ NO DATE",IF(D30="Negotiation","● NEGOTIATING","○ ACTIVE"))))))</f>
        <v/>
      </c>
      <c r="I30" s="133" t="inlineStr"/>
      <c r="J30" s="108" t="n"/>
    </row>
    <row r="31" ht="18" customHeight="1" s="96">
      <c r="A31" s="108" t="n"/>
      <c r="B31" s="159">
        <f>IFERROR(INDEX(INDIRECT("'"&amp;RepPrefix4&amp;"- Conversion'!D4:D202"),MATCH(LARGE(INDIRECT("'"&amp;RepPrefix4&amp;"- Conversion'!T4:T202"),3),INDIRECT("'"&amp;RepPrefix4&amp;"- Conversion'!T4:T202"),0)),"")</f>
        <v/>
      </c>
      <c r="C31" s="164">
        <f>IF(OR(RepPrefix4="",B31=""),"",RepName4)</f>
        <v/>
      </c>
      <c r="D31" s="159">
        <f>IFERROR(INDEX(INDIRECT("'"&amp;RepPrefix4&amp;"- Conversion'!G4:G202"),MATCH(LARGE(INDIRECT("'"&amp;RepPrefix4&amp;"- Conversion'!T4:T202"),3),INDIRECT("'"&amp;RepPrefix4&amp;"- Conversion'!T4:T202"),0)),"")</f>
        <v/>
      </c>
      <c r="E31" s="162">
        <f>IFERROR(LARGE(INDIRECT("'"&amp;RepPrefix4&amp;"- Conversion'!T4:T202"),3),"")</f>
        <v/>
      </c>
      <c r="F31" s="162">
        <f>IFERROR(INDEX(INDIRECT("'"&amp;RepPrefix4&amp;"- Conversion'!I4:I202"),MATCH(LARGE(INDIRECT("'"&amp;RepPrefix4&amp;"- Conversion'!T4:T202"),3),INDIRECT("'"&amp;RepPrefix4&amp;"- Conversion'!T4:T202"),0)),"")</f>
        <v/>
      </c>
      <c r="G31" s="163">
        <f>IFERROR(INDEX(INDIRECT("'"&amp;RepPrefix4&amp;"- Conversion'!J4:J202"),MATCH(LARGE(INDIRECT("'"&amp;RepPrefix4&amp;"- Conversion'!T4:T202"),3),INDIRECT("'"&amp;RepPrefix4&amp;"- Conversion'!T4:T202"),0)),"")</f>
        <v/>
      </c>
      <c r="H31" s="164">
        <f>IF(B31="","",IF(D31="Closed Won","✓ WON",IF(D31="Closed Lost","✗ LOST",IF(AND(G31&lt;&gt;"",ISNUMBER(G31),G31&lt;TODAY()),"⚠ PAST DUE",IF(G31="","◔ NO DATE",IF(D31="Negotiation","● NEGOTIATING","○ ACTIVE"))))))</f>
        <v/>
      </c>
      <c r="I31" s="160" t="inlineStr"/>
      <c r="J31" s="108" t="n"/>
    </row>
    <row r="32" ht="18" customHeight="1" s="96">
      <c r="A32" s="108" t="n"/>
      <c r="B32" s="154">
        <f>IFERROR(INDEX(INDIRECT("'"&amp;RepPrefix4&amp;"- Conversion'!D4:D202"),MATCH(LARGE(INDIRECT("'"&amp;RepPrefix4&amp;"- Conversion'!T4:T202"),4),INDIRECT("'"&amp;RepPrefix4&amp;"- Conversion'!T4:T202"),0)),"")</f>
        <v/>
      </c>
      <c r="C32" s="158">
        <f>IF(OR(RepPrefix4="",B32=""),"",RepName4)</f>
        <v/>
      </c>
      <c r="D32" s="154">
        <f>IFERROR(INDEX(INDIRECT("'"&amp;RepPrefix4&amp;"- Conversion'!G4:G202"),MATCH(LARGE(INDIRECT("'"&amp;RepPrefix4&amp;"- Conversion'!T4:T202"),4),INDIRECT("'"&amp;RepPrefix4&amp;"- Conversion'!T4:T202"),0)),"")</f>
        <v/>
      </c>
      <c r="E32" s="156">
        <f>IFERROR(LARGE(INDIRECT("'"&amp;RepPrefix4&amp;"- Conversion'!T4:T202"),4),"")</f>
        <v/>
      </c>
      <c r="F32" s="156">
        <f>IFERROR(INDEX(INDIRECT("'"&amp;RepPrefix4&amp;"- Conversion'!I4:I202"),MATCH(LARGE(INDIRECT("'"&amp;RepPrefix4&amp;"- Conversion'!T4:T202"),4),INDIRECT("'"&amp;RepPrefix4&amp;"- Conversion'!T4:T202"),0)),"")</f>
        <v/>
      </c>
      <c r="G32" s="157">
        <f>IFERROR(INDEX(INDIRECT("'"&amp;RepPrefix4&amp;"- Conversion'!J4:J202"),MATCH(LARGE(INDIRECT("'"&amp;RepPrefix4&amp;"- Conversion'!T4:T202"),4),INDIRECT("'"&amp;RepPrefix4&amp;"- Conversion'!T4:T202"),0)),"")</f>
        <v/>
      </c>
      <c r="H32" s="158">
        <f>IF(B32="","",IF(D32="Closed Won","✓ WON",IF(D32="Closed Lost","✗ LOST",IF(AND(G32&lt;&gt;"",ISNUMBER(G32),G32&lt;TODAY()),"⚠ PAST DUE",IF(G32="","◔ NO DATE",IF(D32="Negotiation","● NEGOTIATING","○ ACTIVE"))))))</f>
        <v/>
      </c>
      <c r="I32" s="133" t="inlineStr"/>
      <c r="J32" s="108" t="n"/>
    </row>
    <row r="33" ht="18" customHeight="1" s="96">
      <c r="A33" s="108" t="n"/>
      <c r="B33" s="159">
        <f>IFERROR(INDEX(INDIRECT("'"&amp;RepPrefix4&amp;"- Conversion'!D4:D202"),MATCH(LARGE(INDIRECT("'"&amp;RepPrefix4&amp;"- Conversion'!T4:T202"),5),INDIRECT("'"&amp;RepPrefix4&amp;"- Conversion'!T4:T202"),0)),"")</f>
        <v/>
      </c>
      <c r="C33" s="164">
        <f>IF(OR(RepPrefix4="",B33=""),"",RepName4)</f>
        <v/>
      </c>
      <c r="D33" s="159">
        <f>IFERROR(INDEX(INDIRECT("'"&amp;RepPrefix4&amp;"- Conversion'!G4:G202"),MATCH(LARGE(INDIRECT("'"&amp;RepPrefix4&amp;"- Conversion'!T4:T202"),5),INDIRECT("'"&amp;RepPrefix4&amp;"- Conversion'!T4:T202"),0)),"")</f>
        <v/>
      </c>
      <c r="E33" s="162">
        <f>IFERROR(LARGE(INDIRECT("'"&amp;RepPrefix4&amp;"- Conversion'!T4:T202"),5),"")</f>
        <v/>
      </c>
      <c r="F33" s="162">
        <f>IFERROR(INDEX(INDIRECT("'"&amp;RepPrefix4&amp;"- Conversion'!I4:I202"),MATCH(LARGE(INDIRECT("'"&amp;RepPrefix4&amp;"- Conversion'!T4:T202"),5),INDIRECT("'"&amp;RepPrefix4&amp;"- Conversion'!T4:T202"),0)),"")</f>
        <v/>
      </c>
      <c r="G33" s="163">
        <f>IFERROR(INDEX(INDIRECT("'"&amp;RepPrefix4&amp;"- Conversion'!J4:J202"),MATCH(LARGE(INDIRECT("'"&amp;RepPrefix4&amp;"- Conversion'!T4:T202"),5),INDIRECT("'"&amp;RepPrefix4&amp;"- Conversion'!T4:T202"),0)),"")</f>
        <v/>
      </c>
      <c r="H33" s="164">
        <f>IF(B33="","",IF(D33="Closed Won","✓ WON",IF(D33="Closed Lost","✗ LOST",IF(AND(G33&lt;&gt;"",ISNUMBER(G33),G33&lt;TODAY()),"⚠ PAST DUE",IF(G33="","◔ NO DATE",IF(D33="Negotiation","● NEGOTIATING","○ ACTIVE"))))))</f>
        <v/>
      </c>
      <c r="I33" s="160" t="inlineStr"/>
      <c r="J33" s="108" t="n"/>
    </row>
    <row r="34" ht="18" customHeight="1" s="96">
      <c r="A34" s="108" t="n"/>
      <c r="B34" s="154">
        <f>IFERROR(INDEX(INDIRECT("'"&amp;RepPrefix4&amp;"- Conversion'!D4:D202"),MATCH(LARGE(INDIRECT("'"&amp;RepPrefix4&amp;"- Conversion'!T4:T202"),6),INDIRECT("'"&amp;RepPrefix4&amp;"- Conversion'!T4:T202"),0)),"")</f>
        <v/>
      </c>
      <c r="C34" s="158">
        <f>IF(OR(RepPrefix4="",B34=""),"",RepName4)</f>
        <v/>
      </c>
      <c r="D34" s="154">
        <f>IFERROR(INDEX(INDIRECT("'"&amp;RepPrefix4&amp;"- Conversion'!G4:G202"),MATCH(LARGE(INDIRECT("'"&amp;RepPrefix4&amp;"- Conversion'!T4:T202"),6),INDIRECT("'"&amp;RepPrefix4&amp;"- Conversion'!T4:T202"),0)),"")</f>
        <v/>
      </c>
      <c r="E34" s="156">
        <f>IFERROR(LARGE(INDIRECT("'"&amp;RepPrefix4&amp;"- Conversion'!T4:T202"),6),"")</f>
        <v/>
      </c>
      <c r="F34" s="156">
        <f>IFERROR(INDEX(INDIRECT("'"&amp;RepPrefix4&amp;"- Conversion'!I4:I202"),MATCH(LARGE(INDIRECT("'"&amp;RepPrefix4&amp;"- Conversion'!T4:T202"),6),INDIRECT("'"&amp;RepPrefix4&amp;"- Conversion'!T4:T202"),0)),"")</f>
        <v/>
      </c>
      <c r="G34" s="157">
        <f>IFERROR(INDEX(INDIRECT("'"&amp;RepPrefix4&amp;"- Conversion'!J4:J202"),MATCH(LARGE(INDIRECT("'"&amp;RepPrefix4&amp;"- Conversion'!T4:T202"),6),INDIRECT("'"&amp;RepPrefix4&amp;"- Conversion'!T4:T202"),0)),"")</f>
        <v/>
      </c>
      <c r="H34" s="158">
        <f>IF(B34="","",IF(D34="Closed Won","✓ WON",IF(D34="Closed Lost","✗ LOST",IF(AND(G34&lt;&gt;"",ISNUMBER(G34),G34&lt;TODAY()),"⚠ PAST DUE",IF(G34="","◔ NO DATE",IF(D34="Negotiation","● NEGOTIATING","○ ACTIVE"))))))</f>
        <v/>
      </c>
      <c r="I34" s="133" t="inlineStr"/>
      <c r="J34" s="108" t="n"/>
    </row>
    <row r="35" ht="18" customHeight="1" s="96">
      <c r="A35" s="108" t="n"/>
      <c r="B35" s="159">
        <f>IFERROR(INDEX(INDIRECT("'"&amp;RepPrefix4&amp;"- Conversion'!D4:D202"),MATCH(LARGE(INDIRECT("'"&amp;RepPrefix4&amp;"- Conversion'!T4:T202"),7),INDIRECT("'"&amp;RepPrefix4&amp;"- Conversion'!T4:T202"),0)),"")</f>
        <v/>
      </c>
      <c r="C35" s="164">
        <f>IF(OR(RepPrefix4="",B35=""),"",RepName4)</f>
        <v/>
      </c>
      <c r="D35" s="159">
        <f>IFERROR(INDEX(INDIRECT("'"&amp;RepPrefix4&amp;"- Conversion'!G4:G202"),MATCH(LARGE(INDIRECT("'"&amp;RepPrefix4&amp;"- Conversion'!T4:T202"),7),INDIRECT("'"&amp;RepPrefix4&amp;"- Conversion'!T4:T202"),0)),"")</f>
        <v/>
      </c>
      <c r="E35" s="162">
        <f>IFERROR(LARGE(INDIRECT("'"&amp;RepPrefix4&amp;"- Conversion'!T4:T202"),7),"")</f>
        <v/>
      </c>
      <c r="F35" s="162">
        <f>IFERROR(INDEX(INDIRECT("'"&amp;RepPrefix4&amp;"- Conversion'!I4:I202"),MATCH(LARGE(INDIRECT("'"&amp;RepPrefix4&amp;"- Conversion'!T4:T202"),7),INDIRECT("'"&amp;RepPrefix4&amp;"- Conversion'!T4:T202"),0)),"")</f>
        <v/>
      </c>
      <c r="G35" s="163">
        <f>IFERROR(INDEX(INDIRECT("'"&amp;RepPrefix4&amp;"- Conversion'!J4:J202"),MATCH(LARGE(INDIRECT("'"&amp;RepPrefix4&amp;"- Conversion'!T4:T202"),7),INDIRECT("'"&amp;RepPrefix4&amp;"- Conversion'!T4:T202"),0)),"")</f>
        <v/>
      </c>
      <c r="H35" s="164">
        <f>IF(B35="","",IF(D35="Closed Won","✓ WON",IF(D35="Closed Lost","✗ LOST",IF(AND(G35&lt;&gt;"",ISNUMBER(G35),G35&lt;TODAY()),"⚠ PAST DUE",IF(G35="","◔ NO DATE",IF(D35="Negotiation","● NEGOTIATING","○ ACTIVE"))))))</f>
        <v/>
      </c>
      <c r="I35" s="160" t="inlineStr"/>
      <c r="J35" s="108" t="n"/>
    </row>
    <row r="36" ht="18" customHeight="1" s="96">
      <c r="A36" s="108" t="n"/>
      <c r="B36" s="154">
        <f>IFERROR(INDEX(INDIRECT("'"&amp;RepPrefix4&amp;"- Conversion'!D4:D202"),MATCH(LARGE(INDIRECT("'"&amp;RepPrefix4&amp;"- Conversion'!T4:T202"),8),INDIRECT("'"&amp;RepPrefix4&amp;"- Conversion'!T4:T202"),0)),"")</f>
        <v/>
      </c>
      <c r="C36" s="158">
        <f>IF(OR(RepPrefix4="",B36=""),"",RepName4)</f>
        <v/>
      </c>
      <c r="D36" s="154">
        <f>IFERROR(INDEX(INDIRECT("'"&amp;RepPrefix4&amp;"- Conversion'!G4:G202"),MATCH(LARGE(INDIRECT("'"&amp;RepPrefix4&amp;"- Conversion'!T4:T202"),8),INDIRECT("'"&amp;RepPrefix4&amp;"- Conversion'!T4:T202"),0)),"")</f>
        <v/>
      </c>
      <c r="E36" s="156">
        <f>IFERROR(LARGE(INDIRECT("'"&amp;RepPrefix4&amp;"- Conversion'!T4:T202"),8),"")</f>
        <v/>
      </c>
      <c r="F36" s="156">
        <f>IFERROR(INDEX(INDIRECT("'"&amp;RepPrefix4&amp;"- Conversion'!I4:I202"),MATCH(LARGE(INDIRECT("'"&amp;RepPrefix4&amp;"- Conversion'!T4:T202"),8),INDIRECT("'"&amp;RepPrefix4&amp;"- Conversion'!T4:T202"),0)),"")</f>
        <v/>
      </c>
      <c r="G36" s="157">
        <f>IFERROR(INDEX(INDIRECT("'"&amp;RepPrefix4&amp;"- Conversion'!J4:J202"),MATCH(LARGE(INDIRECT("'"&amp;RepPrefix4&amp;"- Conversion'!T4:T202"),8),INDIRECT("'"&amp;RepPrefix4&amp;"- Conversion'!T4:T202"),0)),"")</f>
        <v/>
      </c>
      <c r="H36" s="158">
        <f>IF(B36="","",IF(D36="Closed Won","✓ WON",IF(D36="Closed Lost","✗ LOST",IF(AND(G36&lt;&gt;"",ISNUMBER(G36),G36&lt;TODAY()),"⚠ PAST DUE",IF(G36="","◔ NO DATE",IF(D36="Negotiation","● NEGOTIATING","○ ACTIVE"))))))</f>
        <v/>
      </c>
      <c r="I36" s="133" t="inlineStr"/>
      <c r="J36" s="108" t="n"/>
    </row>
    <row r="37" ht="18" customHeight="1" s="96">
      <c r="A37" s="108" t="n"/>
      <c r="B37" s="159">
        <f>IFERROR(INDEX(INDIRECT("'"&amp;RepPrefix5&amp;"- Conversion'!D4:D202"),MATCH(LARGE(INDIRECT("'"&amp;RepPrefix5&amp;"- Conversion'!T4:T202"),1),INDIRECT("'"&amp;RepPrefix5&amp;"- Conversion'!T4:T202"),0)),"")</f>
        <v/>
      </c>
      <c r="C37" s="164">
        <f>IF(OR(RepPrefix5="",B37=""),"",RepName5)</f>
        <v/>
      </c>
      <c r="D37" s="159">
        <f>IFERROR(INDEX(INDIRECT("'"&amp;RepPrefix5&amp;"- Conversion'!G4:G202"),MATCH(LARGE(INDIRECT("'"&amp;RepPrefix5&amp;"- Conversion'!T4:T202"),1),INDIRECT("'"&amp;RepPrefix5&amp;"- Conversion'!T4:T202"),0)),"")</f>
        <v/>
      </c>
      <c r="E37" s="162">
        <f>IFERROR(LARGE(INDIRECT("'"&amp;RepPrefix5&amp;"- Conversion'!T4:T202"),1),"")</f>
        <v/>
      </c>
      <c r="F37" s="162">
        <f>IFERROR(INDEX(INDIRECT("'"&amp;RepPrefix5&amp;"- Conversion'!I4:I202"),MATCH(LARGE(INDIRECT("'"&amp;RepPrefix5&amp;"- Conversion'!T4:T202"),1),INDIRECT("'"&amp;RepPrefix5&amp;"- Conversion'!T4:T202"),0)),"")</f>
        <v/>
      </c>
      <c r="G37" s="163">
        <f>IFERROR(INDEX(INDIRECT("'"&amp;RepPrefix5&amp;"- Conversion'!J4:J202"),MATCH(LARGE(INDIRECT("'"&amp;RepPrefix5&amp;"- Conversion'!T4:T202"),1),INDIRECT("'"&amp;RepPrefix5&amp;"- Conversion'!T4:T202"),0)),"")</f>
        <v/>
      </c>
      <c r="H37" s="164">
        <f>IF(B37="","",IF(D37="Closed Won","✓ WON",IF(D37="Closed Lost","✗ LOST",IF(AND(G37&lt;&gt;"",ISNUMBER(G37),G37&lt;TODAY()),"⚠ PAST DUE",IF(G37="","◔ NO DATE",IF(D37="Negotiation","● NEGOTIATING","○ ACTIVE"))))))</f>
        <v/>
      </c>
      <c r="I37" s="160" t="inlineStr"/>
      <c r="J37" s="108" t="n"/>
    </row>
    <row r="38" ht="18" customHeight="1" s="96">
      <c r="A38" s="108" t="n"/>
      <c r="B38" s="154">
        <f>IFERROR(INDEX(INDIRECT("'"&amp;RepPrefix5&amp;"- Conversion'!D4:D202"),MATCH(LARGE(INDIRECT("'"&amp;RepPrefix5&amp;"- Conversion'!T4:T202"),2),INDIRECT("'"&amp;RepPrefix5&amp;"- Conversion'!T4:T202"),0)),"")</f>
        <v/>
      </c>
      <c r="C38" s="158">
        <f>IF(OR(RepPrefix5="",B38=""),"",RepName5)</f>
        <v/>
      </c>
      <c r="D38" s="154">
        <f>IFERROR(INDEX(INDIRECT("'"&amp;RepPrefix5&amp;"- Conversion'!G4:G202"),MATCH(LARGE(INDIRECT("'"&amp;RepPrefix5&amp;"- Conversion'!T4:T202"),2),INDIRECT("'"&amp;RepPrefix5&amp;"- Conversion'!T4:T202"),0)),"")</f>
        <v/>
      </c>
      <c r="E38" s="156">
        <f>IFERROR(LARGE(INDIRECT("'"&amp;RepPrefix5&amp;"- Conversion'!T4:T202"),2),"")</f>
        <v/>
      </c>
      <c r="F38" s="156">
        <f>IFERROR(INDEX(INDIRECT("'"&amp;RepPrefix5&amp;"- Conversion'!I4:I202"),MATCH(LARGE(INDIRECT("'"&amp;RepPrefix5&amp;"- Conversion'!T4:T202"),2),INDIRECT("'"&amp;RepPrefix5&amp;"- Conversion'!T4:T202"),0)),"")</f>
        <v/>
      </c>
      <c r="G38" s="157">
        <f>IFERROR(INDEX(INDIRECT("'"&amp;RepPrefix5&amp;"- Conversion'!J4:J202"),MATCH(LARGE(INDIRECT("'"&amp;RepPrefix5&amp;"- Conversion'!T4:T202"),2),INDIRECT("'"&amp;RepPrefix5&amp;"- Conversion'!T4:T202"),0)),"")</f>
        <v/>
      </c>
      <c r="H38" s="158">
        <f>IF(B38="","",IF(D38="Closed Won","✓ WON",IF(D38="Closed Lost","✗ LOST",IF(AND(G38&lt;&gt;"",ISNUMBER(G38),G38&lt;TODAY()),"⚠ PAST DUE",IF(G38="","◔ NO DATE",IF(D38="Negotiation","● NEGOTIATING","○ ACTIVE"))))))</f>
        <v/>
      </c>
      <c r="I38" s="133" t="inlineStr"/>
      <c r="J38" s="108" t="n"/>
    </row>
    <row r="39" ht="18" customHeight="1" s="96">
      <c r="A39" s="108" t="n"/>
      <c r="B39" s="159">
        <f>IFERROR(INDEX(INDIRECT("'"&amp;RepPrefix5&amp;"- Conversion'!D4:D202"),MATCH(LARGE(INDIRECT("'"&amp;RepPrefix5&amp;"- Conversion'!T4:T202"),3),INDIRECT("'"&amp;RepPrefix5&amp;"- Conversion'!T4:T202"),0)),"")</f>
        <v/>
      </c>
      <c r="C39" s="164">
        <f>IF(OR(RepPrefix5="",B39=""),"",RepName5)</f>
        <v/>
      </c>
      <c r="D39" s="159">
        <f>IFERROR(INDEX(INDIRECT("'"&amp;RepPrefix5&amp;"- Conversion'!G4:G202"),MATCH(LARGE(INDIRECT("'"&amp;RepPrefix5&amp;"- Conversion'!T4:T202"),3),INDIRECT("'"&amp;RepPrefix5&amp;"- Conversion'!T4:T202"),0)),"")</f>
        <v/>
      </c>
      <c r="E39" s="162">
        <f>IFERROR(LARGE(INDIRECT("'"&amp;RepPrefix5&amp;"- Conversion'!T4:T202"),3),"")</f>
        <v/>
      </c>
      <c r="F39" s="162">
        <f>IFERROR(INDEX(INDIRECT("'"&amp;RepPrefix5&amp;"- Conversion'!I4:I202"),MATCH(LARGE(INDIRECT("'"&amp;RepPrefix5&amp;"- Conversion'!T4:T202"),3),INDIRECT("'"&amp;RepPrefix5&amp;"- Conversion'!T4:T202"),0)),"")</f>
        <v/>
      </c>
      <c r="G39" s="163">
        <f>IFERROR(INDEX(INDIRECT("'"&amp;RepPrefix5&amp;"- Conversion'!J4:J202"),MATCH(LARGE(INDIRECT("'"&amp;RepPrefix5&amp;"- Conversion'!T4:T202"),3),INDIRECT("'"&amp;RepPrefix5&amp;"- Conversion'!T4:T202"),0)),"")</f>
        <v/>
      </c>
      <c r="H39" s="164">
        <f>IF(B39="","",IF(D39="Closed Won","✓ WON",IF(D39="Closed Lost","✗ LOST",IF(AND(G39&lt;&gt;"",ISNUMBER(G39),G39&lt;TODAY()),"⚠ PAST DUE",IF(G39="","◔ NO DATE",IF(D39="Negotiation","● NEGOTIATING","○ ACTIVE"))))))</f>
        <v/>
      </c>
      <c r="I39" s="160" t="inlineStr"/>
      <c r="J39" s="108" t="n"/>
    </row>
    <row r="40" ht="18" customHeight="1" s="96">
      <c r="A40" s="108" t="n"/>
      <c r="B40" s="154">
        <f>IFERROR(INDEX(INDIRECT("'"&amp;RepPrefix5&amp;"- Conversion'!D4:D202"),MATCH(LARGE(INDIRECT("'"&amp;RepPrefix5&amp;"- Conversion'!T4:T202"),4),INDIRECT("'"&amp;RepPrefix5&amp;"- Conversion'!T4:T202"),0)),"")</f>
        <v/>
      </c>
      <c r="C40" s="158">
        <f>IF(OR(RepPrefix5="",B40=""),"",RepName5)</f>
        <v/>
      </c>
      <c r="D40" s="154">
        <f>IFERROR(INDEX(INDIRECT("'"&amp;RepPrefix5&amp;"- Conversion'!G4:G202"),MATCH(LARGE(INDIRECT("'"&amp;RepPrefix5&amp;"- Conversion'!T4:T202"),4),INDIRECT("'"&amp;RepPrefix5&amp;"- Conversion'!T4:T202"),0)),"")</f>
        <v/>
      </c>
      <c r="E40" s="156">
        <f>IFERROR(LARGE(INDIRECT("'"&amp;RepPrefix5&amp;"- Conversion'!T4:T202"),4),"")</f>
        <v/>
      </c>
      <c r="F40" s="156">
        <f>IFERROR(INDEX(INDIRECT("'"&amp;RepPrefix5&amp;"- Conversion'!I4:I202"),MATCH(LARGE(INDIRECT("'"&amp;RepPrefix5&amp;"- Conversion'!T4:T202"),4),INDIRECT("'"&amp;RepPrefix5&amp;"- Conversion'!T4:T202"),0)),"")</f>
        <v/>
      </c>
      <c r="G40" s="157">
        <f>IFERROR(INDEX(INDIRECT("'"&amp;RepPrefix5&amp;"- Conversion'!J4:J202"),MATCH(LARGE(INDIRECT("'"&amp;RepPrefix5&amp;"- Conversion'!T4:T202"),4),INDIRECT("'"&amp;RepPrefix5&amp;"- Conversion'!T4:T202"),0)),"")</f>
        <v/>
      </c>
      <c r="H40" s="158">
        <f>IF(B40="","",IF(D40="Closed Won","✓ WON",IF(D40="Closed Lost","✗ LOST",IF(AND(G40&lt;&gt;"",ISNUMBER(G40),G40&lt;TODAY()),"⚠ PAST DUE",IF(G40="","◔ NO DATE",IF(D40="Negotiation","● NEGOTIATING","○ ACTIVE"))))))</f>
        <v/>
      </c>
      <c r="I40" s="133" t="inlineStr"/>
      <c r="J40" s="108" t="n"/>
    </row>
    <row r="41" ht="18" customHeight="1" s="96">
      <c r="A41" s="108" t="n"/>
      <c r="B41" s="159">
        <f>IFERROR(INDEX(INDIRECT("'"&amp;RepPrefix5&amp;"- Conversion'!D4:D202"),MATCH(LARGE(INDIRECT("'"&amp;RepPrefix5&amp;"- Conversion'!T4:T202"),5),INDIRECT("'"&amp;RepPrefix5&amp;"- Conversion'!T4:T202"),0)),"")</f>
        <v/>
      </c>
      <c r="C41" s="164">
        <f>IF(OR(RepPrefix5="",B41=""),"",RepName5)</f>
        <v/>
      </c>
      <c r="D41" s="159">
        <f>IFERROR(INDEX(INDIRECT("'"&amp;RepPrefix5&amp;"- Conversion'!G4:G202"),MATCH(LARGE(INDIRECT("'"&amp;RepPrefix5&amp;"- Conversion'!T4:T202"),5),INDIRECT("'"&amp;RepPrefix5&amp;"- Conversion'!T4:T202"),0)),"")</f>
        <v/>
      </c>
      <c r="E41" s="162">
        <f>IFERROR(LARGE(INDIRECT("'"&amp;RepPrefix5&amp;"- Conversion'!T4:T202"),5),"")</f>
        <v/>
      </c>
      <c r="F41" s="162">
        <f>IFERROR(INDEX(INDIRECT("'"&amp;RepPrefix5&amp;"- Conversion'!I4:I202"),MATCH(LARGE(INDIRECT("'"&amp;RepPrefix5&amp;"- Conversion'!T4:T202"),5),INDIRECT("'"&amp;RepPrefix5&amp;"- Conversion'!T4:T202"),0)),"")</f>
        <v/>
      </c>
      <c r="G41" s="163">
        <f>IFERROR(INDEX(INDIRECT("'"&amp;RepPrefix5&amp;"- Conversion'!J4:J202"),MATCH(LARGE(INDIRECT("'"&amp;RepPrefix5&amp;"- Conversion'!T4:T202"),5),INDIRECT("'"&amp;RepPrefix5&amp;"- Conversion'!T4:T202"),0)),"")</f>
        <v/>
      </c>
      <c r="H41" s="164">
        <f>IF(B41="","",IF(D41="Closed Won","✓ WON",IF(D41="Closed Lost","✗ LOST",IF(AND(G41&lt;&gt;"",ISNUMBER(G41),G41&lt;TODAY()),"⚠ PAST DUE",IF(G41="","◔ NO DATE",IF(D41="Negotiation","● NEGOTIATING","○ ACTIVE"))))))</f>
        <v/>
      </c>
      <c r="I41" s="160" t="inlineStr"/>
      <c r="J41" s="108" t="n"/>
    </row>
    <row r="42" ht="18" customHeight="1" s="96">
      <c r="A42" s="108" t="n"/>
      <c r="B42" s="154">
        <f>IFERROR(INDEX(INDIRECT("'"&amp;RepPrefix5&amp;"- Conversion'!D4:D202"),MATCH(LARGE(INDIRECT("'"&amp;RepPrefix5&amp;"- Conversion'!T4:T202"),6),INDIRECT("'"&amp;RepPrefix5&amp;"- Conversion'!T4:T202"),0)),"")</f>
        <v/>
      </c>
      <c r="C42" s="158">
        <f>IF(OR(RepPrefix5="",B42=""),"",RepName5)</f>
        <v/>
      </c>
      <c r="D42" s="154">
        <f>IFERROR(INDEX(INDIRECT("'"&amp;RepPrefix5&amp;"- Conversion'!G4:G202"),MATCH(LARGE(INDIRECT("'"&amp;RepPrefix5&amp;"- Conversion'!T4:T202"),6),INDIRECT("'"&amp;RepPrefix5&amp;"- Conversion'!T4:T202"),0)),"")</f>
        <v/>
      </c>
      <c r="E42" s="156">
        <f>IFERROR(LARGE(INDIRECT("'"&amp;RepPrefix5&amp;"- Conversion'!T4:T202"),6),"")</f>
        <v/>
      </c>
      <c r="F42" s="156">
        <f>IFERROR(INDEX(INDIRECT("'"&amp;RepPrefix5&amp;"- Conversion'!I4:I202"),MATCH(LARGE(INDIRECT("'"&amp;RepPrefix5&amp;"- Conversion'!T4:T202"),6),INDIRECT("'"&amp;RepPrefix5&amp;"- Conversion'!T4:T202"),0)),"")</f>
        <v/>
      </c>
      <c r="G42" s="157">
        <f>IFERROR(INDEX(INDIRECT("'"&amp;RepPrefix5&amp;"- Conversion'!J4:J202"),MATCH(LARGE(INDIRECT("'"&amp;RepPrefix5&amp;"- Conversion'!T4:T202"),6),INDIRECT("'"&amp;RepPrefix5&amp;"- Conversion'!T4:T202"),0)),"")</f>
        <v/>
      </c>
      <c r="H42" s="158">
        <f>IF(B42="","",IF(D42="Closed Won","✓ WON",IF(D42="Closed Lost","✗ LOST",IF(AND(G42&lt;&gt;"",ISNUMBER(G42),G42&lt;TODAY()),"⚠ PAST DUE",IF(G42="","◔ NO DATE",IF(D42="Negotiation","● NEGOTIATING","○ ACTIVE"))))))</f>
        <v/>
      </c>
      <c r="I42" s="133" t="inlineStr"/>
      <c r="J42" s="108" t="n"/>
    </row>
    <row r="43" ht="18" customHeight="1" s="96">
      <c r="A43" s="108" t="n"/>
      <c r="B43" s="159">
        <f>IFERROR(INDEX(INDIRECT("'"&amp;RepPrefix5&amp;"- Conversion'!D4:D202"),MATCH(LARGE(INDIRECT("'"&amp;RepPrefix5&amp;"- Conversion'!T4:T202"),7),INDIRECT("'"&amp;RepPrefix5&amp;"- Conversion'!T4:T202"),0)),"")</f>
        <v/>
      </c>
      <c r="C43" s="164">
        <f>IF(OR(RepPrefix5="",B43=""),"",RepName5)</f>
        <v/>
      </c>
      <c r="D43" s="159">
        <f>IFERROR(INDEX(INDIRECT("'"&amp;RepPrefix5&amp;"- Conversion'!G4:G202"),MATCH(LARGE(INDIRECT("'"&amp;RepPrefix5&amp;"- Conversion'!T4:T202"),7),INDIRECT("'"&amp;RepPrefix5&amp;"- Conversion'!T4:T202"),0)),"")</f>
        <v/>
      </c>
      <c r="E43" s="162">
        <f>IFERROR(LARGE(INDIRECT("'"&amp;RepPrefix5&amp;"- Conversion'!T4:T202"),7),"")</f>
        <v/>
      </c>
      <c r="F43" s="162">
        <f>IFERROR(INDEX(INDIRECT("'"&amp;RepPrefix5&amp;"- Conversion'!I4:I202"),MATCH(LARGE(INDIRECT("'"&amp;RepPrefix5&amp;"- Conversion'!T4:T202"),7),INDIRECT("'"&amp;RepPrefix5&amp;"- Conversion'!T4:T202"),0)),"")</f>
        <v/>
      </c>
      <c r="G43" s="163">
        <f>IFERROR(INDEX(INDIRECT("'"&amp;RepPrefix5&amp;"- Conversion'!J4:J202"),MATCH(LARGE(INDIRECT("'"&amp;RepPrefix5&amp;"- Conversion'!T4:T202"),7),INDIRECT("'"&amp;RepPrefix5&amp;"- Conversion'!T4:T202"),0)),"")</f>
        <v/>
      </c>
      <c r="H43" s="164">
        <f>IF(B43="","",IF(D43="Closed Won","✓ WON",IF(D43="Closed Lost","✗ LOST",IF(AND(G43&lt;&gt;"",ISNUMBER(G43),G43&lt;TODAY()),"⚠ PAST DUE",IF(G43="","◔ NO DATE",IF(D43="Negotiation","● NEGOTIATING","○ ACTIVE"))))))</f>
        <v/>
      </c>
      <c r="I43" s="160" t="inlineStr"/>
      <c r="J43" s="108" t="n"/>
    </row>
    <row r="44" ht="18" customHeight="1" s="96">
      <c r="A44" s="108" t="n"/>
      <c r="B44" s="154">
        <f>IFERROR(INDEX(INDIRECT("'"&amp;RepPrefix5&amp;"- Conversion'!D4:D202"),MATCH(LARGE(INDIRECT("'"&amp;RepPrefix5&amp;"- Conversion'!T4:T202"),8),INDIRECT("'"&amp;RepPrefix5&amp;"- Conversion'!T4:T202"),0)),"")</f>
        <v/>
      </c>
      <c r="C44" s="158">
        <f>IF(OR(RepPrefix5="",B44=""),"",RepName5)</f>
        <v/>
      </c>
      <c r="D44" s="154">
        <f>IFERROR(INDEX(INDIRECT("'"&amp;RepPrefix5&amp;"- Conversion'!G4:G202"),MATCH(LARGE(INDIRECT("'"&amp;RepPrefix5&amp;"- Conversion'!T4:T202"),8),INDIRECT("'"&amp;RepPrefix5&amp;"- Conversion'!T4:T202"),0)),"")</f>
        <v/>
      </c>
      <c r="E44" s="156">
        <f>IFERROR(LARGE(INDIRECT("'"&amp;RepPrefix5&amp;"- Conversion'!T4:T202"),8),"")</f>
        <v/>
      </c>
      <c r="F44" s="156">
        <f>IFERROR(INDEX(INDIRECT("'"&amp;RepPrefix5&amp;"- Conversion'!I4:I202"),MATCH(LARGE(INDIRECT("'"&amp;RepPrefix5&amp;"- Conversion'!T4:T202"),8),INDIRECT("'"&amp;RepPrefix5&amp;"- Conversion'!T4:T202"),0)),"")</f>
        <v/>
      </c>
      <c r="G44" s="157">
        <f>IFERROR(INDEX(INDIRECT("'"&amp;RepPrefix5&amp;"- Conversion'!J4:J202"),MATCH(LARGE(INDIRECT("'"&amp;RepPrefix5&amp;"- Conversion'!T4:T202"),8),INDIRECT("'"&amp;RepPrefix5&amp;"- Conversion'!T4:T202"),0)),"")</f>
        <v/>
      </c>
      <c r="H44" s="158">
        <f>IF(B44="","",IF(D44="Closed Won","✓ WON",IF(D44="Closed Lost","✗ LOST",IF(AND(G44&lt;&gt;"",ISNUMBER(G44),G44&lt;TODAY()),"⚠ PAST DUE",IF(G44="","◔ NO DATE",IF(D44="Negotiation","● NEGOTIATING","○ ACTIVE"))))))</f>
        <v/>
      </c>
      <c r="I44" s="133" t="inlineStr"/>
      <c r="J44" s="108" t="n"/>
    </row>
    <row r="45" ht="18" customHeight="1" s="96">
      <c r="A45" s="108" t="n"/>
      <c r="B45" s="159">
        <f>IFERROR(INDEX(INDIRECT("'"&amp;RepPrefix6&amp;"- Conversion'!D4:D202"),MATCH(LARGE(INDIRECT("'"&amp;RepPrefix6&amp;"- Conversion'!T4:T202"),1),INDIRECT("'"&amp;RepPrefix6&amp;"- Conversion'!T4:T202"),0)),"")</f>
        <v/>
      </c>
      <c r="C45" s="164">
        <f>IF(OR(RepPrefix6="",B45=""),"",RepName6)</f>
        <v/>
      </c>
      <c r="D45" s="159">
        <f>IFERROR(INDEX(INDIRECT("'"&amp;RepPrefix6&amp;"- Conversion'!G4:G202"),MATCH(LARGE(INDIRECT("'"&amp;RepPrefix6&amp;"- Conversion'!T4:T202"),1),INDIRECT("'"&amp;RepPrefix6&amp;"- Conversion'!T4:T202"),0)),"")</f>
        <v/>
      </c>
      <c r="E45" s="162">
        <f>IFERROR(LARGE(INDIRECT("'"&amp;RepPrefix6&amp;"- Conversion'!T4:T202"),1),"")</f>
        <v/>
      </c>
      <c r="F45" s="162">
        <f>IFERROR(INDEX(INDIRECT("'"&amp;RepPrefix6&amp;"- Conversion'!I4:I202"),MATCH(LARGE(INDIRECT("'"&amp;RepPrefix6&amp;"- Conversion'!T4:T202"),1),INDIRECT("'"&amp;RepPrefix6&amp;"- Conversion'!T4:T202"),0)),"")</f>
        <v/>
      </c>
      <c r="G45" s="163">
        <f>IFERROR(INDEX(INDIRECT("'"&amp;RepPrefix6&amp;"- Conversion'!J4:J202"),MATCH(LARGE(INDIRECT("'"&amp;RepPrefix6&amp;"- Conversion'!T4:T202"),1),INDIRECT("'"&amp;RepPrefix6&amp;"- Conversion'!T4:T202"),0)),"")</f>
        <v/>
      </c>
      <c r="H45" s="164">
        <f>IF(B45="","",IF(D45="Closed Won","✓ WON",IF(D45="Closed Lost","✗ LOST",IF(AND(G45&lt;&gt;"",ISNUMBER(G45),G45&lt;TODAY()),"⚠ PAST DUE",IF(G45="","◔ NO DATE",IF(D45="Negotiation","● NEGOTIATING","○ ACTIVE"))))))</f>
        <v/>
      </c>
      <c r="I45" s="160" t="inlineStr"/>
      <c r="J45" s="108" t="n"/>
    </row>
    <row r="46" ht="18" customHeight="1" s="96">
      <c r="A46" s="108" t="n"/>
      <c r="B46" s="154">
        <f>IFERROR(INDEX(INDIRECT("'"&amp;RepPrefix6&amp;"- Conversion'!D4:D202"),MATCH(LARGE(INDIRECT("'"&amp;RepPrefix6&amp;"- Conversion'!T4:T202"),2),INDIRECT("'"&amp;RepPrefix6&amp;"- Conversion'!T4:T202"),0)),"")</f>
        <v/>
      </c>
      <c r="C46" s="158">
        <f>IF(OR(RepPrefix6="",B46=""),"",RepName6)</f>
        <v/>
      </c>
      <c r="D46" s="154">
        <f>IFERROR(INDEX(INDIRECT("'"&amp;RepPrefix6&amp;"- Conversion'!G4:G202"),MATCH(LARGE(INDIRECT("'"&amp;RepPrefix6&amp;"- Conversion'!T4:T202"),2),INDIRECT("'"&amp;RepPrefix6&amp;"- Conversion'!T4:T202"),0)),"")</f>
        <v/>
      </c>
      <c r="E46" s="156">
        <f>IFERROR(LARGE(INDIRECT("'"&amp;RepPrefix6&amp;"- Conversion'!T4:T202"),2),"")</f>
        <v/>
      </c>
      <c r="F46" s="156">
        <f>IFERROR(INDEX(INDIRECT("'"&amp;RepPrefix6&amp;"- Conversion'!I4:I202"),MATCH(LARGE(INDIRECT("'"&amp;RepPrefix6&amp;"- Conversion'!T4:T202"),2),INDIRECT("'"&amp;RepPrefix6&amp;"- Conversion'!T4:T202"),0)),"")</f>
        <v/>
      </c>
      <c r="G46" s="157">
        <f>IFERROR(INDEX(INDIRECT("'"&amp;RepPrefix6&amp;"- Conversion'!J4:J202"),MATCH(LARGE(INDIRECT("'"&amp;RepPrefix6&amp;"- Conversion'!T4:T202"),2),INDIRECT("'"&amp;RepPrefix6&amp;"- Conversion'!T4:T202"),0)),"")</f>
        <v/>
      </c>
      <c r="H46" s="158">
        <f>IF(B46="","",IF(D46="Closed Won","✓ WON",IF(D46="Closed Lost","✗ LOST",IF(AND(G46&lt;&gt;"",ISNUMBER(G46),G46&lt;TODAY()),"⚠ PAST DUE",IF(G46="","◔ NO DATE",IF(D46="Negotiation","● NEGOTIATING","○ ACTIVE"))))))</f>
        <v/>
      </c>
      <c r="I46" s="133" t="inlineStr"/>
      <c r="J46" s="108" t="n"/>
    </row>
    <row r="47" ht="18" customHeight="1" s="96">
      <c r="A47" s="108" t="n"/>
      <c r="B47" s="159">
        <f>IFERROR(INDEX(INDIRECT("'"&amp;RepPrefix6&amp;"- Conversion'!D4:D202"),MATCH(LARGE(INDIRECT("'"&amp;RepPrefix6&amp;"- Conversion'!T4:T202"),3),INDIRECT("'"&amp;RepPrefix6&amp;"- Conversion'!T4:T202"),0)),"")</f>
        <v/>
      </c>
      <c r="C47" s="164">
        <f>IF(OR(RepPrefix6="",B47=""),"",RepName6)</f>
        <v/>
      </c>
      <c r="D47" s="159">
        <f>IFERROR(INDEX(INDIRECT("'"&amp;RepPrefix6&amp;"- Conversion'!G4:G202"),MATCH(LARGE(INDIRECT("'"&amp;RepPrefix6&amp;"- Conversion'!T4:T202"),3),INDIRECT("'"&amp;RepPrefix6&amp;"- Conversion'!T4:T202"),0)),"")</f>
        <v/>
      </c>
      <c r="E47" s="162">
        <f>IFERROR(LARGE(INDIRECT("'"&amp;RepPrefix6&amp;"- Conversion'!T4:T202"),3),"")</f>
        <v/>
      </c>
      <c r="F47" s="162">
        <f>IFERROR(INDEX(INDIRECT("'"&amp;RepPrefix6&amp;"- Conversion'!I4:I202"),MATCH(LARGE(INDIRECT("'"&amp;RepPrefix6&amp;"- Conversion'!T4:T202"),3),INDIRECT("'"&amp;RepPrefix6&amp;"- Conversion'!T4:T202"),0)),"")</f>
        <v/>
      </c>
      <c r="G47" s="163">
        <f>IFERROR(INDEX(INDIRECT("'"&amp;RepPrefix6&amp;"- Conversion'!J4:J202"),MATCH(LARGE(INDIRECT("'"&amp;RepPrefix6&amp;"- Conversion'!T4:T202"),3),INDIRECT("'"&amp;RepPrefix6&amp;"- Conversion'!T4:T202"),0)),"")</f>
        <v/>
      </c>
      <c r="H47" s="164">
        <f>IF(B47="","",IF(D47="Closed Won","✓ WON",IF(D47="Closed Lost","✗ LOST",IF(AND(G47&lt;&gt;"",ISNUMBER(G47),G47&lt;TODAY()),"⚠ PAST DUE",IF(G47="","◔ NO DATE",IF(D47="Negotiation","● NEGOTIATING","○ ACTIVE"))))))</f>
        <v/>
      </c>
      <c r="I47" s="160" t="inlineStr"/>
      <c r="J47" s="108" t="n"/>
    </row>
    <row r="48" ht="18" customHeight="1" s="96">
      <c r="A48" s="108" t="n"/>
      <c r="B48" s="154">
        <f>IFERROR(INDEX(INDIRECT("'"&amp;RepPrefix6&amp;"- Conversion'!D4:D202"),MATCH(LARGE(INDIRECT("'"&amp;RepPrefix6&amp;"- Conversion'!T4:T202"),4),INDIRECT("'"&amp;RepPrefix6&amp;"- Conversion'!T4:T202"),0)),"")</f>
        <v/>
      </c>
      <c r="C48" s="158">
        <f>IF(OR(RepPrefix6="",B48=""),"",RepName6)</f>
        <v/>
      </c>
      <c r="D48" s="154">
        <f>IFERROR(INDEX(INDIRECT("'"&amp;RepPrefix6&amp;"- Conversion'!G4:G202"),MATCH(LARGE(INDIRECT("'"&amp;RepPrefix6&amp;"- Conversion'!T4:T202"),4),INDIRECT("'"&amp;RepPrefix6&amp;"- Conversion'!T4:T202"),0)),"")</f>
        <v/>
      </c>
      <c r="E48" s="156">
        <f>IFERROR(LARGE(INDIRECT("'"&amp;RepPrefix6&amp;"- Conversion'!T4:T202"),4),"")</f>
        <v/>
      </c>
      <c r="F48" s="156">
        <f>IFERROR(INDEX(INDIRECT("'"&amp;RepPrefix6&amp;"- Conversion'!I4:I202"),MATCH(LARGE(INDIRECT("'"&amp;RepPrefix6&amp;"- Conversion'!T4:T202"),4),INDIRECT("'"&amp;RepPrefix6&amp;"- Conversion'!T4:T202"),0)),"")</f>
        <v/>
      </c>
      <c r="G48" s="157">
        <f>IFERROR(INDEX(INDIRECT("'"&amp;RepPrefix6&amp;"- Conversion'!J4:J202"),MATCH(LARGE(INDIRECT("'"&amp;RepPrefix6&amp;"- Conversion'!T4:T202"),4),INDIRECT("'"&amp;RepPrefix6&amp;"- Conversion'!T4:T202"),0)),"")</f>
        <v/>
      </c>
      <c r="H48" s="158">
        <f>IF(B48="","",IF(D48="Closed Won","✓ WON",IF(D48="Closed Lost","✗ LOST",IF(AND(G48&lt;&gt;"",ISNUMBER(G48),G48&lt;TODAY()),"⚠ PAST DUE",IF(G48="","◔ NO DATE",IF(D48="Negotiation","● NEGOTIATING","○ ACTIVE"))))))</f>
        <v/>
      </c>
      <c r="I48" s="133" t="inlineStr"/>
      <c r="J48" s="108" t="n"/>
    </row>
    <row r="49" ht="18" customHeight="1" s="96">
      <c r="A49" s="108" t="n"/>
      <c r="B49" s="159">
        <f>IFERROR(INDEX(INDIRECT("'"&amp;RepPrefix6&amp;"- Conversion'!D4:D202"),MATCH(LARGE(INDIRECT("'"&amp;RepPrefix6&amp;"- Conversion'!T4:T202"),5),INDIRECT("'"&amp;RepPrefix6&amp;"- Conversion'!T4:T202"),0)),"")</f>
        <v/>
      </c>
      <c r="C49" s="164">
        <f>IF(OR(RepPrefix6="",B49=""),"",RepName6)</f>
        <v/>
      </c>
      <c r="D49" s="159">
        <f>IFERROR(INDEX(INDIRECT("'"&amp;RepPrefix6&amp;"- Conversion'!G4:G202"),MATCH(LARGE(INDIRECT("'"&amp;RepPrefix6&amp;"- Conversion'!T4:T202"),5),INDIRECT("'"&amp;RepPrefix6&amp;"- Conversion'!T4:T202"),0)),"")</f>
        <v/>
      </c>
      <c r="E49" s="162">
        <f>IFERROR(LARGE(INDIRECT("'"&amp;RepPrefix6&amp;"- Conversion'!T4:T202"),5),"")</f>
        <v/>
      </c>
      <c r="F49" s="162">
        <f>IFERROR(INDEX(INDIRECT("'"&amp;RepPrefix6&amp;"- Conversion'!I4:I202"),MATCH(LARGE(INDIRECT("'"&amp;RepPrefix6&amp;"- Conversion'!T4:T202"),5),INDIRECT("'"&amp;RepPrefix6&amp;"- Conversion'!T4:T202"),0)),"")</f>
        <v/>
      </c>
      <c r="G49" s="163">
        <f>IFERROR(INDEX(INDIRECT("'"&amp;RepPrefix6&amp;"- Conversion'!J4:J202"),MATCH(LARGE(INDIRECT("'"&amp;RepPrefix6&amp;"- Conversion'!T4:T202"),5),INDIRECT("'"&amp;RepPrefix6&amp;"- Conversion'!T4:T202"),0)),"")</f>
        <v/>
      </c>
      <c r="H49" s="164">
        <f>IF(B49="","",IF(D49="Closed Won","✓ WON",IF(D49="Closed Lost","✗ LOST",IF(AND(G49&lt;&gt;"",ISNUMBER(G49),G49&lt;TODAY()),"⚠ PAST DUE",IF(G49="","◔ NO DATE",IF(D49="Negotiation","● NEGOTIATING","○ ACTIVE"))))))</f>
        <v/>
      </c>
      <c r="I49" s="160" t="inlineStr"/>
      <c r="J49" s="108" t="n"/>
    </row>
    <row r="50" ht="18" customHeight="1" s="96">
      <c r="A50" s="108" t="n"/>
      <c r="B50" s="154">
        <f>IFERROR(INDEX(INDIRECT("'"&amp;RepPrefix6&amp;"- Conversion'!D4:D202"),MATCH(LARGE(INDIRECT("'"&amp;RepPrefix6&amp;"- Conversion'!T4:T202"),6),INDIRECT("'"&amp;RepPrefix6&amp;"- Conversion'!T4:T202"),0)),"")</f>
        <v/>
      </c>
      <c r="C50" s="158">
        <f>IF(OR(RepPrefix6="",B50=""),"",RepName6)</f>
        <v/>
      </c>
      <c r="D50" s="154">
        <f>IFERROR(INDEX(INDIRECT("'"&amp;RepPrefix6&amp;"- Conversion'!G4:G202"),MATCH(LARGE(INDIRECT("'"&amp;RepPrefix6&amp;"- Conversion'!T4:T202"),6),INDIRECT("'"&amp;RepPrefix6&amp;"- Conversion'!T4:T202"),0)),"")</f>
        <v/>
      </c>
      <c r="E50" s="156">
        <f>IFERROR(LARGE(INDIRECT("'"&amp;RepPrefix6&amp;"- Conversion'!T4:T202"),6),"")</f>
        <v/>
      </c>
      <c r="F50" s="156">
        <f>IFERROR(INDEX(INDIRECT("'"&amp;RepPrefix6&amp;"- Conversion'!I4:I202"),MATCH(LARGE(INDIRECT("'"&amp;RepPrefix6&amp;"- Conversion'!T4:T202"),6),INDIRECT("'"&amp;RepPrefix6&amp;"- Conversion'!T4:T202"),0)),"")</f>
        <v/>
      </c>
      <c r="G50" s="157">
        <f>IFERROR(INDEX(INDIRECT("'"&amp;RepPrefix6&amp;"- Conversion'!J4:J202"),MATCH(LARGE(INDIRECT("'"&amp;RepPrefix6&amp;"- Conversion'!T4:T202"),6),INDIRECT("'"&amp;RepPrefix6&amp;"- Conversion'!T4:T202"),0)),"")</f>
        <v/>
      </c>
      <c r="H50" s="158">
        <f>IF(B50="","",IF(D50="Closed Won","✓ WON",IF(D50="Closed Lost","✗ LOST",IF(AND(G50&lt;&gt;"",ISNUMBER(G50),G50&lt;TODAY()),"⚠ PAST DUE",IF(G50="","◔ NO DATE",IF(D50="Negotiation","● NEGOTIATING","○ ACTIVE"))))))</f>
        <v/>
      </c>
      <c r="I50" s="133" t="inlineStr"/>
      <c r="J50" s="108" t="n"/>
    </row>
    <row r="51" ht="18" customHeight="1" s="96">
      <c r="A51" s="108" t="n"/>
      <c r="B51" s="159">
        <f>IFERROR(INDEX(INDIRECT("'"&amp;RepPrefix6&amp;"- Conversion'!D4:D202"),MATCH(LARGE(INDIRECT("'"&amp;RepPrefix6&amp;"- Conversion'!T4:T202"),7),INDIRECT("'"&amp;RepPrefix6&amp;"- Conversion'!T4:T202"),0)),"")</f>
        <v/>
      </c>
      <c r="C51" s="164">
        <f>IF(OR(RepPrefix6="",B51=""),"",RepName6)</f>
        <v/>
      </c>
      <c r="D51" s="159">
        <f>IFERROR(INDEX(INDIRECT("'"&amp;RepPrefix6&amp;"- Conversion'!G4:G202"),MATCH(LARGE(INDIRECT("'"&amp;RepPrefix6&amp;"- Conversion'!T4:T202"),7),INDIRECT("'"&amp;RepPrefix6&amp;"- Conversion'!T4:T202"),0)),"")</f>
        <v/>
      </c>
      <c r="E51" s="162">
        <f>IFERROR(LARGE(INDIRECT("'"&amp;RepPrefix6&amp;"- Conversion'!T4:T202"),7),"")</f>
        <v/>
      </c>
      <c r="F51" s="162">
        <f>IFERROR(INDEX(INDIRECT("'"&amp;RepPrefix6&amp;"- Conversion'!I4:I202"),MATCH(LARGE(INDIRECT("'"&amp;RepPrefix6&amp;"- Conversion'!T4:T202"),7),INDIRECT("'"&amp;RepPrefix6&amp;"- Conversion'!T4:T202"),0)),"")</f>
        <v/>
      </c>
      <c r="G51" s="163">
        <f>IFERROR(INDEX(INDIRECT("'"&amp;RepPrefix6&amp;"- Conversion'!J4:J202"),MATCH(LARGE(INDIRECT("'"&amp;RepPrefix6&amp;"- Conversion'!T4:T202"),7),INDIRECT("'"&amp;RepPrefix6&amp;"- Conversion'!T4:T202"),0)),"")</f>
        <v/>
      </c>
      <c r="H51" s="164">
        <f>IF(B51="","",IF(D51="Closed Won","✓ WON",IF(D51="Closed Lost","✗ LOST",IF(AND(G51&lt;&gt;"",ISNUMBER(G51),G51&lt;TODAY()),"⚠ PAST DUE",IF(G51="","◔ NO DATE",IF(D51="Negotiation","● NEGOTIATING","○ ACTIVE"))))))</f>
        <v/>
      </c>
      <c r="I51" s="160" t="inlineStr"/>
      <c r="J51" s="108" t="n"/>
    </row>
    <row r="52" ht="18" customHeight="1" s="96">
      <c r="A52" s="108" t="n"/>
      <c r="B52" s="154">
        <f>IFERROR(INDEX(INDIRECT("'"&amp;RepPrefix6&amp;"- Conversion'!D4:D202"),MATCH(LARGE(INDIRECT("'"&amp;RepPrefix6&amp;"- Conversion'!T4:T202"),8),INDIRECT("'"&amp;RepPrefix6&amp;"- Conversion'!T4:T202"),0)),"")</f>
        <v/>
      </c>
      <c r="C52" s="158">
        <f>IF(OR(RepPrefix6="",B52=""),"",RepName6)</f>
        <v/>
      </c>
      <c r="D52" s="154">
        <f>IFERROR(INDEX(INDIRECT("'"&amp;RepPrefix6&amp;"- Conversion'!G4:G202"),MATCH(LARGE(INDIRECT("'"&amp;RepPrefix6&amp;"- Conversion'!T4:T202"),8),INDIRECT("'"&amp;RepPrefix6&amp;"- Conversion'!T4:T202"),0)),"")</f>
        <v/>
      </c>
      <c r="E52" s="156">
        <f>IFERROR(LARGE(INDIRECT("'"&amp;RepPrefix6&amp;"- Conversion'!T4:T202"),8),"")</f>
        <v/>
      </c>
      <c r="F52" s="156">
        <f>IFERROR(INDEX(INDIRECT("'"&amp;RepPrefix6&amp;"- Conversion'!I4:I202"),MATCH(LARGE(INDIRECT("'"&amp;RepPrefix6&amp;"- Conversion'!T4:T202"),8),INDIRECT("'"&amp;RepPrefix6&amp;"- Conversion'!T4:T202"),0)),"")</f>
        <v/>
      </c>
      <c r="G52" s="157">
        <f>IFERROR(INDEX(INDIRECT("'"&amp;RepPrefix6&amp;"- Conversion'!J4:J202"),MATCH(LARGE(INDIRECT("'"&amp;RepPrefix6&amp;"- Conversion'!T4:T202"),8),INDIRECT("'"&amp;RepPrefix6&amp;"- Conversion'!T4:T202"),0)),"")</f>
        <v/>
      </c>
      <c r="H52" s="158">
        <f>IF(B52="","",IF(D52="Closed Won","✓ WON",IF(D52="Closed Lost","✗ LOST",IF(AND(G52&lt;&gt;"",ISNUMBER(G52),G52&lt;TODAY()),"⚠ PAST DUE",IF(G52="","◔ NO DATE",IF(D52="Negotiation","● NEGOTIATING","○ ACTIVE"))))))</f>
        <v/>
      </c>
      <c r="I52" s="133" t="inlineStr"/>
      <c r="J52" s="108" t="n"/>
    </row>
  </sheetData>
  <mergeCells count="1">
    <mergeCell ref="B2:I2"/>
  </mergeCells>
  <conditionalFormatting sqref="H5:H52">
    <cfRule type="expression" priority="1" dxfId="7">
      <formula>ISNUMBER(SEARCH("PAST DUE",H5))</formula>
    </cfRule>
    <cfRule type="expression" priority="2" dxfId="8">
      <formula>ISNUMBER(SEARCH("WON",H5))</formula>
    </cfRule>
    <cfRule type="expression" priority="3" dxfId="9">
      <formula>ISNUMBER(SEARCH("LOST",H5))</formula>
    </cfRule>
    <cfRule type="expression" priority="4" dxfId="10">
      <formula>ISNUMBER(SEARCH("NO DATE",H5))</formula>
    </cfRule>
  </conditionalFormatting>
  <conditionalFormatting sqref="E5:E52">
    <cfRule type="dataBar" priority="5">
      <dataBar>
        <cfvo type="num" val="0"/>
        <cfvo type="max"/>
        <color rgb="001E6FBF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selection activeCell="A1" sqref="A1"/>
    </sheetView>
  </sheetViews>
  <sheetFormatPr baseColWidth="8" defaultRowHeight="15"/>
  <cols>
    <col width="2" customWidth="1" style="96" min="1" max="1"/>
    <col width="38" customWidth="1" style="96" min="2" max="2"/>
    <col width="22" customWidth="1" style="96" min="3" max="3"/>
    <col width="50" customWidth="1" style="96" min="4" max="4"/>
  </cols>
  <sheetData>
    <row r="1" ht="6" customHeight="1" s="96">
      <c r="A1" s="108" t="n"/>
      <c r="B1" s="108" t="n"/>
      <c r="C1" s="108" t="n"/>
      <c r="D1" s="108" t="n"/>
    </row>
    <row r="2" ht="28" customHeight="1" s="96">
      <c r="A2" s="166" t="inlineStr">
        <is>
          <t>DASHBOARD INPUTS · EDIT VALUES IN COLUMN C</t>
        </is>
      </c>
      <c r="B2" s="108" t="n"/>
      <c r="C2" s="108" t="n"/>
      <c r="D2" s="108" t="n"/>
    </row>
    <row r="3" ht="6" customHeight="1" s="96">
      <c r="A3" s="108" t="n"/>
      <c r="B3" s="108" t="n"/>
      <c r="C3" s="108" t="n"/>
      <c r="D3" s="108" t="n"/>
    </row>
    <row r="5" ht="26" customHeight="1" s="96">
      <c r="B5" s="121" t="inlineStr">
        <is>
          <t>Quarterly TCV Quota (₱)</t>
        </is>
      </c>
      <c r="C5" s="184" t="n">
        <v>500000000</v>
      </c>
      <c r="D5" s="185" t="inlineStr">
        <is>
          <t>Used to compute Pipeline Coverage Ratio.</t>
        </is>
      </c>
    </row>
    <row r="6" ht="4" customHeight="1" s="96"/>
    <row r="7" ht="26" customHeight="1" s="96">
      <c r="B7" s="121" t="inlineStr">
        <is>
          <t>Pipeline Coverage Target (×)</t>
        </is>
      </c>
      <c r="C7" s="186" t="n">
        <v>3</v>
      </c>
      <c r="D7" s="185" t="inlineStr">
        <is>
          <t>Healthy B2B benchmark: 3-5× quota.</t>
        </is>
      </c>
    </row>
    <row r="8" ht="4" customHeight="1" s="96"/>
    <row r="9" ht="26" customHeight="1" s="96">
      <c r="B9" s="121" t="inlineStr">
        <is>
          <t>Target GP Margin (%)</t>
        </is>
      </c>
      <c r="C9" s="187" t="n">
        <v>0.2</v>
      </c>
      <c r="D9" s="185" t="inlineStr">
        <is>
          <t>Threshold for green/amber on GP%.</t>
        </is>
      </c>
    </row>
    <row r="10" ht="4" customHeight="1" s="96"/>
    <row r="11" ht="26" customHeight="1" s="96">
      <c r="B11" s="121" t="inlineStr">
        <is>
          <t>Stage-Aging Threshold (days)</t>
        </is>
      </c>
      <c r="C11" s="188" t="n">
        <v>60</v>
      </c>
      <c r="D11" s="185" t="inlineStr">
        <is>
          <t>Deals older than this in same stage = at-risk.</t>
        </is>
      </c>
    </row>
    <row r="12" ht="4" customHeight="1" s="96"/>
    <row r="13" ht="26" customHeight="1" s="96">
      <c r="B13" s="121" t="inlineStr">
        <is>
          <t>At-Risk Deal Size Threshold (₱)</t>
        </is>
      </c>
      <c r="C13" s="184" t="n">
        <v>100000000</v>
      </c>
      <c r="D13" s="185" t="inlineStr">
        <is>
          <t>Past-due deals above this auto-flag red.</t>
        </is>
      </c>
    </row>
    <row r="14" ht="4" customHeight="1" s="96"/>
    <row r="15" ht="26" customHeight="1" s="96">
      <c r="B15" s="121" t="inlineStr">
        <is>
          <t>Dashboard Title</t>
        </is>
      </c>
      <c r="C15" s="189" t="inlineStr">
        <is>
          <t>EXECUTIVE SALES DASHBOARD</t>
        </is>
      </c>
      <c r="D15" s="185" t="inlineStr">
        <is>
          <t>Edit to rebrand the title strip.</t>
        </is>
      </c>
    </row>
    <row r="16" ht="4" customHeight="1" s="96"/>
    <row r="17" ht="26" customHeight="1" s="96">
      <c r="B17" s="121" t="inlineStr">
        <is>
          <t>Dashboard Subtitle</t>
        </is>
      </c>
      <c r="C17" s="189" t="inlineStr">
        <is>
          <t>Live pipeline · TCV · GP · Stage · Health</t>
        </is>
      </c>
      <c r="D17" s="185" t="inlineStr">
        <is>
          <t>Subtitle below the title.</t>
        </is>
      </c>
    </row>
    <row r="18" ht="4" customHeight="1" s="96"/>
    <row r="20" ht="28" customHeight="1" s="96">
      <c r="B20" s="190" t="inlineStr">
        <is>
          <t>REP SLOTS — Set Sheet Prefix to wire each slot to a Coverage/Conversion sheet pair</t>
        </is>
      </c>
      <c r="C20" s="108" t="n"/>
      <c r="D20" s="108" t="n"/>
    </row>
    <row r="22" ht="26" customHeight="1" s="96">
      <c r="B22" s="121" t="inlineStr">
        <is>
          <t>Rep 1 Sheet Prefix</t>
        </is>
      </c>
      <c r="C22" s="189" t="inlineStr">
        <is>
          <t>Madine</t>
        </is>
      </c>
      <c r="D22" s="185" t="inlineStr">
        <is>
          <t>Slot 1 — pre-wired to existing Madine sheets (do not change prefix).</t>
        </is>
      </c>
    </row>
    <row r="23" ht="22" customHeight="1" s="96">
      <c r="B23" s="121" t="inlineStr">
        <is>
          <t>Rep 1 Display Name</t>
        </is>
      </c>
      <c r="C23" s="189" t="inlineStr">
        <is>
          <t>Madine</t>
        </is>
      </c>
      <c r="D23" s="185" t="inlineStr">
        <is>
          <t>Shown on dashboard. Independent of sheet prefix.</t>
        </is>
      </c>
    </row>
    <row r="24" ht="4" customHeight="1" s="96"/>
    <row r="25" ht="26" customHeight="1" s="96">
      <c r="B25" s="121" t="inlineStr">
        <is>
          <t>Rep 2 Sheet Prefix</t>
        </is>
      </c>
      <c r="C25" s="189" t="inlineStr">
        <is>
          <t>Zarrah</t>
        </is>
      </c>
      <c r="D25" s="185" t="inlineStr">
        <is>
          <t>Slot 2 — pre-wired to existing Zarrah sheets (do not change prefix).</t>
        </is>
      </c>
    </row>
    <row r="26" ht="22" customHeight="1" s="96">
      <c r="B26" s="121" t="inlineStr">
        <is>
          <t>Rep 2 Display Name</t>
        </is>
      </c>
      <c r="C26" s="189" t="inlineStr">
        <is>
          <t>Zarrah</t>
        </is>
      </c>
      <c r="D26" s="185" t="inlineStr">
        <is>
          <t>Shown on dashboard. Independent of sheet prefix.</t>
        </is>
      </c>
    </row>
    <row r="27" ht="4" customHeight="1" s="96"/>
    <row r="28" ht="26" customHeight="1" s="96">
      <c r="B28" s="121" t="inlineStr">
        <is>
          <t>Rep 3 Sheet Prefix</t>
        </is>
      </c>
      <c r="C28" s="189" t="inlineStr">
        <is>
          <t>Home</t>
        </is>
      </c>
      <c r="D28" s="185" t="inlineStr">
        <is>
          <t>Slot 3 — pre-wired to existing Home sheets (do not change prefix).</t>
        </is>
      </c>
    </row>
    <row r="29" ht="22" customHeight="1" s="96">
      <c r="B29" s="121" t="inlineStr">
        <is>
          <t>Rep 3 Display Name</t>
        </is>
      </c>
      <c r="C29" s="189" t="inlineStr">
        <is>
          <t>Home</t>
        </is>
      </c>
      <c r="D29" s="185" t="inlineStr">
        <is>
          <t>Shown on dashboard. Independent of sheet prefix.</t>
        </is>
      </c>
    </row>
    <row r="30" ht="4" customHeight="1" s="96"/>
    <row r="31" ht="26" customHeight="1" s="96">
      <c r="B31" s="121" t="inlineStr">
        <is>
          <t>Rep 4 Sheet Prefix</t>
        </is>
      </c>
      <c r="C31" s="189" t="inlineStr"/>
      <c r="D31" s="185" t="inlineStr">
        <is>
          <t>Slot 4 — empty. To activate: create '&lt;Prefix&gt;- Coverage' &amp; '&lt;Prefix&gt;- Conversion' sheets, then type prefix here.</t>
        </is>
      </c>
    </row>
    <row r="32" ht="22" customHeight="1" s="96">
      <c r="B32" s="121" t="inlineStr">
        <is>
          <t>Rep 4 Display Name</t>
        </is>
      </c>
      <c r="C32" s="189" t="inlineStr">
        <is>
          <t>Rep 4</t>
        </is>
      </c>
      <c r="D32" s="185" t="inlineStr">
        <is>
          <t>Shown on dashboard. Independent of sheet prefix.</t>
        </is>
      </c>
    </row>
    <row r="33" ht="4" customHeight="1" s="96"/>
    <row r="34" ht="26" customHeight="1" s="96">
      <c r="B34" s="121" t="inlineStr">
        <is>
          <t>Rep 5 Sheet Prefix</t>
        </is>
      </c>
      <c r="C34" s="189" t="inlineStr"/>
      <c r="D34" s="185" t="inlineStr">
        <is>
          <t>Slot 5 — empty. Same activation steps as Slot 4.</t>
        </is>
      </c>
    </row>
    <row r="35" ht="22" customHeight="1" s="96">
      <c r="B35" s="121" t="inlineStr">
        <is>
          <t>Rep 5 Display Name</t>
        </is>
      </c>
      <c r="C35" s="189" t="inlineStr">
        <is>
          <t>Rep 5</t>
        </is>
      </c>
      <c r="D35" s="185" t="inlineStr">
        <is>
          <t>Shown on dashboard. Independent of sheet prefix.</t>
        </is>
      </c>
    </row>
    <row r="36" ht="4" customHeight="1" s="96"/>
    <row r="37" ht="26" customHeight="1" s="96">
      <c r="B37" s="121" t="inlineStr">
        <is>
          <t>Rep 6 Sheet Prefix</t>
        </is>
      </c>
      <c r="C37" s="189" t="inlineStr"/>
      <c r="D37" s="185" t="inlineStr">
        <is>
          <t>Slot 6 — empty. Same activation steps as Slot 4.</t>
        </is>
      </c>
    </row>
    <row r="38" ht="22" customHeight="1" s="96">
      <c r="B38" s="121" t="inlineStr">
        <is>
          <t>Rep 6 Display Name</t>
        </is>
      </c>
      <c r="C38" s="189" t="inlineStr">
        <is>
          <t>Rep 6</t>
        </is>
      </c>
      <c r="D38" s="185" t="inlineStr">
        <is>
          <t>Shown on dashboard. Independent of sheet prefix.</t>
        </is>
      </c>
    </row>
    <row r="39" ht="4" customHeight="1" s="96"/>
    <row r="42" ht="22" customHeight="1" s="96">
      <c r="B42" s="191" t="inlineStr">
        <is>
          <t>HOW TO ADD A NEW REP (Slots 4–6)</t>
        </is>
      </c>
      <c r="C42" s="108" t="n"/>
      <c r="D42" s="108" t="n"/>
    </row>
    <row r="43" ht="18" customHeight="1" s="96">
      <c r="B43" s="159" t="inlineStr">
        <is>
          <t>1. Right-click the 'Madine- Coverage' tab → 'Move or Copy' → check 'Create a copy' → OK.</t>
        </is>
      </c>
    </row>
    <row r="44" ht="18" customHeight="1" s="96">
      <c r="B44" s="159" t="inlineStr">
        <is>
          <t>2. Right-click the new tab → Rename to '&lt;NewName&gt;- Coverage' (must include '- ' with space).</t>
        </is>
      </c>
    </row>
    <row r="45" ht="18" customHeight="1" s="96">
      <c r="B45" s="159" t="inlineStr">
        <is>
          <t>3. Open the renamed sheet → clear all data rows below the header (keep row 1-3 untouched).</t>
        </is>
      </c>
    </row>
    <row r="46" ht="18" customHeight="1" s="96">
      <c r="B46" s="159" t="inlineStr">
        <is>
          <t>4. Repeat steps 1–3 for 'Madine- Conversion' → '&lt;NewName&gt;- Conversion'.</t>
        </is>
      </c>
    </row>
    <row r="47" ht="18" customHeight="1" s="96">
      <c r="B47" s="159" t="inlineStr">
        <is>
          <t>5. Type the new rep's data into both sheets.</t>
        </is>
      </c>
    </row>
    <row r="48" ht="18" customHeight="1" s="96">
      <c r="B48" s="159" t="inlineStr">
        <is>
          <t>6. Come back to this Inputs sheet → set 'Rep 4 Sheet Prefix' (cell C31) to '&lt;NewName&gt;'.</t>
        </is>
      </c>
    </row>
    <row r="49" ht="18" customHeight="1" s="96">
      <c r="B49" s="159" t="inlineStr">
        <is>
          <t>7. Optional: set 'Rep 4 Display Name' (cell C32) to a friendlier label.</t>
        </is>
      </c>
    </row>
    <row r="50" ht="18" customHeight="1" s="96">
      <c r="B50" s="159" t="inlineStr">
        <is>
          <t>8. The Dashboard automatically includes the new rep — no rebuild needed.</t>
        </is>
      </c>
    </row>
    <row r="51" ht="18" customHeight="1" s="96">
      <c r="B51" s="159" t="inlineStr"/>
    </row>
    <row r="52" ht="18" customHeight="1" s="96">
      <c r="B52" s="159" t="inlineStr">
        <is>
          <t>✓ The prefix MUST exactly match the sheet name minus '- Coverage' / '- Conversion'.</t>
        </is>
      </c>
    </row>
    <row r="53" ht="18" customHeight="1" s="96">
      <c r="B53" s="159" t="inlineStr">
        <is>
          <t>✓ Slots 1-3 are PRE-WIRED to Madine / Zarrah / Home — leave their prefixes alone.</t>
        </is>
      </c>
    </row>
    <row r="54" ht="18" customHeight="1" s="96">
      <c r="B54" s="159" t="inlineStr">
        <is>
          <t>✓ To remove a slot, simply blank out its prefix → totals exclude it automatically.</t>
        </is>
      </c>
    </row>
    <row r="55" ht="18" customHeight="1" s="96">
      <c r="B55" s="159" t="inlineStr">
        <is>
          <t>✓ A hidden helper column 'T' on each conversion sheet auto-tracks eligible deals — it</t>
        </is>
      </c>
    </row>
    <row r="56" ht="18" customHeight="1" s="96">
      <c r="B56" s="159" t="inlineStr">
        <is>
          <t xml:space="preserve">    copies along when you duplicate the Madine sheet, so don't worry about it.</t>
        </is>
      </c>
    </row>
  </sheetData>
  <mergeCells count="5">
    <mergeCell ref="A1:D1"/>
    <mergeCell ref="B42:D42"/>
    <mergeCell ref="A3:D3"/>
    <mergeCell ref="A2:D2"/>
    <mergeCell ref="B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3"/>
  <sheetViews>
    <sheetView showGridLines="0" zoomScaleNormal="100" workbookViewId="0">
      <pane ySplit="3" topLeftCell="A13" activePane="bottomLeft" state="frozen"/>
      <selection pane="bottomLeft" activeCell="G20" sqref="G20"/>
    </sheetView>
  </sheetViews>
  <sheetFormatPr baseColWidth="8" defaultColWidth="8.7421875" defaultRowHeight="15"/>
  <cols>
    <col width="4.9765625" customWidth="1" style="96" min="1" max="1"/>
    <col width="16.0078125" customWidth="1" style="96" min="2" max="2"/>
    <col width="27.98046875" customWidth="1" style="96" min="3" max="3"/>
    <col width="22.05859375" customWidth="1" style="96" min="4" max="4"/>
    <col width="29.99609375" customWidth="1" style="96" min="5" max="5"/>
    <col width="13.98828125" customWidth="1" style="96" min="6" max="6"/>
    <col width="16.0078125" customWidth="1" style="96" min="7" max="8"/>
    <col width="13.98828125" customWidth="1" style="96" min="9" max="9"/>
    <col width="29.99609375" customWidth="1" style="96" min="10" max="10"/>
    <col width="13.046875" customWidth="1" style="96" min="11" max="11"/>
  </cols>
  <sheetData>
    <row r="1" ht="30" customHeight="1" s="96">
      <c r="A1" s="104" t="inlineStr">
        <is>
          <t>SALES COVERAGE — Person A</t>
        </is>
      </c>
    </row>
    <row r="2" ht="18" customHeight="1" s="96">
      <c r="A2" s="97" t="inlineStr">
        <is>
          <t>ℹ  Rows are unlimited. Add as many opportunities as needed. Totals row auto-updates.</t>
        </is>
      </c>
    </row>
    <row r="3" ht="51.6" customHeight="1" s="96">
      <c r="A3" s="2" t="n">
        <v>1</v>
      </c>
      <c r="B3" s="49" t="inlineStr">
        <is>
          <t>BDM</t>
        </is>
      </c>
      <c r="C3" s="49" t="inlineStr">
        <is>
          <t>ACCOUNT NAME</t>
        </is>
      </c>
      <c r="D3" s="49" t="inlineStr">
        <is>
          <t>OPPORTUNITY TYPE</t>
        </is>
      </c>
      <c r="E3" s="49" t="inlineStr">
        <is>
          <t>OPPORTUNITY DETAILS</t>
        </is>
      </c>
      <c r="F3" s="50" t="inlineStr">
        <is>
          <t>AREA (IN SQM)</t>
        </is>
      </c>
      <c r="G3" s="51" t="inlineStr">
        <is>
          <t>TCV</t>
        </is>
      </c>
      <c r="H3" s="51" t="inlineStr">
        <is>
          <t>GP</t>
        </is>
      </c>
      <c r="I3" s="52" t="inlineStr">
        <is>
          <t>CLOSING DATE</t>
        </is>
      </c>
      <c r="J3" s="49" t="inlineStr">
        <is>
          <t>REMARKS</t>
        </is>
      </c>
      <c r="K3" s="7" t="inlineStr">
        <is>
          <t>PROBABILITY</t>
        </is>
      </c>
    </row>
    <row r="4" ht="24" customHeight="1" s="96">
      <c r="A4" s="93" t="n">
        <v>2</v>
      </c>
      <c r="B4" s="8" t="inlineStr">
        <is>
          <t>Madine</t>
        </is>
      </c>
      <c r="C4" s="8" t="inlineStr">
        <is>
          <t>Baishipping</t>
        </is>
      </c>
      <c r="D4" s="8" t="inlineStr">
        <is>
          <t>Renovation - Build CAPEX</t>
        </is>
      </c>
      <c r="E4" s="8" t="inlineStr">
        <is>
          <t>for scheduling with Sir Jon</t>
        </is>
      </c>
      <c r="F4" s="9" t="n"/>
      <c r="G4" s="10" t="n"/>
      <c r="H4" s="10" t="n"/>
      <c r="I4" s="11" t="n"/>
      <c r="J4" s="8" t="inlineStr">
        <is>
          <t>For follow up as of 04.07.2026</t>
        </is>
      </c>
      <c r="K4" s="12" t="n">
        <v>0.9</v>
      </c>
    </row>
    <row r="5" ht="24" customHeight="1" s="96">
      <c r="A5" s="2" t="n">
        <v>3</v>
      </c>
      <c r="B5" s="3" t="inlineStr">
        <is>
          <t>Madine</t>
        </is>
      </c>
      <c r="C5" s="3" t="inlineStr">
        <is>
          <t>Indus Restaurant</t>
        </is>
      </c>
      <c r="D5" s="3" t="inlineStr">
        <is>
          <t>Renovation - D&amp;B CAPEX</t>
        </is>
      </c>
      <c r="E5" s="3" t="n"/>
      <c r="F5" s="4" t="n"/>
      <c r="G5" s="5" t="n"/>
      <c r="H5" s="5" t="n"/>
      <c r="I5" s="6" t="n"/>
      <c r="J5" s="3" t="inlineStr">
        <is>
          <t>Design still not yet done. For bidding as of 04.07.2026</t>
        </is>
      </c>
      <c r="K5" s="13" t="n">
        <v>0.7</v>
      </c>
    </row>
    <row r="6" ht="27" customHeight="1" s="96">
      <c r="A6" s="93" t="n">
        <v>4</v>
      </c>
      <c r="B6" s="8" t="inlineStr">
        <is>
          <t>Madine</t>
        </is>
      </c>
      <c r="C6" s="8" t="inlineStr">
        <is>
          <t>Agility</t>
        </is>
      </c>
      <c r="D6" s="8" t="inlineStr">
        <is>
          <t>Office Fitout - D&amp;B OPEX</t>
        </is>
      </c>
      <c r="E6" s="8" t="inlineStr">
        <is>
          <t>For follow up</t>
        </is>
      </c>
      <c r="F6" s="9" t="n"/>
      <c r="G6" s="10" t="n"/>
      <c r="H6" s="10" t="n"/>
      <c r="I6" s="11" t="n"/>
      <c r="J6" s="8" t="inlineStr">
        <is>
          <t>For follow up as of 04.07.2026</t>
        </is>
      </c>
      <c r="K6" s="12" t="n">
        <v>0.1</v>
      </c>
    </row>
    <row r="7" ht="24" customHeight="1" s="96">
      <c r="A7" s="2" t="n">
        <v>5</v>
      </c>
      <c r="B7" s="3" t="inlineStr">
        <is>
          <t>Madine</t>
        </is>
      </c>
      <c r="C7" s="3" t="inlineStr">
        <is>
          <t>Enov8tive</t>
        </is>
      </c>
      <c r="D7" s="3" t="inlineStr">
        <is>
          <t>Office Fitout - D&amp;B CAPEX</t>
        </is>
      </c>
      <c r="E7" s="3" t="n"/>
      <c r="F7" s="4" t="n"/>
      <c r="G7" s="5" t="n"/>
      <c r="H7" s="5" t="n"/>
      <c r="I7" s="6" t="n"/>
      <c r="J7" s="3" t="inlineStr">
        <is>
          <t>For office expansion Q3</t>
        </is>
      </c>
      <c r="K7" s="13" t="n">
        <v>0.7</v>
      </c>
    </row>
    <row r="8" ht="24" customHeight="1" s="96">
      <c r="A8" s="93" t="n">
        <v>6</v>
      </c>
      <c r="B8" s="8" t="inlineStr">
        <is>
          <t>Madine</t>
        </is>
      </c>
      <c r="C8" s="8" t="inlineStr">
        <is>
          <t>Dialpad</t>
        </is>
      </c>
      <c r="D8" s="8" t="inlineStr">
        <is>
          <t>Office Fitout - D&amp;B OPEX</t>
        </is>
      </c>
      <c r="E8" s="8" t="inlineStr">
        <is>
          <t>for scheduling with Sir Jon</t>
        </is>
      </c>
      <c r="F8" s="9" t="inlineStr">
        <is>
          <t>800sqm</t>
        </is>
      </c>
      <c r="G8" s="10" t="n"/>
      <c r="H8" s="10" t="n"/>
      <c r="I8" s="11" t="n"/>
      <c r="J8" s="8" t="inlineStr">
        <is>
          <t>For sending of proposal today as of 04.07.2026</t>
        </is>
      </c>
      <c r="K8" s="12" t="n">
        <v>0.9</v>
      </c>
    </row>
    <row r="9" ht="48" customHeight="1" s="96">
      <c r="A9" s="2" t="n">
        <v>7</v>
      </c>
      <c r="B9" s="3" t="inlineStr">
        <is>
          <t>Madine</t>
        </is>
      </c>
      <c r="C9" s="3" t="inlineStr">
        <is>
          <t>St. Lukes (QC, Pque &amp; Aseana)</t>
        </is>
      </c>
      <c r="D9" s="3" t="inlineStr">
        <is>
          <t>Office Fitout - D&amp;B CAPEX</t>
        </is>
      </c>
      <c r="E9" s="3" t="inlineStr">
        <is>
          <t>timing and resource</t>
        </is>
      </c>
      <c r="F9" s="4" t="n"/>
      <c r="G9" s="5" t="n"/>
      <c r="H9" s="5" t="n"/>
      <c r="I9" s="6" t="n"/>
      <c r="J9" s="3" t="inlineStr">
        <is>
          <t>Done meeting March 11, 2026. Fixing accrediation requirements together with Shimizu. For site visit on April 20/27 as of 04.07.2026</t>
        </is>
      </c>
      <c r="K9" s="13" t="n">
        <v>0.7</v>
      </c>
    </row>
    <row r="10" ht="36" customHeight="1" s="96">
      <c r="A10" s="93" t="n">
        <v>8</v>
      </c>
      <c r="B10" s="8" t="inlineStr">
        <is>
          <t>Madine</t>
        </is>
      </c>
      <c r="C10" s="8" t="inlineStr">
        <is>
          <t>Fresenius Medical Care 2</t>
        </is>
      </c>
      <c r="D10" s="8" t="inlineStr">
        <is>
          <t>Renovation - D&amp;B CAPEX</t>
        </is>
      </c>
      <c r="E10" s="8" t="inlineStr">
        <is>
          <t>Renovation of old clinics. Right now they have 20 clinics nationwide</t>
        </is>
      </c>
      <c r="F10" s="9" t="n"/>
      <c r="G10" s="10" t="n"/>
      <c r="H10" s="10" t="n"/>
      <c r="I10" s="11" t="n"/>
      <c r="J10" s="8" t="inlineStr">
        <is>
          <t>For meeting. This is another project as 04.07.2026</t>
        </is>
      </c>
      <c r="K10" s="12" t="n">
        <v>0.7</v>
      </c>
    </row>
    <row r="11" ht="36" customHeight="1" s="96">
      <c r="A11" s="2" t="n">
        <v>9</v>
      </c>
      <c r="B11" s="3" t="inlineStr">
        <is>
          <t>Madine</t>
        </is>
      </c>
      <c r="C11" s="3" t="inlineStr">
        <is>
          <t>PGA Cars</t>
        </is>
      </c>
      <c r="D11" s="3" t="inlineStr">
        <is>
          <t>Office Fitout - D&amp;B CAPEX</t>
        </is>
      </c>
      <c r="E11" s="3" t="n"/>
      <c r="F11" s="4" t="n"/>
      <c r="G11" s="5" t="n"/>
      <c r="H11" s="5" t="n"/>
      <c r="I11" s="6" t="n"/>
      <c r="J11" s="3" t="inlineStr">
        <is>
          <t>Submitted accreditation requirements on March 12, 2026 as of 03.17.2026</t>
        </is>
      </c>
      <c r="K11" s="13" t="n">
        <v>0.7</v>
      </c>
    </row>
    <row r="12" ht="36" customHeight="1" s="96">
      <c r="A12" s="93" t="n">
        <v>10</v>
      </c>
      <c r="B12" s="8" t="inlineStr">
        <is>
          <t>Madine</t>
        </is>
      </c>
      <c r="C12" s="8" t="inlineStr">
        <is>
          <t>Philrealty</t>
        </is>
      </c>
      <c r="D12" s="8" t="inlineStr">
        <is>
          <t>Structural D&amp;B</t>
        </is>
      </c>
      <c r="E12" s="8" t="inlineStr">
        <is>
          <t>lunch with Sir Jon and Engr Erwin</t>
        </is>
      </c>
      <c r="F12" s="9" t="n"/>
      <c r="G12" s="10" t="n"/>
      <c r="H12" s="10" t="n"/>
      <c r="I12" s="11" t="n"/>
      <c r="J12" s="8" t="inlineStr">
        <is>
          <t>Done meeting last April 10, 2026 and done accreditation. Waiting for bid requirments</t>
        </is>
      </c>
      <c r="K12" s="12" t="n">
        <v>0.7</v>
      </c>
    </row>
    <row r="13" ht="36" customHeight="1" s="96">
      <c r="A13" s="2" t="n">
        <v>11</v>
      </c>
      <c r="B13" s="3" t="inlineStr">
        <is>
          <t>Madine</t>
        </is>
      </c>
      <c r="C13" s="3" t="inlineStr">
        <is>
          <t>Manila Polo Club</t>
        </is>
      </c>
      <c r="D13" s="3" t="n"/>
      <c r="E13" s="3" t="n"/>
      <c r="F13" s="4" t="n"/>
      <c r="G13" s="5" t="n"/>
      <c r="H13" s="5" t="n"/>
      <c r="I13" s="6" t="n"/>
      <c r="J13" s="3" t="inlineStr">
        <is>
          <t>Submitted accreditation requirements on March 12, 2026 as of 03.17.2026</t>
        </is>
      </c>
      <c r="K13" s="13" t="n">
        <v>0.7</v>
      </c>
    </row>
    <row r="14" ht="36" customHeight="1" s="96">
      <c r="A14" s="93" t="n">
        <v>12</v>
      </c>
      <c r="B14" s="8" t="inlineStr">
        <is>
          <t>Madine</t>
        </is>
      </c>
      <c r="C14" s="8" t="inlineStr">
        <is>
          <t>Intercon</t>
        </is>
      </c>
      <c r="D14" s="8" t="inlineStr">
        <is>
          <t>Build Only</t>
        </is>
      </c>
      <c r="E14" s="8" t="inlineStr">
        <is>
          <t>New hotel building</t>
        </is>
      </c>
      <c r="F14" s="9" t="n"/>
      <c r="G14" s="10" t="n"/>
      <c r="H14" s="10" t="n"/>
      <c r="I14" s="11" t="n"/>
      <c r="J14" s="8" t="inlineStr">
        <is>
          <t>Done meeting last April 10, 2026 and done accreditation. Waiting for bid requirments</t>
        </is>
      </c>
      <c r="K14" s="12" t="n">
        <v>0.7</v>
      </c>
    </row>
    <row r="15" ht="24" customHeight="1" s="96">
      <c r="A15" s="2" t="n">
        <v>13</v>
      </c>
      <c r="B15" s="3" t="inlineStr">
        <is>
          <t>Madine</t>
        </is>
      </c>
      <c r="C15" s="3" t="inlineStr">
        <is>
          <t>Netflix</t>
        </is>
      </c>
      <c r="D15" s="3" t="inlineStr">
        <is>
          <t>Office Fitout - Build Only</t>
        </is>
      </c>
      <c r="E15" s="3" t="inlineStr">
        <is>
          <t>2 floors in Ayala Triangle</t>
        </is>
      </c>
      <c r="F15" s="4" t="n"/>
      <c r="G15" s="5" t="n"/>
      <c r="H15" s="5" t="n"/>
      <c r="I15" s="6" t="n"/>
      <c r="J15" s="3" t="inlineStr">
        <is>
          <t>Sent company profile as of 03.26.2026</t>
        </is>
      </c>
      <c r="K15" s="13" t="n">
        <v>0.1</v>
      </c>
    </row>
    <row r="16" ht="24" customHeight="1" s="96">
      <c r="A16" s="93" t="n">
        <v>14</v>
      </c>
      <c r="B16" s="8" t="inlineStr">
        <is>
          <t>Madine</t>
        </is>
      </c>
      <c r="C16" s="8" t="inlineStr">
        <is>
          <t>Navegar</t>
        </is>
      </c>
      <c r="D16" s="8" t="inlineStr">
        <is>
          <t>Office Fitout - D&amp;B CAPEX</t>
        </is>
      </c>
      <c r="E16" s="8" t="n"/>
      <c r="F16" s="9" t="n"/>
      <c r="G16" s="10" t="n"/>
      <c r="H16" s="10" t="n"/>
      <c r="I16" s="11" t="n"/>
      <c r="J16" s="8" t="inlineStr">
        <is>
          <t>Sent wishlist as of 03.26.2026. For follow up as of 04.07.2026</t>
        </is>
      </c>
      <c r="K16" s="12" t="n">
        <v>0.7</v>
      </c>
    </row>
    <row r="17" ht="24" customHeight="1" s="96">
      <c r="A17" s="2" t="n">
        <v>15</v>
      </c>
      <c r="B17" s="3" t="inlineStr">
        <is>
          <t>Madine</t>
        </is>
      </c>
      <c r="C17" s="3" t="inlineStr">
        <is>
          <t>PNB Holdings</t>
        </is>
      </c>
      <c r="D17" s="3" t="inlineStr">
        <is>
          <t>Build Only</t>
        </is>
      </c>
      <c r="E17" s="3" t="n"/>
      <c r="F17" s="4" t="n"/>
      <c r="G17" s="5" t="n"/>
      <c r="H17" s="5" t="n"/>
      <c r="I17" s="6" t="n"/>
      <c r="J17" s="3" t="inlineStr">
        <is>
          <t>(Buendia, Pasay and Makati Offices)</t>
        </is>
      </c>
      <c r="K17" s="13" t="n"/>
    </row>
    <row r="18" ht="15" customHeight="1" s="96">
      <c r="A18" s="93" t="n">
        <v>16</v>
      </c>
      <c r="B18" s="8" t="inlineStr">
        <is>
          <t>Madine</t>
        </is>
      </c>
      <c r="C18" s="8" t="inlineStr">
        <is>
          <t>Full Potentials Solutions</t>
        </is>
      </c>
      <c r="D18" s="8" t="inlineStr">
        <is>
          <t>Office Fitout - Build Only</t>
        </is>
      </c>
      <c r="E18" s="8" t="n"/>
      <c r="F18" s="9" t="n"/>
      <c r="G18" s="10" t="n"/>
      <c r="H18" s="10" t="n"/>
      <c r="I18" s="11" t="n"/>
      <c r="J18" s="8" t="inlineStr">
        <is>
          <t>Submission of proposal EOD tom</t>
        </is>
      </c>
      <c r="K18" s="12" t="n">
        <v>0.5</v>
      </c>
    </row>
    <row r="19" ht="18" customHeight="1" s="96">
      <c r="A19" s="2" t="n">
        <v>17</v>
      </c>
      <c r="B19" s="3" t="inlineStr">
        <is>
          <t>Madine</t>
        </is>
      </c>
      <c r="C19" s="3" t="inlineStr">
        <is>
          <t>Security Bank</t>
        </is>
      </c>
      <c r="D19" s="3" t="inlineStr">
        <is>
          <t>Office Fitout - Build Only</t>
        </is>
      </c>
      <c r="E19" s="3" t="n"/>
      <c r="F19" s="4" t="n"/>
      <c r="G19" s="5" t="n"/>
      <c r="H19" s="5" t="n"/>
      <c r="I19" s="6" t="n"/>
      <c r="J19" s="3" t="inlineStr">
        <is>
          <t>Getting Accredited</t>
        </is>
      </c>
      <c r="K19" s="13" t="n"/>
    </row>
    <row r="20" ht="18" customHeight="1" s="96">
      <c r="A20" s="93" t="n">
        <v>18</v>
      </c>
      <c r="B20" s="8" t="inlineStr">
        <is>
          <t>Madine</t>
        </is>
      </c>
      <c r="C20" s="8" t="inlineStr">
        <is>
          <t>Terminal 5/ SMC</t>
        </is>
      </c>
      <c r="D20" s="8" t="inlineStr">
        <is>
          <t>Office Fitout - Build Only</t>
        </is>
      </c>
      <c r="E20" s="8" t="n"/>
      <c r="F20" s="9" t="n"/>
      <c r="G20" s="10" t="n"/>
      <c r="H20" s="10" t="n"/>
      <c r="I20" s="11" t="n"/>
      <c r="J20" s="8" t="inlineStr">
        <is>
          <t>Submitted company profile</t>
        </is>
      </c>
      <c r="K20" s="12" t="n"/>
    </row>
    <row r="21" ht="18" customHeight="1" s="96">
      <c r="A21" s="2" t="n">
        <v>19</v>
      </c>
      <c r="B21" s="3" t="n"/>
      <c r="C21" s="3" t="n"/>
      <c r="D21" s="3" t="n"/>
      <c r="E21" s="3" t="n"/>
      <c r="F21" s="4" t="n"/>
      <c r="G21" s="5" t="n"/>
      <c r="H21" s="5" t="n"/>
      <c r="I21" s="6" t="n"/>
      <c r="J21" s="3" t="n"/>
      <c r="K21" s="13" t="n"/>
    </row>
    <row r="22" ht="18" customHeight="1" s="96">
      <c r="A22" s="93" t="n">
        <v>20</v>
      </c>
      <c r="B22" s="8" t="n"/>
      <c r="C22" s="8" t="n"/>
      <c r="D22" s="8" t="n"/>
      <c r="E22" s="8" t="n"/>
      <c r="F22" s="9" t="n"/>
      <c r="G22" s="10" t="n"/>
      <c r="H22" s="10" t="n"/>
      <c r="I22" s="11" t="n"/>
      <c r="J22" s="8" t="n"/>
      <c r="K22" s="12" t="n"/>
    </row>
    <row r="23" ht="18" customHeight="1" s="96">
      <c r="A23" s="2" t="n">
        <v>21</v>
      </c>
      <c r="B23" s="3" t="n"/>
      <c r="C23" s="3" t="n"/>
      <c r="D23" s="3" t="n"/>
      <c r="E23" s="3" t="n"/>
      <c r="F23" s="4" t="n"/>
      <c r="G23" s="5" t="n"/>
      <c r="H23" s="5" t="n"/>
      <c r="I23" s="6" t="n"/>
      <c r="J23" s="3" t="n"/>
      <c r="K23" s="13" t="n"/>
    </row>
    <row r="24" ht="18" customHeight="1" s="96">
      <c r="A24" s="93" t="n">
        <v>22</v>
      </c>
      <c r="B24" s="8" t="n"/>
      <c r="C24" s="8" t="n"/>
      <c r="D24" s="8" t="n"/>
      <c r="E24" s="8" t="n"/>
      <c r="F24" s="9" t="n"/>
      <c r="G24" s="10" t="n"/>
      <c r="H24" s="10" t="n"/>
      <c r="I24" s="11" t="n"/>
      <c r="J24" s="8" t="n"/>
      <c r="K24" s="12" t="n"/>
    </row>
    <row r="25" ht="18" customHeight="1" s="96">
      <c r="A25" s="2" t="n">
        <v>23</v>
      </c>
      <c r="B25" s="3" t="n"/>
      <c r="C25" s="3" t="n"/>
      <c r="D25" s="3" t="n"/>
      <c r="E25" s="3" t="n"/>
      <c r="F25" s="4" t="n"/>
      <c r="G25" s="5" t="n"/>
      <c r="H25" s="5" t="n"/>
      <c r="I25" s="6" t="n"/>
      <c r="J25" s="3" t="n"/>
      <c r="K25" s="13" t="n"/>
    </row>
    <row r="26" ht="18" customHeight="1" s="96">
      <c r="A26" s="93" t="n">
        <v>24</v>
      </c>
      <c r="B26" s="8" t="n"/>
      <c r="C26" s="8" t="n"/>
      <c r="D26" s="8" t="n"/>
      <c r="E26" s="8" t="n"/>
      <c r="F26" s="9" t="n"/>
      <c r="G26" s="10" t="n"/>
      <c r="H26" s="10" t="n"/>
      <c r="I26" s="11" t="n"/>
      <c r="J26" s="8" t="n"/>
      <c r="K26" s="12" t="n"/>
    </row>
    <row r="27" ht="18" customHeight="1" s="96">
      <c r="A27" s="2" t="n">
        <v>25</v>
      </c>
      <c r="B27" s="3" t="n"/>
      <c r="C27" s="3" t="n"/>
      <c r="D27" s="3" t="n"/>
      <c r="E27" s="3" t="n"/>
      <c r="F27" s="4" t="n"/>
      <c r="G27" s="5" t="n"/>
      <c r="H27" s="5" t="n"/>
      <c r="I27" s="6" t="n"/>
      <c r="J27" s="3" t="n"/>
      <c r="K27" s="13" t="n"/>
    </row>
    <row r="28" ht="18" customHeight="1" s="96">
      <c r="A28" s="93" t="n">
        <v>26</v>
      </c>
      <c r="B28" s="8" t="n"/>
      <c r="C28" s="8" t="n"/>
      <c r="D28" s="8" t="n"/>
      <c r="E28" s="8" t="n"/>
      <c r="F28" s="9" t="n"/>
      <c r="G28" s="10" t="n"/>
      <c r="H28" s="10" t="n"/>
      <c r="I28" s="11" t="n"/>
      <c r="J28" s="8" t="n"/>
      <c r="K28" s="12" t="n"/>
    </row>
    <row r="29" ht="18" customHeight="1" s="96">
      <c r="A29" s="2" t="n">
        <v>27</v>
      </c>
      <c r="B29" s="3" t="n"/>
      <c r="C29" s="3" t="n"/>
      <c r="D29" s="3" t="n"/>
      <c r="E29" s="3" t="n"/>
      <c r="F29" s="4" t="n"/>
      <c r="G29" s="5" t="n"/>
      <c r="H29" s="5" t="n"/>
      <c r="I29" s="6" t="n"/>
      <c r="J29" s="3" t="n"/>
      <c r="K29" s="13" t="n"/>
    </row>
    <row r="30" ht="18" customHeight="1" s="96">
      <c r="A30" s="93" t="n">
        <v>28</v>
      </c>
      <c r="B30" s="8" t="n"/>
      <c r="C30" s="8" t="n"/>
      <c r="D30" s="8" t="n"/>
      <c r="E30" s="8" t="n"/>
      <c r="F30" s="9" t="n"/>
      <c r="G30" s="10" t="n"/>
      <c r="H30" s="10" t="n"/>
      <c r="I30" s="11" t="n"/>
      <c r="J30" s="8" t="n"/>
      <c r="K30" s="12" t="n"/>
    </row>
    <row r="31" ht="18" customHeight="1" s="96">
      <c r="A31" s="2" t="n">
        <v>29</v>
      </c>
      <c r="B31" s="3" t="n"/>
      <c r="C31" s="3" t="n"/>
      <c r="D31" s="3" t="n"/>
      <c r="E31" s="3" t="n"/>
      <c r="F31" s="4" t="n"/>
      <c r="G31" s="5" t="n"/>
      <c r="H31" s="5" t="n"/>
      <c r="I31" s="6" t="n"/>
      <c r="J31" s="3" t="n"/>
      <c r="K31" s="13" t="n"/>
    </row>
    <row r="32" ht="18" customHeight="1" s="96">
      <c r="A32" s="93" t="n">
        <v>30</v>
      </c>
      <c r="B32" s="8" t="n"/>
      <c r="C32" s="8" t="n"/>
      <c r="D32" s="8" t="n"/>
      <c r="E32" s="8" t="n"/>
      <c r="F32" s="9" t="n"/>
      <c r="G32" s="10" t="n"/>
      <c r="H32" s="10" t="n"/>
      <c r="I32" s="11" t="n"/>
      <c r="J32" s="8" t="n"/>
      <c r="K32" s="12" t="n"/>
    </row>
    <row r="33" ht="18" customHeight="1" s="96">
      <c r="A33" s="2" t="n">
        <v>31</v>
      </c>
      <c r="B33" s="3" t="n"/>
      <c r="C33" s="3" t="n"/>
      <c r="D33" s="3" t="n"/>
      <c r="E33" s="3" t="n"/>
      <c r="F33" s="4" t="n"/>
      <c r="G33" s="5" t="n"/>
      <c r="H33" s="5" t="n"/>
      <c r="I33" s="6" t="n"/>
      <c r="J33" s="3" t="n"/>
      <c r="K33" s="13" t="n"/>
    </row>
    <row r="34" ht="18" customHeight="1" s="96">
      <c r="A34" s="93" t="n">
        <v>32</v>
      </c>
      <c r="B34" s="8" t="n"/>
      <c r="C34" s="8" t="n"/>
      <c r="D34" s="8" t="n"/>
      <c r="E34" s="8" t="n"/>
      <c r="F34" s="9" t="n"/>
      <c r="G34" s="10" t="n"/>
      <c r="H34" s="10" t="n"/>
      <c r="I34" s="11" t="n"/>
      <c r="J34" s="8" t="n"/>
      <c r="K34" s="12" t="n"/>
    </row>
    <row r="35" ht="18" customHeight="1" s="96">
      <c r="A35" s="2" t="n">
        <v>33</v>
      </c>
      <c r="B35" s="3" t="n"/>
      <c r="C35" s="3" t="n"/>
      <c r="D35" s="3" t="n"/>
      <c r="E35" s="3" t="n"/>
      <c r="F35" s="4" t="n"/>
      <c r="G35" s="5" t="n"/>
      <c r="H35" s="5" t="n"/>
      <c r="I35" s="6" t="n"/>
      <c r="J35" s="3" t="n"/>
      <c r="K35" s="13" t="n"/>
    </row>
    <row r="36" ht="18" customHeight="1" s="96">
      <c r="A36" s="93" t="n">
        <v>34</v>
      </c>
      <c r="B36" s="8" t="n"/>
      <c r="C36" s="8" t="n"/>
      <c r="D36" s="8" t="n"/>
      <c r="E36" s="8" t="n"/>
      <c r="F36" s="9" t="n"/>
      <c r="G36" s="10" t="n"/>
      <c r="H36" s="10" t="n"/>
      <c r="I36" s="11" t="n"/>
      <c r="J36" s="8" t="n"/>
      <c r="K36" s="12" t="n"/>
    </row>
    <row r="37" ht="18" customHeight="1" s="96">
      <c r="A37" s="2" t="n">
        <v>35</v>
      </c>
      <c r="B37" s="3" t="n"/>
      <c r="C37" s="3" t="n"/>
      <c r="D37" s="3" t="n"/>
      <c r="E37" s="3" t="n"/>
      <c r="F37" s="4" t="n"/>
      <c r="G37" s="5" t="n"/>
      <c r="H37" s="5" t="n"/>
      <c r="I37" s="6" t="n"/>
      <c r="J37" s="3" t="n"/>
      <c r="K37" s="13" t="n"/>
    </row>
    <row r="38" ht="18" customHeight="1" s="96">
      <c r="A38" s="93" t="n">
        <v>36</v>
      </c>
      <c r="B38" s="8" t="n"/>
      <c r="C38" s="8" t="n"/>
      <c r="D38" s="8" t="n"/>
      <c r="E38" s="8" t="n"/>
      <c r="F38" s="9" t="n"/>
      <c r="G38" s="10" t="n"/>
      <c r="H38" s="10" t="n"/>
      <c r="I38" s="11" t="n"/>
      <c r="J38" s="8" t="n"/>
      <c r="K38" s="12" t="n"/>
    </row>
    <row r="39" ht="18" customHeight="1" s="96">
      <c r="A39" s="2" t="n">
        <v>37</v>
      </c>
      <c r="B39" s="3" t="n"/>
      <c r="C39" s="3" t="n"/>
      <c r="D39" s="3" t="n"/>
      <c r="E39" s="3" t="n"/>
      <c r="F39" s="4" t="n"/>
      <c r="G39" s="5" t="n"/>
      <c r="H39" s="5" t="n"/>
      <c r="I39" s="6" t="n"/>
      <c r="J39" s="3" t="n"/>
      <c r="K39" s="13" t="n"/>
    </row>
    <row r="40" ht="18" customHeight="1" s="96">
      <c r="A40" s="93" t="n">
        <v>38</v>
      </c>
      <c r="B40" s="8" t="n"/>
      <c r="C40" s="8" t="n"/>
      <c r="D40" s="8" t="n"/>
      <c r="E40" s="8" t="n"/>
      <c r="F40" s="9" t="n"/>
      <c r="G40" s="10" t="n"/>
      <c r="H40" s="10" t="n"/>
      <c r="I40" s="11" t="n"/>
      <c r="J40" s="8" t="n"/>
      <c r="K40" s="12" t="n"/>
    </row>
    <row r="41" ht="18" customHeight="1" s="96">
      <c r="A41" s="2" t="n">
        <v>39</v>
      </c>
      <c r="B41" s="3" t="n"/>
      <c r="C41" s="3" t="n"/>
      <c r="D41" s="3" t="n"/>
      <c r="E41" s="3" t="n"/>
      <c r="F41" s="4" t="n"/>
      <c r="G41" s="5" t="n"/>
      <c r="H41" s="5" t="n"/>
      <c r="I41" s="6" t="n"/>
      <c r="J41" s="3" t="n"/>
      <c r="K41" s="13" t="n"/>
    </row>
    <row r="42" ht="18" customHeight="1" s="96">
      <c r="A42" s="93" t="n">
        <v>40</v>
      </c>
      <c r="B42" s="8" t="n"/>
      <c r="C42" s="8" t="n"/>
      <c r="D42" s="8" t="n"/>
      <c r="E42" s="8" t="n"/>
      <c r="F42" s="9" t="n"/>
      <c r="G42" s="10" t="n"/>
      <c r="H42" s="10" t="n"/>
      <c r="I42" s="11" t="n"/>
      <c r="J42" s="8" t="n"/>
      <c r="K42" s="12" t="n"/>
    </row>
    <row r="43" ht="18" customHeight="1" s="96">
      <c r="A43" s="2" t="n">
        <v>41</v>
      </c>
      <c r="B43" s="3" t="n"/>
      <c r="C43" s="3" t="n"/>
      <c r="D43" s="3" t="n"/>
      <c r="E43" s="3" t="n"/>
      <c r="F43" s="4" t="n"/>
      <c r="G43" s="5" t="n"/>
      <c r="H43" s="5" t="n"/>
      <c r="I43" s="6" t="n"/>
      <c r="J43" s="3" t="n"/>
      <c r="K43" s="13" t="n"/>
    </row>
    <row r="44" ht="18" customHeight="1" s="96">
      <c r="A44" s="93" t="n">
        <v>42</v>
      </c>
      <c r="B44" s="8" t="n"/>
      <c r="C44" s="8" t="n"/>
      <c r="D44" s="8" t="n"/>
      <c r="E44" s="8" t="n"/>
      <c r="F44" s="9" t="n"/>
      <c r="G44" s="10" t="n"/>
      <c r="H44" s="10" t="n"/>
      <c r="I44" s="11" t="n"/>
      <c r="J44" s="8" t="n"/>
      <c r="K44" s="12" t="n"/>
    </row>
    <row r="45" ht="18" customHeight="1" s="96">
      <c r="A45" s="2" t="n">
        <v>43</v>
      </c>
      <c r="B45" s="3" t="n"/>
      <c r="C45" s="3" t="n"/>
      <c r="D45" s="3" t="n"/>
      <c r="E45" s="3" t="n"/>
      <c r="F45" s="4" t="n"/>
      <c r="G45" s="5" t="n"/>
      <c r="H45" s="5" t="n"/>
      <c r="I45" s="6" t="n"/>
      <c r="J45" s="3" t="n"/>
      <c r="K45" s="13" t="n"/>
    </row>
    <row r="46" ht="18" customHeight="1" s="96">
      <c r="A46" s="93" t="n">
        <v>44</v>
      </c>
      <c r="B46" s="8" t="n"/>
      <c r="C46" s="8" t="n"/>
      <c r="D46" s="8" t="n"/>
      <c r="E46" s="8" t="n"/>
      <c r="F46" s="9" t="n"/>
      <c r="G46" s="10" t="n"/>
      <c r="H46" s="10" t="n"/>
      <c r="I46" s="11" t="n"/>
      <c r="J46" s="8" t="n"/>
      <c r="K46" s="12" t="n"/>
    </row>
    <row r="47" ht="18" customHeight="1" s="96">
      <c r="A47" s="2" t="n">
        <v>45</v>
      </c>
      <c r="B47" s="3" t="n"/>
      <c r="C47" s="3" t="n"/>
      <c r="D47" s="3" t="n"/>
      <c r="E47" s="3" t="n"/>
      <c r="F47" s="4" t="n"/>
      <c r="G47" s="5" t="n"/>
      <c r="H47" s="5" t="n"/>
      <c r="I47" s="6" t="n"/>
      <c r="J47" s="3" t="n"/>
      <c r="K47" s="13" t="n"/>
    </row>
    <row r="48" ht="18" customHeight="1" s="96">
      <c r="A48" s="93" t="n">
        <v>46</v>
      </c>
      <c r="B48" s="8" t="n"/>
      <c r="C48" s="8" t="n"/>
      <c r="D48" s="8" t="n"/>
      <c r="E48" s="8" t="n"/>
      <c r="F48" s="9" t="n"/>
      <c r="G48" s="10" t="n"/>
      <c r="H48" s="10" t="n"/>
      <c r="I48" s="11" t="n"/>
      <c r="J48" s="8" t="n"/>
      <c r="K48" s="12" t="n"/>
    </row>
    <row r="49" ht="18" customHeight="1" s="96">
      <c r="A49" s="2" t="n">
        <v>47</v>
      </c>
      <c r="B49" s="3" t="n"/>
      <c r="C49" s="3" t="n"/>
      <c r="D49" s="3" t="n"/>
      <c r="E49" s="3" t="n"/>
      <c r="F49" s="4" t="n"/>
      <c r="G49" s="5" t="n"/>
      <c r="H49" s="5" t="n"/>
      <c r="I49" s="6" t="n"/>
      <c r="J49" s="3" t="n"/>
      <c r="K49" s="13" t="n"/>
    </row>
    <row r="50" ht="18" customHeight="1" s="96">
      <c r="A50" s="93" t="n">
        <v>48</v>
      </c>
      <c r="B50" s="8" t="n"/>
      <c r="C50" s="8" t="n"/>
      <c r="D50" s="8" t="n"/>
      <c r="E50" s="8" t="n"/>
      <c r="F50" s="9" t="n"/>
      <c r="G50" s="10" t="n"/>
      <c r="H50" s="10" t="n"/>
      <c r="I50" s="11" t="n"/>
      <c r="J50" s="8" t="n"/>
      <c r="K50" s="12" t="n"/>
    </row>
    <row r="51" ht="18" customHeight="1" s="96">
      <c r="A51" s="2" t="n">
        <v>49</v>
      </c>
      <c r="B51" s="3" t="n"/>
      <c r="C51" s="3" t="n"/>
      <c r="D51" s="3" t="n"/>
      <c r="E51" s="3" t="n"/>
      <c r="F51" s="4" t="n"/>
      <c r="G51" s="5" t="n"/>
      <c r="H51" s="5" t="n"/>
      <c r="I51" s="6" t="n"/>
      <c r="J51" s="3" t="n"/>
      <c r="K51" s="13" t="n"/>
    </row>
    <row r="52" ht="18" customHeight="1" s="96">
      <c r="A52" s="93" t="n">
        <v>50</v>
      </c>
      <c r="B52" s="8" t="n"/>
      <c r="C52" s="8" t="n"/>
      <c r="D52" s="8" t="n"/>
      <c r="E52" s="8" t="n"/>
      <c r="F52" s="9" t="n"/>
      <c r="G52" s="10" t="n"/>
      <c r="H52" s="10" t="n"/>
      <c r="I52" s="11" t="n"/>
      <c r="J52" s="8" t="n"/>
      <c r="K52" s="12" t="n"/>
    </row>
    <row r="53" ht="18" customHeight="1" s="96">
      <c r="A53" s="2" t="n">
        <v>51</v>
      </c>
      <c r="B53" s="3" t="n"/>
      <c r="C53" s="3" t="n"/>
      <c r="D53" s="3" t="n"/>
      <c r="E53" s="3" t="n"/>
      <c r="F53" s="4" t="n"/>
      <c r="G53" s="5" t="n"/>
      <c r="H53" s="5" t="n"/>
      <c r="I53" s="6" t="n"/>
      <c r="J53" s="3" t="n"/>
      <c r="K53" s="13" t="n"/>
    </row>
    <row r="54" ht="18" customHeight="1" s="96">
      <c r="A54" s="93" t="n">
        <v>52</v>
      </c>
      <c r="B54" s="8" t="n"/>
      <c r="C54" s="8" t="n"/>
      <c r="D54" s="8" t="n"/>
      <c r="E54" s="8" t="n"/>
      <c r="F54" s="9" t="n"/>
      <c r="G54" s="10" t="n"/>
      <c r="H54" s="10" t="n"/>
      <c r="I54" s="11" t="n"/>
      <c r="J54" s="8" t="n"/>
      <c r="K54" s="12" t="n"/>
    </row>
    <row r="55" ht="18" customHeight="1" s="96">
      <c r="A55" s="2" t="n">
        <v>53</v>
      </c>
      <c r="B55" s="3" t="n"/>
      <c r="C55" s="3" t="n"/>
      <c r="D55" s="3" t="n"/>
      <c r="E55" s="3" t="n"/>
      <c r="F55" s="4" t="n"/>
      <c r="G55" s="5" t="n"/>
      <c r="H55" s="5" t="n"/>
      <c r="I55" s="6" t="n"/>
      <c r="J55" s="3" t="n"/>
      <c r="K55" s="13" t="n"/>
    </row>
    <row r="56" ht="18" customHeight="1" s="96">
      <c r="A56" s="93" t="n">
        <v>54</v>
      </c>
      <c r="B56" s="8" t="n"/>
      <c r="C56" s="8" t="n"/>
      <c r="D56" s="8" t="n"/>
      <c r="E56" s="8" t="n"/>
      <c r="F56" s="9" t="n"/>
      <c r="G56" s="10" t="n"/>
      <c r="H56" s="10" t="n"/>
      <c r="I56" s="11" t="n"/>
      <c r="J56" s="8" t="n"/>
      <c r="K56" s="12" t="n"/>
    </row>
    <row r="57" ht="18" customHeight="1" s="96">
      <c r="A57" s="2" t="n">
        <v>55</v>
      </c>
      <c r="B57" s="3" t="n"/>
      <c r="C57" s="3" t="n"/>
      <c r="D57" s="3" t="n"/>
      <c r="E57" s="3" t="n"/>
      <c r="F57" s="4" t="n"/>
      <c r="G57" s="5" t="n"/>
      <c r="H57" s="5" t="n"/>
      <c r="I57" s="6" t="n"/>
      <c r="J57" s="3" t="n"/>
      <c r="K57" s="13" t="n"/>
    </row>
    <row r="58" ht="18" customHeight="1" s="96">
      <c r="A58" s="93" t="n">
        <v>56</v>
      </c>
      <c r="B58" s="8" t="n"/>
      <c r="C58" s="8" t="n"/>
      <c r="D58" s="8" t="n"/>
      <c r="E58" s="8" t="n"/>
      <c r="F58" s="9" t="n"/>
      <c r="G58" s="10" t="n"/>
      <c r="H58" s="10" t="n"/>
      <c r="I58" s="11" t="n"/>
      <c r="J58" s="8" t="n"/>
      <c r="K58" s="12" t="n"/>
    </row>
    <row r="59" ht="18" customHeight="1" s="96">
      <c r="A59" s="2" t="n">
        <v>57</v>
      </c>
      <c r="B59" s="3" t="n"/>
      <c r="C59" s="3" t="n"/>
      <c r="D59" s="3" t="n"/>
      <c r="E59" s="3" t="n"/>
      <c r="F59" s="4" t="n"/>
      <c r="G59" s="5" t="n"/>
      <c r="H59" s="5" t="n"/>
      <c r="I59" s="6" t="n"/>
      <c r="J59" s="3" t="n"/>
      <c r="K59" s="13" t="n"/>
    </row>
    <row r="60" ht="18" customHeight="1" s="96">
      <c r="A60" s="93" t="n">
        <v>58</v>
      </c>
      <c r="B60" s="8" t="n"/>
      <c r="C60" s="8" t="n"/>
      <c r="D60" s="8" t="n"/>
      <c r="E60" s="8" t="n"/>
      <c r="F60" s="9" t="n"/>
      <c r="G60" s="10" t="n"/>
      <c r="H60" s="10" t="n"/>
      <c r="I60" s="11" t="n"/>
      <c r="J60" s="8" t="n"/>
      <c r="K60" s="12" t="n"/>
    </row>
    <row r="61" ht="18" customHeight="1" s="96">
      <c r="A61" s="2" t="n">
        <v>59</v>
      </c>
      <c r="B61" s="3" t="n"/>
      <c r="C61" s="3" t="n"/>
      <c r="D61" s="3" t="n"/>
      <c r="E61" s="3" t="n"/>
      <c r="F61" s="4" t="n"/>
      <c r="G61" s="5" t="n"/>
      <c r="H61" s="5" t="n"/>
      <c r="I61" s="6" t="n"/>
      <c r="J61" s="3" t="n"/>
      <c r="K61" s="13" t="n"/>
    </row>
    <row r="62" ht="18" customHeight="1" s="96">
      <c r="A62" s="93" t="n">
        <v>60</v>
      </c>
      <c r="B62" s="8" t="n"/>
      <c r="C62" s="8" t="n"/>
      <c r="D62" s="8" t="n"/>
      <c r="E62" s="8" t="n"/>
      <c r="F62" s="9" t="n"/>
      <c r="G62" s="10" t="n"/>
      <c r="H62" s="10" t="n"/>
      <c r="I62" s="11" t="n"/>
      <c r="J62" s="8" t="n"/>
      <c r="K62" s="12" t="n"/>
    </row>
    <row r="63" ht="18" customHeight="1" s="96">
      <c r="A63" s="2" t="n">
        <v>61</v>
      </c>
      <c r="B63" s="3" t="n"/>
      <c r="C63" s="3" t="n"/>
      <c r="D63" s="3" t="n"/>
      <c r="E63" s="3" t="n"/>
      <c r="F63" s="4" t="n"/>
      <c r="G63" s="5" t="n"/>
      <c r="H63" s="5" t="n"/>
      <c r="I63" s="6" t="n"/>
      <c r="J63" s="3" t="n"/>
      <c r="K63" s="13" t="n"/>
    </row>
    <row r="64" ht="18" customHeight="1" s="96">
      <c r="A64" s="93" t="n">
        <v>62</v>
      </c>
      <c r="B64" s="8" t="n"/>
      <c r="C64" s="8" t="n"/>
      <c r="D64" s="8" t="n"/>
      <c r="E64" s="8" t="n"/>
      <c r="F64" s="9" t="n"/>
      <c r="G64" s="10" t="n"/>
      <c r="H64" s="10" t="n"/>
      <c r="I64" s="11" t="n"/>
      <c r="J64" s="8" t="n"/>
      <c r="K64" s="12" t="n"/>
    </row>
    <row r="65" ht="18" customHeight="1" s="96">
      <c r="A65" s="2" t="n">
        <v>63</v>
      </c>
      <c r="B65" s="3" t="n"/>
      <c r="C65" s="3" t="n"/>
      <c r="D65" s="3" t="n"/>
      <c r="E65" s="3" t="n"/>
      <c r="F65" s="4" t="n"/>
      <c r="G65" s="5" t="n"/>
      <c r="H65" s="5" t="n"/>
      <c r="I65" s="6" t="n"/>
      <c r="J65" s="3" t="n"/>
      <c r="K65" s="13" t="n"/>
    </row>
    <row r="66" ht="18" customHeight="1" s="96">
      <c r="A66" s="93" t="n">
        <v>64</v>
      </c>
      <c r="B66" s="8" t="n"/>
      <c r="C66" s="8" t="n"/>
      <c r="D66" s="8" t="n"/>
      <c r="E66" s="8" t="n"/>
      <c r="F66" s="9" t="n"/>
      <c r="G66" s="10" t="n"/>
      <c r="H66" s="10" t="n"/>
      <c r="I66" s="11" t="n"/>
      <c r="J66" s="8" t="n"/>
      <c r="K66" s="12" t="n"/>
    </row>
    <row r="67" ht="18" customHeight="1" s="96">
      <c r="A67" s="2" t="n">
        <v>65</v>
      </c>
      <c r="B67" s="3" t="n"/>
      <c r="C67" s="3" t="n"/>
      <c r="D67" s="3" t="n"/>
      <c r="E67" s="3" t="n"/>
      <c r="F67" s="4" t="n"/>
      <c r="G67" s="5" t="n"/>
      <c r="H67" s="5" t="n"/>
      <c r="I67" s="6" t="n"/>
      <c r="J67" s="3" t="n"/>
      <c r="K67" s="13" t="n"/>
    </row>
    <row r="68" ht="18" customHeight="1" s="96">
      <c r="A68" s="93" t="n">
        <v>66</v>
      </c>
      <c r="B68" s="8" t="n"/>
      <c r="C68" s="8" t="n"/>
      <c r="D68" s="8" t="n"/>
      <c r="E68" s="8" t="n"/>
      <c r="F68" s="9" t="n"/>
      <c r="G68" s="10" t="n"/>
      <c r="H68" s="10" t="n"/>
      <c r="I68" s="11" t="n"/>
      <c r="J68" s="8" t="n"/>
      <c r="K68" s="12" t="n"/>
    </row>
    <row r="69" ht="18" customHeight="1" s="96">
      <c r="A69" s="2" t="n">
        <v>67</v>
      </c>
      <c r="B69" s="3" t="n"/>
      <c r="C69" s="3" t="n"/>
      <c r="D69" s="3" t="n"/>
      <c r="E69" s="3" t="n"/>
      <c r="F69" s="4" t="n"/>
      <c r="G69" s="5" t="n"/>
      <c r="H69" s="5" t="n"/>
      <c r="I69" s="6" t="n"/>
      <c r="J69" s="3" t="n"/>
      <c r="K69" s="13" t="n"/>
    </row>
    <row r="70" ht="18" customHeight="1" s="96">
      <c r="A70" s="93" t="n">
        <v>68</v>
      </c>
      <c r="B70" s="8" t="n"/>
      <c r="C70" s="8" t="n"/>
      <c r="D70" s="8" t="n"/>
      <c r="E70" s="8" t="n"/>
      <c r="F70" s="9" t="n"/>
      <c r="G70" s="10" t="n"/>
      <c r="H70" s="10" t="n"/>
      <c r="I70" s="11" t="n"/>
      <c r="J70" s="8" t="n"/>
      <c r="K70" s="12" t="n"/>
    </row>
    <row r="71" ht="18" customHeight="1" s="96">
      <c r="A71" s="2" t="n">
        <v>69</v>
      </c>
      <c r="B71" s="3" t="n"/>
      <c r="C71" s="3" t="n"/>
      <c r="D71" s="3" t="n"/>
      <c r="E71" s="3" t="n"/>
      <c r="F71" s="4" t="n"/>
      <c r="G71" s="5" t="n"/>
      <c r="H71" s="5" t="n"/>
      <c r="I71" s="6" t="n"/>
      <c r="J71" s="3" t="n"/>
      <c r="K71" s="13" t="n"/>
    </row>
    <row r="72" ht="18" customHeight="1" s="96">
      <c r="A72" s="93" t="n">
        <v>70</v>
      </c>
      <c r="B72" s="8" t="n"/>
      <c r="C72" s="8" t="n"/>
      <c r="D72" s="8" t="n"/>
      <c r="E72" s="8" t="n"/>
      <c r="F72" s="9" t="n"/>
      <c r="G72" s="10" t="n"/>
      <c r="H72" s="10" t="n"/>
      <c r="I72" s="11" t="n"/>
      <c r="J72" s="8" t="n"/>
      <c r="K72" s="12" t="n"/>
    </row>
    <row r="73" ht="18" customHeight="1" s="96">
      <c r="A73" s="2" t="n">
        <v>71</v>
      </c>
      <c r="B73" s="3" t="n"/>
      <c r="C73" s="3" t="n"/>
      <c r="D73" s="3" t="n"/>
      <c r="E73" s="3" t="n"/>
      <c r="F73" s="4" t="n"/>
      <c r="G73" s="5" t="n"/>
      <c r="H73" s="5" t="n"/>
      <c r="I73" s="6" t="n"/>
      <c r="J73" s="3" t="n"/>
      <c r="K73" s="13" t="n"/>
    </row>
    <row r="74" ht="18" customHeight="1" s="96">
      <c r="A74" s="93" t="n">
        <v>72</v>
      </c>
      <c r="B74" s="8" t="n"/>
      <c r="C74" s="8" t="n"/>
      <c r="D74" s="8" t="n"/>
      <c r="E74" s="8" t="n"/>
      <c r="F74" s="9" t="n"/>
      <c r="G74" s="10" t="n"/>
      <c r="H74" s="10" t="n"/>
      <c r="I74" s="11" t="n"/>
      <c r="J74" s="8" t="n"/>
      <c r="K74" s="12" t="n"/>
    </row>
    <row r="75" ht="18" customHeight="1" s="96">
      <c r="A75" s="2" t="n">
        <v>73</v>
      </c>
      <c r="B75" s="3" t="n"/>
      <c r="C75" s="3" t="n"/>
      <c r="D75" s="3" t="n"/>
      <c r="E75" s="3" t="n"/>
      <c r="F75" s="4" t="n"/>
      <c r="G75" s="5" t="n"/>
      <c r="H75" s="5" t="n"/>
      <c r="I75" s="6" t="n"/>
      <c r="J75" s="3" t="n"/>
      <c r="K75" s="13" t="n"/>
    </row>
    <row r="76" ht="18" customHeight="1" s="96">
      <c r="A76" s="93" t="n">
        <v>74</v>
      </c>
      <c r="B76" s="8" t="n"/>
      <c r="C76" s="8" t="n"/>
      <c r="D76" s="8" t="n"/>
      <c r="E76" s="8" t="n"/>
      <c r="F76" s="9" t="n"/>
      <c r="G76" s="10" t="n"/>
      <c r="H76" s="10" t="n"/>
      <c r="I76" s="11" t="n"/>
      <c r="J76" s="8" t="n"/>
      <c r="K76" s="12" t="n"/>
    </row>
    <row r="77" ht="18" customHeight="1" s="96">
      <c r="A77" s="2" t="n">
        <v>75</v>
      </c>
      <c r="B77" s="3" t="n"/>
      <c r="C77" s="3" t="n"/>
      <c r="D77" s="3" t="n"/>
      <c r="E77" s="3" t="n"/>
      <c r="F77" s="4" t="n"/>
      <c r="G77" s="5" t="n"/>
      <c r="H77" s="5" t="n"/>
      <c r="I77" s="6" t="n"/>
      <c r="J77" s="3" t="n"/>
      <c r="K77" s="13" t="n"/>
    </row>
    <row r="78" ht="18" customHeight="1" s="96">
      <c r="A78" s="93" t="n">
        <v>76</v>
      </c>
      <c r="B78" s="8" t="n"/>
      <c r="C78" s="8" t="n"/>
      <c r="D78" s="8" t="n"/>
      <c r="E78" s="8" t="n"/>
      <c r="F78" s="9" t="n"/>
      <c r="G78" s="10" t="n"/>
      <c r="H78" s="10" t="n"/>
      <c r="I78" s="11" t="n"/>
      <c r="J78" s="8" t="n"/>
      <c r="K78" s="12" t="n"/>
    </row>
    <row r="79" ht="18" customHeight="1" s="96">
      <c r="A79" s="2" t="n">
        <v>77</v>
      </c>
      <c r="B79" s="3" t="n"/>
      <c r="C79" s="3" t="n"/>
      <c r="D79" s="3" t="n"/>
      <c r="E79" s="3" t="n"/>
      <c r="F79" s="4" t="n"/>
      <c r="G79" s="5" t="n"/>
      <c r="H79" s="5" t="n"/>
      <c r="I79" s="6" t="n"/>
      <c r="J79" s="3" t="n"/>
      <c r="K79" s="13" t="n"/>
    </row>
    <row r="80" ht="18" customHeight="1" s="96">
      <c r="A80" s="93" t="n">
        <v>78</v>
      </c>
      <c r="B80" s="8" t="n"/>
      <c r="C80" s="8" t="n"/>
      <c r="D80" s="8" t="n"/>
      <c r="E80" s="8" t="n"/>
      <c r="F80" s="9" t="n"/>
      <c r="G80" s="10" t="n"/>
      <c r="H80" s="10" t="n"/>
      <c r="I80" s="11" t="n"/>
      <c r="J80" s="8" t="n"/>
      <c r="K80" s="12" t="n"/>
    </row>
    <row r="81" ht="18" customHeight="1" s="96">
      <c r="A81" s="2" t="n">
        <v>79</v>
      </c>
      <c r="B81" s="3" t="n"/>
      <c r="C81" s="3" t="n"/>
      <c r="D81" s="3" t="n"/>
      <c r="E81" s="3" t="n"/>
      <c r="F81" s="4" t="n"/>
      <c r="G81" s="5" t="n"/>
      <c r="H81" s="5" t="n"/>
      <c r="I81" s="6" t="n"/>
      <c r="J81" s="3" t="n"/>
      <c r="K81" s="13" t="n"/>
    </row>
    <row r="82" ht="18" customHeight="1" s="96">
      <c r="A82" s="93" t="n">
        <v>80</v>
      </c>
      <c r="B82" s="8" t="n"/>
      <c r="C82" s="8" t="n"/>
      <c r="D82" s="8" t="n"/>
      <c r="E82" s="8" t="n"/>
      <c r="F82" s="9" t="n"/>
      <c r="G82" s="10" t="n"/>
      <c r="H82" s="10" t="n"/>
      <c r="I82" s="11" t="n"/>
      <c r="J82" s="8" t="n"/>
      <c r="K82" s="12" t="n"/>
    </row>
    <row r="83" ht="18" customHeight="1" s="96">
      <c r="A83" s="2" t="n">
        <v>81</v>
      </c>
      <c r="B83" s="3" t="n"/>
      <c r="C83" s="3" t="n"/>
      <c r="D83" s="3" t="n"/>
      <c r="E83" s="3" t="n"/>
      <c r="F83" s="4" t="n"/>
      <c r="G83" s="5" t="n"/>
      <c r="H83" s="5" t="n"/>
      <c r="I83" s="6" t="n"/>
      <c r="J83" s="3" t="n"/>
      <c r="K83" s="13" t="n"/>
    </row>
    <row r="84" ht="18" customHeight="1" s="96">
      <c r="A84" s="93" t="n">
        <v>82</v>
      </c>
      <c r="B84" s="8" t="n"/>
      <c r="C84" s="8" t="n"/>
      <c r="D84" s="8" t="n"/>
      <c r="E84" s="8" t="n"/>
      <c r="F84" s="9" t="n"/>
      <c r="G84" s="10" t="n"/>
      <c r="H84" s="10" t="n"/>
      <c r="I84" s="11" t="n"/>
      <c r="J84" s="8" t="n"/>
      <c r="K84" s="12" t="n"/>
    </row>
    <row r="85" ht="18" customHeight="1" s="96">
      <c r="A85" s="2" t="n">
        <v>83</v>
      </c>
      <c r="B85" s="3" t="n"/>
      <c r="C85" s="3" t="n"/>
      <c r="D85" s="3" t="n"/>
      <c r="E85" s="3" t="n"/>
      <c r="F85" s="4" t="n"/>
      <c r="G85" s="5" t="n"/>
      <c r="H85" s="5" t="n"/>
      <c r="I85" s="6" t="n"/>
      <c r="J85" s="3" t="n"/>
      <c r="K85" s="13" t="n"/>
    </row>
    <row r="86" ht="18" customHeight="1" s="96">
      <c r="A86" s="93" t="n">
        <v>84</v>
      </c>
      <c r="B86" s="8" t="n"/>
      <c r="C86" s="8" t="n"/>
      <c r="D86" s="8" t="n"/>
      <c r="E86" s="8" t="n"/>
      <c r="F86" s="9" t="n"/>
      <c r="G86" s="10" t="n"/>
      <c r="H86" s="10" t="n"/>
      <c r="I86" s="11" t="n"/>
      <c r="J86" s="8" t="n"/>
      <c r="K86" s="12" t="n"/>
    </row>
    <row r="87" ht="18" customHeight="1" s="96">
      <c r="A87" s="2" t="n">
        <v>85</v>
      </c>
      <c r="B87" s="3" t="n"/>
      <c r="C87" s="3" t="n"/>
      <c r="D87" s="3" t="n"/>
      <c r="E87" s="3" t="n"/>
      <c r="F87" s="4" t="n"/>
      <c r="G87" s="5" t="n"/>
      <c r="H87" s="5" t="n"/>
      <c r="I87" s="6" t="n"/>
      <c r="J87" s="3" t="n"/>
      <c r="K87" s="13" t="n"/>
    </row>
    <row r="88" ht="18" customHeight="1" s="96">
      <c r="A88" s="93" t="n">
        <v>86</v>
      </c>
      <c r="B88" s="8" t="n"/>
      <c r="C88" s="8" t="n"/>
      <c r="D88" s="8" t="n"/>
      <c r="E88" s="8" t="n"/>
      <c r="F88" s="9" t="n"/>
      <c r="G88" s="10" t="n"/>
      <c r="H88" s="10" t="n"/>
      <c r="I88" s="11" t="n"/>
      <c r="J88" s="8" t="n"/>
      <c r="K88" s="12" t="n"/>
    </row>
    <row r="89" ht="18" customHeight="1" s="96">
      <c r="A89" s="2" t="n">
        <v>87</v>
      </c>
      <c r="B89" s="3" t="n"/>
      <c r="C89" s="3" t="n"/>
      <c r="D89" s="3" t="n"/>
      <c r="E89" s="3" t="n"/>
      <c r="F89" s="4" t="n"/>
      <c r="G89" s="5" t="n"/>
      <c r="H89" s="5" t="n"/>
      <c r="I89" s="6" t="n"/>
      <c r="J89" s="3" t="n"/>
      <c r="K89" s="13" t="n"/>
    </row>
    <row r="90" ht="18" customHeight="1" s="96">
      <c r="A90" s="93" t="n">
        <v>88</v>
      </c>
      <c r="B90" s="8" t="n"/>
      <c r="C90" s="8" t="n"/>
      <c r="D90" s="8" t="n"/>
      <c r="E90" s="8" t="n"/>
      <c r="F90" s="9" t="n"/>
      <c r="G90" s="10" t="n"/>
      <c r="H90" s="10" t="n"/>
      <c r="I90" s="11" t="n"/>
      <c r="J90" s="8" t="n"/>
      <c r="K90" s="12" t="n"/>
    </row>
    <row r="91" ht="18" customHeight="1" s="96">
      <c r="A91" s="2" t="n">
        <v>89</v>
      </c>
      <c r="B91" s="3" t="n"/>
      <c r="C91" s="3" t="n"/>
      <c r="D91" s="3" t="n"/>
      <c r="E91" s="3" t="n"/>
      <c r="F91" s="4" t="n"/>
      <c r="G91" s="5" t="n"/>
      <c r="H91" s="5" t="n"/>
      <c r="I91" s="6" t="n"/>
      <c r="J91" s="3" t="n"/>
      <c r="K91" s="13" t="n"/>
    </row>
    <row r="92" ht="18" customHeight="1" s="96">
      <c r="A92" s="93" t="n">
        <v>90</v>
      </c>
      <c r="B92" s="8" t="n"/>
      <c r="C92" s="8" t="n"/>
      <c r="D92" s="8" t="n"/>
      <c r="E92" s="8" t="n"/>
      <c r="F92" s="9" t="n"/>
      <c r="G92" s="10" t="n"/>
      <c r="H92" s="10" t="n"/>
      <c r="I92" s="11" t="n"/>
      <c r="J92" s="8" t="n"/>
      <c r="K92" s="12" t="n"/>
    </row>
    <row r="93" ht="18" customHeight="1" s="96">
      <c r="A93" s="2" t="n">
        <v>91</v>
      </c>
      <c r="B93" s="3" t="n"/>
      <c r="C93" s="3" t="n"/>
      <c r="D93" s="3" t="n"/>
      <c r="E93" s="3" t="n"/>
      <c r="F93" s="4" t="n"/>
      <c r="G93" s="5" t="n"/>
      <c r="H93" s="5" t="n"/>
      <c r="I93" s="6" t="n"/>
      <c r="J93" s="3" t="n"/>
      <c r="K93" s="13" t="n"/>
    </row>
    <row r="94" ht="18" customHeight="1" s="96">
      <c r="A94" s="93" t="n">
        <v>92</v>
      </c>
      <c r="B94" s="8" t="n"/>
      <c r="C94" s="8" t="n"/>
      <c r="D94" s="8" t="n"/>
      <c r="E94" s="8" t="n"/>
      <c r="F94" s="9" t="n"/>
      <c r="G94" s="10" t="n"/>
      <c r="H94" s="10" t="n"/>
      <c r="I94" s="11" t="n"/>
      <c r="J94" s="8" t="n"/>
      <c r="K94" s="12" t="n"/>
    </row>
    <row r="95" ht="18" customHeight="1" s="96">
      <c r="A95" s="2" t="n">
        <v>93</v>
      </c>
      <c r="B95" s="3" t="n"/>
      <c r="C95" s="3" t="n"/>
      <c r="D95" s="3" t="n"/>
      <c r="E95" s="3" t="n"/>
      <c r="F95" s="4" t="n"/>
      <c r="G95" s="5" t="n"/>
      <c r="H95" s="5" t="n"/>
      <c r="I95" s="6" t="n"/>
      <c r="J95" s="3" t="n"/>
      <c r="K95" s="13" t="n"/>
    </row>
    <row r="96" ht="18" customHeight="1" s="96">
      <c r="A96" s="93" t="n">
        <v>94</v>
      </c>
      <c r="B96" s="8" t="n"/>
      <c r="C96" s="8" t="n"/>
      <c r="D96" s="8" t="n"/>
      <c r="E96" s="8" t="n"/>
      <c r="F96" s="9" t="n"/>
      <c r="G96" s="10" t="n"/>
      <c r="H96" s="10" t="n"/>
      <c r="I96" s="11" t="n"/>
      <c r="J96" s="8" t="n"/>
      <c r="K96" s="12" t="n"/>
    </row>
    <row r="97" ht="18" customHeight="1" s="96">
      <c r="A97" s="2" t="n">
        <v>95</v>
      </c>
      <c r="B97" s="3" t="n"/>
      <c r="C97" s="3" t="n"/>
      <c r="D97" s="3" t="n"/>
      <c r="E97" s="3" t="n"/>
      <c r="F97" s="4" t="n"/>
      <c r="G97" s="5" t="n"/>
      <c r="H97" s="5" t="n"/>
      <c r="I97" s="6" t="n"/>
      <c r="J97" s="3" t="n"/>
      <c r="K97" s="13" t="n"/>
    </row>
    <row r="98" ht="18" customHeight="1" s="96">
      <c r="A98" s="93" t="n">
        <v>96</v>
      </c>
      <c r="B98" s="8" t="n"/>
      <c r="C98" s="8" t="n"/>
      <c r="D98" s="8" t="n"/>
      <c r="E98" s="8" t="n"/>
      <c r="F98" s="9" t="n"/>
      <c r="G98" s="10" t="n"/>
      <c r="H98" s="10" t="n"/>
      <c r="I98" s="11" t="n"/>
      <c r="J98" s="8" t="n"/>
      <c r="K98" s="12" t="n"/>
    </row>
    <row r="99" ht="18" customHeight="1" s="96">
      <c r="A99" s="2" t="n">
        <v>97</v>
      </c>
      <c r="B99" s="3" t="n"/>
      <c r="C99" s="3" t="n"/>
      <c r="D99" s="3" t="n"/>
      <c r="E99" s="3" t="n"/>
      <c r="F99" s="4" t="n"/>
      <c r="G99" s="5" t="n"/>
      <c r="H99" s="5" t="n"/>
      <c r="I99" s="6" t="n"/>
      <c r="J99" s="3" t="n"/>
      <c r="K99" s="13" t="n"/>
    </row>
    <row r="100" ht="18" customHeight="1" s="96">
      <c r="A100" s="93" t="n">
        <v>98</v>
      </c>
      <c r="B100" s="8" t="n"/>
      <c r="C100" s="8" t="n"/>
      <c r="D100" s="8" t="n"/>
      <c r="E100" s="8" t="n"/>
      <c r="F100" s="9" t="n"/>
      <c r="G100" s="10" t="n"/>
      <c r="H100" s="10" t="n"/>
      <c r="I100" s="11" t="n"/>
      <c r="J100" s="8" t="n"/>
      <c r="K100" s="12" t="n"/>
    </row>
    <row r="101" ht="18" customHeight="1" s="96">
      <c r="A101" s="2" t="n">
        <v>99</v>
      </c>
      <c r="B101" s="3" t="n"/>
      <c r="C101" s="3" t="n"/>
      <c r="D101" s="3" t="n"/>
      <c r="E101" s="3" t="n"/>
      <c r="F101" s="4" t="n"/>
      <c r="G101" s="5" t="n"/>
      <c r="H101" s="5" t="n"/>
      <c r="I101" s="6" t="n"/>
      <c r="J101" s="3" t="n"/>
      <c r="K101" s="13" t="n"/>
    </row>
    <row r="102" ht="18" customHeight="1" s="96">
      <c r="A102" s="93" t="n">
        <v>100</v>
      </c>
      <c r="B102" s="8" t="n"/>
      <c r="C102" s="8" t="n"/>
      <c r="D102" s="8" t="n"/>
      <c r="E102" s="8" t="n"/>
      <c r="F102" s="9" t="n"/>
      <c r="G102" s="10" t="n"/>
      <c r="H102" s="10" t="n"/>
      <c r="I102" s="11" t="n"/>
      <c r="J102" s="8" t="n"/>
      <c r="K102" s="12" t="n"/>
    </row>
    <row r="103" ht="18" customHeight="1" s="96">
      <c r="A103" s="2" t="n">
        <v>101</v>
      </c>
      <c r="B103" s="3" t="n"/>
      <c r="C103" s="3" t="n"/>
      <c r="D103" s="3" t="n"/>
      <c r="E103" s="3" t="n"/>
      <c r="F103" s="4" t="n"/>
      <c r="G103" s="5" t="n"/>
      <c r="H103" s="5" t="n"/>
      <c r="I103" s="6" t="n"/>
      <c r="J103" s="3" t="n"/>
      <c r="K103" s="13" t="n"/>
    </row>
    <row r="104" ht="18" customHeight="1" s="96">
      <c r="A104" s="93" t="n">
        <v>102</v>
      </c>
      <c r="B104" s="8" t="n"/>
      <c r="C104" s="8" t="n"/>
      <c r="D104" s="8" t="n"/>
      <c r="E104" s="8" t="n"/>
      <c r="F104" s="9" t="n"/>
      <c r="G104" s="10" t="n"/>
      <c r="H104" s="10" t="n"/>
      <c r="I104" s="11" t="n"/>
      <c r="J104" s="8" t="n"/>
      <c r="K104" s="12" t="n"/>
    </row>
    <row r="105" ht="18" customHeight="1" s="96">
      <c r="A105" s="2" t="n">
        <v>103</v>
      </c>
      <c r="B105" s="3" t="n"/>
      <c r="C105" s="3" t="n"/>
      <c r="D105" s="3" t="n"/>
      <c r="E105" s="3" t="n"/>
      <c r="F105" s="4" t="n"/>
      <c r="G105" s="5" t="n"/>
      <c r="H105" s="5" t="n"/>
      <c r="I105" s="6" t="n"/>
      <c r="J105" s="3" t="n"/>
      <c r="K105" s="13" t="n"/>
    </row>
    <row r="106" ht="18" customHeight="1" s="96">
      <c r="A106" s="93" t="n">
        <v>104</v>
      </c>
      <c r="B106" s="8" t="n"/>
      <c r="C106" s="8" t="n"/>
      <c r="D106" s="8" t="n"/>
      <c r="E106" s="8" t="n"/>
      <c r="F106" s="9" t="n"/>
      <c r="G106" s="10" t="n"/>
      <c r="H106" s="10" t="n"/>
      <c r="I106" s="11" t="n"/>
      <c r="J106" s="8" t="n"/>
      <c r="K106" s="12" t="n"/>
    </row>
    <row r="107" ht="18" customHeight="1" s="96">
      <c r="A107" s="2" t="n">
        <v>105</v>
      </c>
      <c r="B107" s="3" t="n"/>
      <c r="C107" s="3" t="n"/>
      <c r="D107" s="3" t="n"/>
      <c r="E107" s="3" t="n"/>
      <c r="F107" s="4" t="n"/>
      <c r="G107" s="5" t="n"/>
      <c r="H107" s="5" t="n"/>
      <c r="I107" s="6" t="n"/>
      <c r="J107" s="3" t="n"/>
      <c r="K107" s="13" t="n"/>
    </row>
    <row r="108" ht="18" customHeight="1" s="96">
      <c r="A108" s="93" t="n">
        <v>106</v>
      </c>
      <c r="B108" s="8" t="n"/>
      <c r="C108" s="8" t="n"/>
      <c r="D108" s="8" t="n"/>
      <c r="E108" s="8" t="n"/>
      <c r="F108" s="9" t="n"/>
      <c r="G108" s="10" t="n"/>
      <c r="H108" s="10" t="n"/>
      <c r="I108" s="11" t="n"/>
      <c r="J108" s="8" t="n"/>
      <c r="K108" s="12" t="n"/>
    </row>
    <row r="109" ht="18" customHeight="1" s="96">
      <c r="A109" s="2" t="n">
        <v>107</v>
      </c>
      <c r="B109" s="3" t="n"/>
      <c r="C109" s="3" t="n"/>
      <c r="D109" s="3" t="n"/>
      <c r="E109" s="3" t="n"/>
      <c r="F109" s="4" t="n"/>
      <c r="G109" s="5" t="n"/>
      <c r="H109" s="5" t="n"/>
      <c r="I109" s="6" t="n"/>
      <c r="J109" s="3" t="n"/>
      <c r="K109" s="13" t="n"/>
    </row>
    <row r="110" ht="18" customHeight="1" s="96">
      <c r="A110" s="93" t="n">
        <v>108</v>
      </c>
      <c r="B110" s="8" t="n"/>
      <c r="C110" s="8" t="n"/>
      <c r="D110" s="8" t="n"/>
      <c r="E110" s="8" t="n"/>
      <c r="F110" s="9" t="n"/>
      <c r="G110" s="10" t="n"/>
      <c r="H110" s="10" t="n"/>
      <c r="I110" s="11" t="n"/>
      <c r="J110" s="8" t="n"/>
      <c r="K110" s="12" t="n"/>
    </row>
    <row r="111" ht="18" customHeight="1" s="96">
      <c r="A111" s="2" t="n">
        <v>109</v>
      </c>
      <c r="B111" s="3" t="n"/>
      <c r="C111" s="3" t="n"/>
      <c r="D111" s="3" t="n"/>
      <c r="E111" s="3" t="n"/>
      <c r="F111" s="4" t="n"/>
      <c r="G111" s="5" t="n"/>
      <c r="H111" s="5" t="n"/>
      <c r="I111" s="6" t="n"/>
      <c r="J111" s="3" t="n"/>
      <c r="K111" s="13" t="n"/>
    </row>
    <row r="112" ht="18" customHeight="1" s="96">
      <c r="A112" s="93" t="n">
        <v>110</v>
      </c>
      <c r="B112" s="8" t="n"/>
      <c r="C112" s="8" t="n"/>
      <c r="D112" s="8" t="n"/>
      <c r="E112" s="8" t="n"/>
      <c r="F112" s="9" t="n"/>
      <c r="G112" s="10" t="n"/>
      <c r="H112" s="10" t="n"/>
      <c r="I112" s="11" t="n"/>
      <c r="J112" s="8" t="n"/>
      <c r="K112" s="12" t="n"/>
    </row>
    <row r="113" ht="18" customHeight="1" s="96">
      <c r="A113" s="2" t="n">
        <v>111</v>
      </c>
      <c r="B113" s="3" t="n"/>
      <c r="C113" s="3" t="n"/>
      <c r="D113" s="3" t="n"/>
      <c r="E113" s="3" t="n"/>
      <c r="F113" s="4" t="n"/>
      <c r="G113" s="5" t="n"/>
      <c r="H113" s="5" t="n"/>
      <c r="I113" s="6" t="n"/>
      <c r="J113" s="3" t="n"/>
      <c r="K113" s="13" t="n"/>
    </row>
    <row r="114" ht="18" customHeight="1" s="96">
      <c r="A114" s="93" t="n">
        <v>112</v>
      </c>
      <c r="B114" s="8" t="n"/>
      <c r="C114" s="8" t="n"/>
      <c r="D114" s="8" t="n"/>
      <c r="E114" s="8" t="n"/>
      <c r="F114" s="9" t="n"/>
      <c r="G114" s="10" t="n"/>
      <c r="H114" s="10" t="n"/>
      <c r="I114" s="11" t="n"/>
      <c r="J114" s="8" t="n"/>
      <c r="K114" s="12" t="n"/>
    </row>
    <row r="115" ht="18" customHeight="1" s="96">
      <c r="A115" s="2" t="n">
        <v>113</v>
      </c>
      <c r="B115" s="3" t="n"/>
      <c r="C115" s="3" t="n"/>
      <c r="D115" s="3" t="n"/>
      <c r="E115" s="3" t="n"/>
      <c r="F115" s="4" t="n"/>
      <c r="G115" s="5" t="n"/>
      <c r="H115" s="5" t="n"/>
      <c r="I115" s="6" t="n"/>
      <c r="J115" s="3" t="n"/>
      <c r="K115" s="13" t="n"/>
    </row>
    <row r="116" ht="18" customHeight="1" s="96">
      <c r="A116" s="93" t="n">
        <v>114</v>
      </c>
      <c r="B116" s="8" t="n"/>
      <c r="C116" s="8" t="n"/>
      <c r="D116" s="8" t="n"/>
      <c r="E116" s="8" t="n"/>
      <c r="F116" s="9" t="n"/>
      <c r="G116" s="10" t="n"/>
      <c r="H116" s="10" t="n"/>
      <c r="I116" s="11" t="n"/>
      <c r="J116" s="8" t="n"/>
      <c r="K116" s="12" t="n"/>
    </row>
    <row r="117" ht="18" customHeight="1" s="96">
      <c r="A117" s="2" t="n">
        <v>115</v>
      </c>
      <c r="B117" s="3" t="n"/>
      <c r="C117" s="3" t="n"/>
      <c r="D117" s="3" t="n"/>
      <c r="E117" s="3" t="n"/>
      <c r="F117" s="4" t="n"/>
      <c r="G117" s="5" t="n"/>
      <c r="H117" s="5" t="n"/>
      <c r="I117" s="6" t="n"/>
      <c r="J117" s="3" t="n"/>
      <c r="K117" s="13" t="n"/>
    </row>
    <row r="118" ht="18" customHeight="1" s="96">
      <c r="A118" s="93" t="n">
        <v>116</v>
      </c>
      <c r="B118" s="8" t="n"/>
      <c r="C118" s="8" t="n"/>
      <c r="D118" s="8" t="n"/>
      <c r="E118" s="8" t="n"/>
      <c r="F118" s="9" t="n"/>
      <c r="G118" s="10" t="n"/>
      <c r="H118" s="10" t="n"/>
      <c r="I118" s="11" t="n"/>
      <c r="J118" s="8" t="n"/>
      <c r="K118" s="12" t="n"/>
    </row>
    <row r="119" ht="18" customHeight="1" s="96">
      <c r="A119" s="2" t="n">
        <v>117</v>
      </c>
      <c r="B119" s="3" t="n"/>
      <c r="C119" s="3" t="n"/>
      <c r="D119" s="3" t="n"/>
      <c r="E119" s="3" t="n"/>
      <c r="F119" s="4" t="n"/>
      <c r="G119" s="5" t="n"/>
      <c r="H119" s="5" t="n"/>
      <c r="I119" s="6" t="n"/>
      <c r="J119" s="3" t="n"/>
      <c r="K119" s="13" t="n"/>
    </row>
    <row r="120" ht="18" customHeight="1" s="96">
      <c r="A120" s="93" t="n">
        <v>118</v>
      </c>
      <c r="B120" s="8" t="n"/>
      <c r="C120" s="8" t="n"/>
      <c r="D120" s="8" t="n"/>
      <c r="E120" s="8" t="n"/>
      <c r="F120" s="9" t="n"/>
      <c r="G120" s="10" t="n"/>
      <c r="H120" s="10" t="n"/>
      <c r="I120" s="11" t="n"/>
      <c r="J120" s="8" t="n"/>
      <c r="K120" s="12" t="n"/>
    </row>
    <row r="121" ht="18" customHeight="1" s="96">
      <c r="A121" s="2" t="n">
        <v>119</v>
      </c>
      <c r="B121" s="3" t="n"/>
      <c r="C121" s="3" t="n"/>
      <c r="D121" s="3" t="n"/>
      <c r="E121" s="3" t="n"/>
      <c r="F121" s="4" t="n"/>
      <c r="G121" s="5" t="n"/>
      <c r="H121" s="5" t="n"/>
      <c r="I121" s="6" t="n"/>
      <c r="J121" s="3" t="n"/>
      <c r="K121" s="13" t="n"/>
    </row>
    <row r="122" ht="18" customHeight="1" s="96">
      <c r="A122" s="93" t="n">
        <v>120</v>
      </c>
      <c r="B122" s="8" t="n"/>
      <c r="C122" s="8" t="n"/>
      <c r="D122" s="8" t="n"/>
      <c r="E122" s="8" t="n"/>
      <c r="F122" s="9" t="n"/>
      <c r="G122" s="10" t="n"/>
      <c r="H122" s="10" t="n"/>
      <c r="I122" s="11" t="n"/>
      <c r="J122" s="8" t="n"/>
      <c r="K122" s="12" t="n"/>
    </row>
    <row r="123" ht="18" customHeight="1" s="96">
      <c r="A123" s="2" t="n">
        <v>121</v>
      </c>
      <c r="B123" s="3" t="n"/>
      <c r="C123" s="3" t="n"/>
      <c r="D123" s="3" t="n"/>
      <c r="E123" s="3" t="n"/>
      <c r="F123" s="4" t="n"/>
      <c r="G123" s="5" t="n"/>
      <c r="H123" s="5" t="n"/>
      <c r="I123" s="6" t="n"/>
      <c r="J123" s="3" t="n"/>
      <c r="K123" s="13" t="n"/>
    </row>
    <row r="124" ht="18" customHeight="1" s="96">
      <c r="A124" s="93" t="n">
        <v>122</v>
      </c>
      <c r="B124" s="8" t="n"/>
      <c r="C124" s="8" t="n"/>
      <c r="D124" s="8" t="n"/>
      <c r="E124" s="8" t="n"/>
      <c r="F124" s="9" t="n"/>
      <c r="G124" s="10" t="n"/>
      <c r="H124" s="10" t="n"/>
      <c r="I124" s="11" t="n"/>
      <c r="J124" s="8" t="n"/>
      <c r="K124" s="12" t="n"/>
    </row>
    <row r="125" ht="18" customHeight="1" s="96">
      <c r="A125" s="2" t="n">
        <v>123</v>
      </c>
      <c r="B125" s="3" t="n"/>
      <c r="C125" s="3" t="n"/>
      <c r="D125" s="3" t="n"/>
      <c r="E125" s="3" t="n"/>
      <c r="F125" s="4" t="n"/>
      <c r="G125" s="5" t="n"/>
      <c r="H125" s="5" t="n"/>
      <c r="I125" s="6" t="n"/>
      <c r="J125" s="3" t="n"/>
      <c r="K125" s="13" t="n"/>
    </row>
    <row r="126" ht="18" customHeight="1" s="96">
      <c r="A126" s="93" t="n">
        <v>124</v>
      </c>
      <c r="B126" s="8" t="n"/>
      <c r="C126" s="8" t="n"/>
      <c r="D126" s="8" t="n"/>
      <c r="E126" s="8" t="n"/>
      <c r="F126" s="9" t="n"/>
      <c r="G126" s="10" t="n"/>
      <c r="H126" s="10" t="n"/>
      <c r="I126" s="11" t="n"/>
      <c r="J126" s="8" t="n"/>
      <c r="K126" s="12" t="n"/>
    </row>
    <row r="127" ht="18" customHeight="1" s="96">
      <c r="A127" s="2" t="n">
        <v>125</v>
      </c>
      <c r="B127" s="3" t="n"/>
      <c r="C127" s="3" t="n"/>
      <c r="D127" s="3" t="n"/>
      <c r="E127" s="3" t="n"/>
      <c r="F127" s="4" t="n"/>
      <c r="G127" s="5" t="n"/>
      <c r="H127" s="5" t="n"/>
      <c r="I127" s="6" t="n"/>
      <c r="J127" s="3" t="n"/>
      <c r="K127" s="13" t="n"/>
    </row>
    <row r="128" ht="18" customHeight="1" s="96">
      <c r="A128" s="93" t="n">
        <v>126</v>
      </c>
      <c r="B128" s="8" t="n"/>
      <c r="C128" s="8" t="n"/>
      <c r="D128" s="8" t="n"/>
      <c r="E128" s="8" t="n"/>
      <c r="F128" s="9" t="n"/>
      <c r="G128" s="10" t="n"/>
      <c r="H128" s="10" t="n"/>
      <c r="I128" s="11" t="n"/>
      <c r="J128" s="8" t="n"/>
      <c r="K128" s="12" t="n"/>
    </row>
    <row r="129" ht="18" customHeight="1" s="96">
      <c r="A129" s="2" t="n">
        <v>127</v>
      </c>
      <c r="B129" s="3" t="n"/>
      <c r="C129" s="3" t="n"/>
      <c r="D129" s="3" t="n"/>
      <c r="E129" s="3" t="n"/>
      <c r="F129" s="4" t="n"/>
      <c r="G129" s="5" t="n"/>
      <c r="H129" s="5" t="n"/>
      <c r="I129" s="6" t="n"/>
      <c r="J129" s="3" t="n"/>
      <c r="K129" s="13" t="n"/>
    </row>
    <row r="130" ht="18" customHeight="1" s="96">
      <c r="A130" s="93" t="n">
        <v>128</v>
      </c>
      <c r="B130" s="8" t="n"/>
      <c r="C130" s="8" t="n"/>
      <c r="D130" s="8" t="n"/>
      <c r="E130" s="8" t="n"/>
      <c r="F130" s="9" t="n"/>
      <c r="G130" s="10" t="n"/>
      <c r="H130" s="10" t="n"/>
      <c r="I130" s="11" t="n"/>
      <c r="J130" s="8" t="n"/>
      <c r="K130" s="12" t="n"/>
    </row>
    <row r="131" ht="18" customHeight="1" s="96">
      <c r="A131" s="2" t="n">
        <v>129</v>
      </c>
      <c r="B131" s="3" t="n"/>
      <c r="C131" s="3" t="n"/>
      <c r="D131" s="3" t="n"/>
      <c r="E131" s="3" t="n"/>
      <c r="F131" s="4" t="n"/>
      <c r="G131" s="5" t="n"/>
      <c r="H131" s="5" t="n"/>
      <c r="I131" s="6" t="n"/>
      <c r="J131" s="3" t="n"/>
      <c r="K131" s="13" t="n"/>
    </row>
    <row r="132" ht="18" customHeight="1" s="96">
      <c r="A132" s="93" t="n">
        <v>130</v>
      </c>
      <c r="B132" s="8" t="n"/>
      <c r="C132" s="8" t="n"/>
      <c r="D132" s="8" t="n"/>
      <c r="E132" s="8" t="n"/>
      <c r="F132" s="9" t="n"/>
      <c r="G132" s="10" t="n"/>
      <c r="H132" s="10" t="n"/>
      <c r="I132" s="11" t="n"/>
      <c r="J132" s="8" t="n"/>
      <c r="K132" s="12" t="n"/>
    </row>
    <row r="133" ht="18" customHeight="1" s="96">
      <c r="A133" s="2" t="n">
        <v>131</v>
      </c>
      <c r="B133" s="3" t="n"/>
      <c r="C133" s="3" t="n"/>
      <c r="D133" s="3" t="n"/>
      <c r="E133" s="3" t="n"/>
      <c r="F133" s="4" t="n"/>
      <c r="G133" s="5" t="n"/>
      <c r="H133" s="5" t="n"/>
      <c r="I133" s="6" t="n"/>
      <c r="J133" s="3" t="n"/>
      <c r="K133" s="13" t="n"/>
    </row>
    <row r="134" ht="18" customHeight="1" s="96">
      <c r="A134" s="93" t="n">
        <v>132</v>
      </c>
      <c r="B134" s="8" t="n"/>
      <c r="C134" s="8" t="n"/>
      <c r="D134" s="8" t="n"/>
      <c r="E134" s="8" t="n"/>
      <c r="F134" s="9" t="n"/>
      <c r="G134" s="10" t="n"/>
      <c r="H134" s="10" t="n"/>
      <c r="I134" s="11" t="n"/>
      <c r="J134" s="8" t="n"/>
      <c r="K134" s="12" t="n"/>
    </row>
    <row r="135" ht="18" customHeight="1" s="96">
      <c r="A135" s="2" t="n">
        <v>133</v>
      </c>
      <c r="B135" s="3" t="n"/>
      <c r="C135" s="3" t="n"/>
      <c r="D135" s="3" t="n"/>
      <c r="E135" s="3" t="n"/>
      <c r="F135" s="4" t="n"/>
      <c r="G135" s="5" t="n"/>
      <c r="H135" s="5" t="n"/>
      <c r="I135" s="6" t="n"/>
      <c r="J135" s="3" t="n"/>
      <c r="K135" s="13" t="n"/>
    </row>
    <row r="136" ht="18" customHeight="1" s="96">
      <c r="A136" s="93" t="n">
        <v>134</v>
      </c>
      <c r="B136" s="8" t="n"/>
      <c r="C136" s="8" t="n"/>
      <c r="D136" s="8" t="n"/>
      <c r="E136" s="8" t="n"/>
      <c r="F136" s="9" t="n"/>
      <c r="G136" s="10" t="n"/>
      <c r="H136" s="10" t="n"/>
      <c r="I136" s="11" t="n"/>
      <c r="J136" s="8" t="n"/>
      <c r="K136" s="12" t="n"/>
    </row>
    <row r="137" ht="18" customHeight="1" s="96">
      <c r="A137" s="2" t="n">
        <v>135</v>
      </c>
      <c r="B137" s="3" t="n"/>
      <c r="C137" s="3" t="n"/>
      <c r="D137" s="3" t="n"/>
      <c r="E137" s="3" t="n"/>
      <c r="F137" s="4" t="n"/>
      <c r="G137" s="5" t="n"/>
      <c r="H137" s="5" t="n"/>
      <c r="I137" s="6" t="n"/>
      <c r="J137" s="3" t="n"/>
      <c r="K137" s="13" t="n"/>
    </row>
    <row r="138" ht="18" customHeight="1" s="96">
      <c r="A138" s="93" t="n">
        <v>136</v>
      </c>
      <c r="B138" s="8" t="n"/>
      <c r="C138" s="8" t="n"/>
      <c r="D138" s="8" t="n"/>
      <c r="E138" s="8" t="n"/>
      <c r="F138" s="9" t="n"/>
      <c r="G138" s="10" t="n"/>
      <c r="H138" s="10" t="n"/>
      <c r="I138" s="11" t="n"/>
      <c r="J138" s="8" t="n"/>
      <c r="K138" s="12" t="n"/>
    </row>
    <row r="139" ht="18" customHeight="1" s="96">
      <c r="A139" s="2" t="n">
        <v>137</v>
      </c>
      <c r="B139" s="3" t="n"/>
      <c r="C139" s="3" t="n"/>
      <c r="D139" s="3" t="n"/>
      <c r="E139" s="3" t="n"/>
      <c r="F139" s="4" t="n"/>
      <c r="G139" s="5" t="n"/>
      <c r="H139" s="5" t="n"/>
      <c r="I139" s="6" t="n"/>
      <c r="J139" s="3" t="n"/>
      <c r="K139" s="13" t="n"/>
    </row>
    <row r="140" ht="18" customHeight="1" s="96">
      <c r="A140" s="93" t="n">
        <v>138</v>
      </c>
      <c r="B140" s="8" t="n"/>
      <c r="C140" s="8" t="n"/>
      <c r="D140" s="8" t="n"/>
      <c r="E140" s="8" t="n"/>
      <c r="F140" s="9" t="n"/>
      <c r="G140" s="10" t="n"/>
      <c r="H140" s="10" t="n"/>
      <c r="I140" s="11" t="n"/>
      <c r="J140" s="8" t="n"/>
      <c r="K140" s="12" t="n"/>
    </row>
    <row r="141" ht="18" customHeight="1" s="96">
      <c r="A141" s="2" t="n">
        <v>139</v>
      </c>
      <c r="B141" s="3" t="n"/>
      <c r="C141" s="3" t="n"/>
      <c r="D141" s="3" t="n"/>
      <c r="E141" s="3" t="n"/>
      <c r="F141" s="4" t="n"/>
      <c r="G141" s="5" t="n"/>
      <c r="H141" s="5" t="n"/>
      <c r="I141" s="6" t="n"/>
      <c r="J141" s="3" t="n"/>
      <c r="K141" s="13" t="n"/>
    </row>
    <row r="142" ht="18" customHeight="1" s="96">
      <c r="A142" s="93" t="n">
        <v>140</v>
      </c>
      <c r="B142" s="8" t="n"/>
      <c r="C142" s="8" t="n"/>
      <c r="D142" s="8" t="n"/>
      <c r="E142" s="8" t="n"/>
      <c r="F142" s="9" t="n"/>
      <c r="G142" s="10" t="n"/>
      <c r="H142" s="10" t="n"/>
      <c r="I142" s="11" t="n"/>
      <c r="J142" s="8" t="n"/>
      <c r="K142" s="12" t="n"/>
    </row>
    <row r="143" ht="18" customHeight="1" s="96">
      <c r="A143" s="2" t="n">
        <v>141</v>
      </c>
      <c r="B143" s="3" t="n"/>
      <c r="C143" s="3" t="n"/>
      <c r="D143" s="3" t="n"/>
      <c r="E143" s="3" t="n"/>
      <c r="F143" s="4" t="n"/>
      <c r="G143" s="5" t="n"/>
      <c r="H143" s="5" t="n"/>
      <c r="I143" s="6" t="n"/>
      <c r="J143" s="3" t="n"/>
      <c r="K143" s="13" t="n"/>
    </row>
    <row r="144" ht="18" customHeight="1" s="96">
      <c r="A144" s="93" t="n">
        <v>142</v>
      </c>
      <c r="B144" s="8" t="n"/>
      <c r="C144" s="8" t="n"/>
      <c r="D144" s="8" t="n"/>
      <c r="E144" s="8" t="n"/>
      <c r="F144" s="9" t="n"/>
      <c r="G144" s="10" t="n"/>
      <c r="H144" s="10" t="n"/>
      <c r="I144" s="11" t="n"/>
      <c r="J144" s="8" t="n"/>
      <c r="K144" s="12" t="n"/>
    </row>
    <row r="145" ht="18" customHeight="1" s="96">
      <c r="A145" s="2" t="n">
        <v>143</v>
      </c>
      <c r="B145" s="3" t="n"/>
      <c r="C145" s="3" t="n"/>
      <c r="D145" s="3" t="n"/>
      <c r="E145" s="3" t="n"/>
      <c r="F145" s="4" t="n"/>
      <c r="G145" s="5" t="n"/>
      <c r="H145" s="5" t="n"/>
      <c r="I145" s="6" t="n"/>
      <c r="J145" s="3" t="n"/>
      <c r="K145" s="13" t="n"/>
    </row>
    <row r="146" ht="18" customHeight="1" s="96">
      <c r="A146" s="93" t="n">
        <v>144</v>
      </c>
      <c r="B146" s="8" t="n"/>
      <c r="C146" s="8" t="n"/>
      <c r="D146" s="8" t="n"/>
      <c r="E146" s="8" t="n"/>
      <c r="F146" s="9" t="n"/>
      <c r="G146" s="10" t="n"/>
      <c r="H146" s="10" t="n"/>
      <c r="I146" s="11" t="n"/>
      <c r="J146" s="8" t="n"/>
      <c r="K146" s="12" t="n"/>
    </row>
    <row r="147" ht="18" customHeight="1" s="96">
      <c r="A147" s="2" t="n">
        <v>145</v>
      </c>
      <c r="B147" s="3" t="n"/>
      <c r="C147" s="3" t="n"/>
      <c r="D147" s="3" t="n"/>
      <c r="E147" s="3" t="n"/>
      <c r="F147" s="4" t="n"/>
      <c r="G147" s="5" t="n"/>
      <c r="H147" s="5" t="n"/>
      <c r="I147" s="6" t="n"/>
      <c r="J147" s="3" t="n"/>
      <c r="K147" s="13" t="n"/>
    </row>
    <row r="148" ht="18" customHeight="1" s="96">
      <c r="A148" s="93" t="n">
        <v>146</v>
      </c>
      <c r="B148" s="8" t="n"/>
      <c r="C148" s="8" t="n"/>
      <c r="D148" s="8" t="n"/>
      <c r="E148" s="8" t="n"/>
      <c r="F148" s="9" t="n"/>
      <c r="G148" s="10" t="n"/>
      <c r="H148" s="10" t="n"/>
      <c r="I148" s="11" t="n"/>
      <c r="J148" s="8" t="n"/>
      <c r="K148" s="12" t="n"/>
    </row>
    <row r="149" ht="18" customHeight="1" s="96">
      <c r="A149" s="2" t="n">
        <v>147</v>
      </c>
      <c r="B149" s="3" t="n"/>
      <c r="C149" s="3" t="n"/>
      <c r="D149" s="3" t="n"/>
      <c r="E149" s="3" t="n"/>
      <c r="F149" s="4" t="n"/>
      <c r="G149" s="5" t="n"/>
      <c r="H149" s="5" t="n"/>
      <c r="I149" s="6" t="n"/>
      <c r="J149" s="3" t="n"/>
      <c r="K149" s="13" t="n"/>
    </row>
    <row r="150" ht="18" customHeight="1" s="96">
      <c r="A150" s="93" t="n">
        <v>148</v>
      </c>
      <c r="B150" s="8" t="n"/>
      <c r="C150" s="8" t="n"/>
      <c r="D150" s="8" t="n"/>
      <c r="E150" s="8" t="n"/>
      <c r="F150" s="9" t="n"/>
      <c r="G150" s="10" t="n"/>
      <c r="H150" s="10" t="n"/>
      <c r="I150" s="11" t="n"/>
      <c r="J150" s="8" t="n"/>
      <c r="K150" s="12" t="n"/>
    </row>
    <row r="151" ht="18" customHeight="1" s="96">
      <c r="A151" s="2" t="n">
        <v>149</v>
      </c>
      <c r="B151" s="3" t="n"/>
      <c r="C151" s="3" t="n"/>
      <c r="D151" s="3" t="n"/>
      <c r="E151" s="3" t="n"/>
      <c r="F151" s="4" t="n"/>
      <c r="G151" s="5" t="n"/>
      <c r="H151" s="5" t="n"/>
      <c r="I151" s="6" t="n"/>
      <c r="J151" s="3" t="n"/>
      <c r="K151" s="13" t="n"/>
    </row>
    <row r="152" ht="18" customHeight="1" s="96">
      <c r="A152" s="93" t="n">
        <v>150</v>
      </c>
      <c r="B152" s="8" t="n"/>
      <c r="C152" s="8" t="n"/>
      <c r="D152" s="8" t="n"/>
      <c r="E152" s="8" t="n"/>
      <c r="F152" s="9" t="n"/>
      <c r="G152" s="10" t="n"/>
      <c r="H152" s="10" t="n"/>
      <c r="I152" s="11" t="n"/>
      <c r="J152" s="8" t="n"/>
      <c r="K152" s="12" t="n"/>
    </row>
    <row r="153" ht="18" customHeight="1" s="96">
      <c r="A153" s="2" t="n">
        <v>151</v>
      </c>
      <c r="B153" s="3" t="n"/>
      <c r="C153" s="3" t="n"/>
      <c r="D153" s="3" t="n"/>
      <c r="E153" s="3" t="n"/>
      <c r="F153" s="4" t="n"/>
      <c r="G153" s="5" t="n"/>
      <c r="H153" s="5" t="n"/>
      <c r="I153" s="6" t="n"/>
      <c r="J153" s="3" t="n"/>
      <c r="K153" s="13" t="n"/>
    </row>
    <row r="154" ht="18" customHeight="1" s="96">
      <c r="A154" s="93" t="n">
        <v>152</v>
      </c>
      <c r="B154" s="8" t="n"/>
      <c r="C154" s="8" t="n"/>
      <c r="D154" s="8" t="n"/>
      <c r="E154" s="8" t="n"/>
      <c r="F154" s="9" t="n"/>
      <c r="G154" s="10" t="n"/>
      <c r="H154" s="10" t="n"/>
      <c r="I154" s="11" t="n"/>
      <c r="J154" s="8" t="n"/>
      <c r="K154" s="12" t="n"/>
    </row>
    <row r="155" ht="18" customHeight="1" s="96">
      <c r="A155" s="2" t="n">
        <v>153</v>
      </c>
      <c r="B155" s="3" t="n"/>
      <c r="C155" s="3" t="n"/>
      <c r="D155" s="3" t="n"/>
      <c r="E155" s="3" t="n"/>
      <c r="F155" s="4" t="n"/>
      <c r="G155" s="5" t="n"/>
      <c r="H155" s="5" t="n"/>
      <c r="I155" s="6" t="n"/>
      <c r="J155" s="3" t="n"/>
      <c r="K155" s="13" t="n"/>
    </row>
    <row r="156" ht="18" customHeight="1" s="96">
      <c r="A156" s="93" t="n">
        <v>154</v>
      </c>
      <c r="B156" s="8" t="n"/>
      <c r="C156" s="8" t="n"/>
      <c r="D156" s="8" t="n"/>
      <c r="E156" s="8" t="n"/>
      <c r="F156" s="9" t="n"/>
      <c r="G156" s="10" t="n"/>
      <c r="H156" s="10" t="n"/>
      <c r="I156" s="11" t="n"/>
      <c r="J156" s="8" t="n"/>
      <c r="K156" s="12" t="n"/>
    </row>
    <row r="157" ht="18" customHeight="1" s="96">
      <c r="A157" s="2" t="n">
        <v>155</v>
      </c>
      <c r="B157" s="3" t="n"/>
      <c r="C157" s="3" t="n"/>
      <c r="D157" s="3" t="n"/>
      <c r="E157" s="3" t="n"/>
      <c r="F157" s="4" t="n"/>
      <c r="G157" s="5" t="n"/>
      <c r="H157" s="5" t="n"/>
      <c r="I157" s="6" t="n"/>
      <c r="J157" s="3" t="n"/>
      <c r="K157" s="13" t="n"/>
    </row>
    <row r="158" ht="18" customHeight="1" s="96">
      <c r="A158" s="93" t="n">
        <v>156</v>
      </c>
      <c r="B158" s="8" t="n"/>
      <c r="C158" s="8" t="n"/>
      <c r="D158" s="8" t="n"/>
      <c r="E158" s="8" t="n"/>
      <c r="F158" s="9" t="n"/>
      <c r="G158" s="10" t="n"/>
      <c r="H158" s="10" t="n"/>
      <c r="I158" s="11" t="n"/>
      <c r="J158" s="8" t="n"/>
      <c r="K158" s="12" t="n"/>
    </row>
    <row r="159" ht="18" customHeight="1" s="96">
      <c r="A159" s="2" t="n">
        <v>157</v>
      </c>
      <c r="B159" s="3" t="n"/>
      <c r="C159" s="3" t="n"/>
      <c r="D159" s="3" t="n"/>
      <c r="E159" s="3" t="n"/>
      <c r="F159" s="4" t="n"/>
      <c r="G159" s="5" t="n"/>
      <c r="H159" s="5" t="n"/>
      <c r="I159" s="6" t="n"/>
      <c r="J159" s="3" t="n"/>
      <c r="K159" s="13" t="n"/>
    </row>
    <row r="160" ht="18" customHeight="1" s="96">
      <c r="A160" s="93" t="n">
        <v>158</v>
      </c>
      <c r="B160" s="8" t="n"/>
      <c r="C160" s="8" t="n"/>
      <c r="D160" s="8" t="n"/>
      <c r="E160" s="8" t="n"/>
      <c r="F160" s="9" t="n"/>
      <c r="G160" s="10" t="n"/>
      <c r="H160" s="10" t="n"/>
      <c r="I160" s="11" t="n"/>
      <c r="J160" s="8" t="n"/>
      <c r="K160" s="12" t="n"/>
    </row>
    <row r="161" ht="18" customHeight="1" s="96">
      <c r="A161" s="2" t="n">
        <v>159</v>
      </c>
      <c r="B161" s="3" t="n"/>
      <c r="C161" s="3" t="n"/>
      <c r="D161" s="3" t="n"/>
      <c r="E161" s="3" t="n"/>
      <c r="F161" s="4" t="n"/>
      <c r="G161" s="5" t="n"/>
      <c r="H161" s="5" t="n"/>
      <c r="I161" s="6" t="n"/>
      <c r="J161" s="3" t="n"/>
      <c r="K161" s="13" t="n"/>
    </row>
    <row r="162" ht="18" customHeight="1" s="96">
      <c r="A162" s="93" t="n">
        <v>160</v>
      </c>
      <c r="B162" s="8" t="n"/>
      <c r="C162" s="8" t="n"/>
      <c r="D162" s="8" t="n"/>
      <c r="E162" s="8" t="n"/>
      <c r="F162" s="9" t="n"/>
      <c r="G162" s="10" t="n"/>
      <c r="H162" s="10" t="n"/>
      <c r="I162" s="11" t="n"/>
      <c r="J162" s="8" t="n"/>
      <c r="K162" s="12" t="n"/>
    </row>
    <row r="163" ht="18" customHeight="1" s="96">
      <c r="A163" s="2" t="n">
        <v>161</v>
      </c>
      <c r="B163" s="3" t="n"/>
      <c r="C163" s="3" t="n"/>
      <c r="D163" s="3" t="n"/>
      <c r="E163" s="3" t="n"/>
      <c r="F163" s="4" t="n"/>
      <c r="G163" s="5" t="n"/>
      <c r="H163" s="5" t="n"/>
      <c r="I163" s="6" t="n"/>
      <c r="J163" s="3" t="n"/>
      <c r="K163" s="13" t="n"/>
    </row>
    <row r="164" ht="18" customHeight="1" s="96">
      <c r="A164" s="93" t="n">
        <v>162</v>
      </c>
      <c r="B164" s="8" t="n"/>
      <c r="C164" s="8" t="n"/>
      <c r="D164" s="8" t="n"/>
      <c r="E164" s="8" t="n"/>
      <c r="F164" s="9" t="n"/>
      <c r="G164" s="10" t="n"/>
      <c r="H164" s="10" t="n"/>
      <c r="I164" s="11" t="n"/>
      <c r="J164" s="8" t="n"/>
      <c r="K164" s="12" t="n"/>
    </row>
    <row r="165" ht="18" customHeight="1" s="96">
      <c r="A165" s="2" t="n">
        <v>163</v>
      </c>
      <c r="B165" s="3" t="n"/>
      <c r="C165" s="3" t="n"/>
      <c r="D165" s="3" t="n"/>
      <c r="E165" s="3" t="n"/>
      <c r="F165" s="4" t="n"/>
      <c r="G165" s="5" t="n"/>
      <c r="H165" s="5" t="n"/>
      <c r="I165" s="6" t="n"/>
      <c r="J165" s="3" t="n"/>
      <c r="K165" s="13" t="n"/>
    </row>
    <row r="166" ht="18" customHeight="1" s="96">
      <c r="A166" s="93" t="n">
        <v>164</v>
      </c>
      <c r="B166" s="8" t="n"/>
      <c r="C166" s="8" t="n"/>
      <c r="D166" s="8" t="n"/>
      <c r="E166" s="8" t="n"/>
      <c r="F166" s="9" t="n"/>
      <c r="G166" s="10" t="n"/>
      <c r="H166" s="10" t="n"/>
      <c r="I166" s="11" t="n"/>
      <c r="J166" s="8" t="n"/>
      <c r="K166" s="12" t="n"/>
    </row>
    <row r="167" ht="18" customHeight="1" s="96">
      <c r="A167" s="2" t="n">
        <v>165</v>
      </c>
      <c r="B167" s="3" t="n"/>
      <c r="C167" s="3" t="n"/>
      <c r="D167" s="3" t="n"/>
      <c r="E167" s="3" t="n"/>
      <c r="F167" s="4" t="n"/>
      <c r="G167" s="5" t="n"/>
      <c r="H167" s="5" t="n"/>
      <c r="I167" s="6" t="n"/>
      <c r="J167" s="3" t="n"/>
      <c r="K167" s="13" t="n"/>
    </row>
    <row r="168" ht="18" customHeight="1" s="96">
      <c r="A168" s="93" t="n">
        <v>166</v>
      </c>
      <c r="B168" s="8" t="n"/>
      <c r="C168" s="8" t="n"/>
      <c r="D168" s="8" t="n"/>
      <c r="E168" s="8" t="n"/>
      <c r="F168" s="9" t="n"/>
      <c r="G168" s="10" t="n"/>
      <c r="H168" s="10" t="n"/>
      <c r="I168" s="11" t="n"/>
      <c r="J168" s="8" t="n"/>
      <c r="K168" s="12" t="n"/>
    </row>
    <row r="169" ht="18" customHeight="1" s="96">
      <c r="A169" s="2" t="n">
        <v>167</v>
      </c>
      <c r="B169" s="3" t="n"/>
      <c r="C169" s="3" t="n"/>
      <c r="D169" s="3" t="n"/>
      <c r="E169" s="3" t="n"/>
      <c r="F169" s="4" t="n"/>
      <c r="G169" s="5" t="n"/>
      <c r="H169" s="5" t="n"/>
      <c r="I169" s="6" t="n"/>
      <c r="J169" s="3" t="n"/>
      <c r="K169" s="13" t="n"/>
    </row>
    <row r="170" ht="18" customHeight="1" s="96">
      <c r="A170" s="93" t="n">
        <v>168</v>
      </c>
      <c r="B170" s="8" t="n"/>
      <c r="C170" s="8" t="n"/>
      <c r="D170" s="8" t="n"/>
      <c r="E170" s="8" t="n"/>
      <c r="F170" s="9" t="n"/>
      <c r="G170" s="10" t="n"/>
      <c r="H170" s="10" t="n"/>
      <c r="I170" s="11" t="n"/>
      <c r="J170" s="8" t="n"/>
      <c r="K170" s="12" t="n"/>
    </row>
    <row r="171" ht="18" customHeight="1" s="96">
      <c r="A171" s="2" t="n">
        <v>169</v>
      </c>
      <c r="B171" s="3" t="n"/>
      <c r="C171" s="3" t="n"/>
      <c r="D171" s="3" t="n"/>
      <c r="E171" s="3" t="n"/>
      <c r="F171" s="4" t="n"/>
      <c r="G171" s="5" t="n"/>
      <c r="H171" s="5" t="n"/>
      <c r="I171" s="6" t="n"/>
      <c r="J171" s="3" t="n"/>
      <c r="K171" s="13" t="n"/>
    </row>
    <row r="172" ht="18" customHeight="1" s="96">
      <c r="A172" s="93" t="n">
        <v>170</v>
      </c>
      <c r="B172" s="8" t="n"/>
      <c r="C172" s="8" t="n"/>
      <c r="D172" s="8" t="n"/>
      <c r="E172" s="8" t="n"/>
      <c r="F172" s="9" t="n"/>
      <c r="G172" s="10" t="n"/>
      <c r="H172" s="10" t="n"/>
      <c r="I172" s="11" t="n"/>
      <c r="J172" s="8" t="n"/>
      <c r="K172" s="12" t="n"/>
    </row>
    <row r="173" ht="18" customHeight="1" s="96">
      <c r="A173" s="2" t="n">
        <v>171</v>
      </c>
      <c r="B173" s="3" t="n"/>
      <c r="C173" s="3" t="n"/>
      <c r="D173" s="3" t="n"/>
      <c r="E173" s="3" t="n"/>
      <c r="F173" s="4" t="n"/>
      <c r="G173" s="5" t="n"/>
      <c r="H173" s="5" t="n"/>
      <c r="I173" s="6" t="n"/>
      <c r="J173" s="3" t="n"/>
      <c r="K173" s="13" t="n"/>
    </row>
    <row r="174" ht="18" customHeight="1" s="96">
      <c r="A174" s="93" t="n">
        <v>172</v>
      </c>
      <c r="B174" s="8" t="n"/>
      <c r="C174" s="8" t="n"/>
      <c r="D174" s="8" t="n"/>
      <c r="E174" s="8" t="n"/>
      <c r="F174" s="9" t="n"/>
      <c r="G174" s="10" t="n"/>
      <c r="H174" s="10" t="n"/>
      <c r="I174" s="11" t="n"/>
      <c r="J174" s="8" t="n"/>
      <c r="K174" s="12" t="n"/>
    </row>
    <row r="175" ht="18" customHeight="1" s="96">
      <c r="A175" s="2" t="n">
        <v>173</v>
      </c>
      <c r="B175" s="3" t="n"/>
      <c r="C175" s="3" t="n"/>
      <c r="D175" s="3" t="n"/>
      <c r="E175" s="3" t="n"/>
      <c r="F175" s="4" t="n"/>
      <c r="G175" s="5" t="n"/>
      <c r="H175" s="5" t="n"/>
      <c r="I175" s="6" t="n"/>
      <c r="J175" s="3" t="n"/>
      <c r="K175" s="13" t="n"/>
    </row>
    <row r="176" ht="18" customHeight="1" s="96">
      <c r="A176" s="93" t="n">
        <v>174</v>
      </c>
      <c r="B176" s="8" t="n"/>
      <c r="C176" s="8" t="n"/>
      <c r="D176" s="8" t="n"/>
      <c r="E176" s="8" t="n"/>
      <c r="F176" s="9" t="n"/>
      <c r="G176" s="10" t="n"/>
      <c r="H176" s="10" t="n"/>
      <c r="I176" s="11" t="n"/>
      <c r="J176" s="8" t="n"/>
      <c r="K176" s="12" t="n"/>
    </row>
    <row r="177" ht="18" customHeight="1" s="96">
      <c r="A177" s="2" t="n">
        <v>175</v>
      </c>
      <c r="B177" s="3" t="n"/>
      <c r="C177" s="3" t="n"/>
      <c r="D177" s="3" t="n"/>
      <c r="E177" s="3" t="n"/>
      <c r="F177" s="4" t="n"/>
      <c r="G177" s="5" t="n"/>
      <c r="H177" s="5" t="n"/>
      <c r="I177" s="6" t="n"/>
      <c r="J177" s="3" t="n"/>
      <c r="K177" s="13" t="n"/>
    </row>
    <row r="178" ht="18" customHeight="1" s="96">
      <c r="A178" s="93" t="n">
        <v>176</v>
      </c>
      <c r="B178" s="8" t="n"/>
      <c r="C178" s="8" t="n"/>
      <c r="D178" s="8" t="n"/>
      <c r="E178" s="8" t="n"/>
      <c r="F178" s="9" t="n"/>
      <c r="G178" s="10" t="n"/>
      <c r="H178" s="10" t="n"/>
      <c r="I178" s="11" t="n"/>
      <c r="J178" s="8" t="n"/>
      <c r="K178" s="12" t="n"/>
    </row>
    <row r="179" ht="18" customHeight="1" s="96">
      <c r="A179" s="2" t="n">
        <v>177</v>
      </c>
      <c r="B179" s="3" t="n"/>
      <c r="C179" s="3" t="n"/>
      <c r="D179" s="3" t="n"/>
      <c r="E179" s="3" t="n"/>
      <c r="F179" s="4" t="n"/>
      <c r="G179" s="5" t="n"/>
      <c r="H179" s="5" t="n"/>
      <c r="I179" s="6" t="n"/>
      <c r="J179" s="3" t="n"/>
      <c r="K179" s="13" t="n"/>
    </row>
    <row r="180" ht="18" customHeight="1" s="96">
      <c r="A180" s="93" t="n">
        <v>178</v>
      </c>
      <c r="B180" s="8" t="n"/>
      <c r="C180" s="8" t="n"/>
      <c r="D180" s="8" t="n"/>
      <c r="E180" s="8" t="n"/>
      <c r="F180" s="9" t="n"/>
      <c r="G180" s="10" t="n"/>
      <c r="H180" s="10" t="n"/>
      <c r="I180" s="11" t="n"/>
      <c r="J180" s="8" t="n"/>
      <c r="K180" s="12" t="n"/>
    </row>
    <row r="181" ht="18" customHeight="1" s="96">
      <c r="A181" s="2" t="n">
        <v>179</v>
      </c>
      <c r="B181" s="3" t="n"/>
      <c r="C181" s="3" t="n"/>
      <c r="D181" s="3" t="n"/>
      <c r="E181" s="3" t="n"/>
      <c r="F181" s="4" t="n"/>
      <c r="G181" s="5" t="n"/>
      <c r="H181" s="5" t="n"/>
      <c r="I181" s="6" t="n"/>
      <c r="J181" s="3" t="n"/>
      <c r="K181" s="13" t="n"/>
    </row>
    <row r="182" ht="18" customHeight="1" s="96">
      <c r="A182" s="93" t="n">
        <v>180</v>
      </c>
      <c r="B182" s="8" t="n"/>
      <c r="C182" s="8" t="n"/>
      <c r="D182" s="8" t="n"/>
      <c r="E182" s="8" t="n"/>
      <c r="F182" s="9" t="n"/>
      <c r="G182" s="10" t="n"/>
      <c r="H182" s="10" t="n"/>
      <c r="I182" s="11" t="n"/>
      <c r="J182" s="8" t="n"/>
      <c r="K182" s="12" t="n"/>
    </row>
    <row r="183" ht="18" customHeight="1" s="96">
      <c r="A183" s="2" t="n">
        <v>181</v>
      </c>
      <c r="B183" s="3" t="n"/>
      <c r="C183" s="3" t="n"/>
      <c r="D183" s="3" t="n"/>
      <c r="E183" s="3" t="n"/>
      <c r="F183" s="4" t="n"/>
      <c r="G183" s="5" t="n"/>
      <c r="H183" s="5" t="n"/>
      <c r="I183" s="6" t="n"/>
      <c r="J183" s="3" t="n"/>
      <c r="K183" s="13" t="n"/>
    </row>
    <row r="184" ht="18" customHeight="1" s="96">
      <c r="A184" s="93" t="n">
        <v>182</v>
      </c>
      <c r="B184" s="8" t="n"/>
      <c r="C184" s="8" t="n"/>
      <c r="D184" s="8" t="n"/>
      <c r="E184" s="8" t="n"/>
      <c r="F184" s="9" t="n"/>
      <c r="G184" s="10" t="n"/>
      <c r="H184" s="10" t="n"/>
      <c r="I184" s="11" t="n"/>
      <c r="J184" s="8" t="n"/>
      <c r="K184" s="12" t="n"/>
    </row>
    <row r="185" ht="18" customHeight="1" s="96">
      <c r="A185" s="2" t="n">
        <v>183</v>
      </c>
      <c r="B185" s="3" t="n"/>
      <c r="C185" s="3" t="n"/>
      <c r="D185" s="3" t="n"/>
      <c r="E185" s="3" t="n"/>
      <c r="F185" s="4" t="n"/>
      <c r="G185" s="5" t="n"/>
      <c r="H185" s="5" t="n"/>
      <c r="I185" s="6" t="n"/>
      <c r="J185" s="3" t="n"/>
      <c r="K185" s="13" t="n"/>
    </row>
    <row r="186" ht="18" customHeight="1" s="96">
      <c r="A186" s="93" t="n">
        <v>184</v>
      </c>
      <c r="B186" s="8" t="n"/>
      <c r="C186" s="8" t="n"/>
      <c r="D186" s="8" t="n"/>
      <c r="E186" s="8" t="n"/>
      <c r="F186" s="9" t="n"/>
      <c r="G186" s="10" t="n"/>
      <c r="H186" s="10" t="n"/>
      <c r="I186" s="11" t="n"/>
      <c r="J186" s="8" t="n"/>
      <c r="K186" s="12" t="n"/>
    </row>
    <row r="187" ht="18" customHeight="1" s="96">
      <c r="A187" s="2" t="n">
        <v>185</v>
      </c>
      <c r="B187" s="3" t="n"/>
      <c r="C187" s="3" t="n"/>
      <c r="D187" s="3" t="n"/>
      <c r="E187" s="3" t="n"/>
      <c r="F187" s="4" t="n"/>
      <c r="G187" s="5" t="n"/>
      <c r="H187" s="5" t="n"/>
      <c r="I187" s="6" t="n"/>
      <c r="J187" s="3" t="n"/>
      <c r="K187" s="13" t="n"/>
    </row>
    <row r="188" ht="18" customHeight="1" s="96">
      <c r="A188" s="93" t="n">
        <v>186</v>
      </c>
      <c r="B188" s="8" t="n"/>
      <c r="C188" s="8" t="n"/>
      <c r="D188" s="8" t="n"/>
      <c r="E188" s="8" t="n"/>
      <c r="F188" s="9" t="n"/>
      <c r="G188" s="10" t="n"/>
      <c r="H188" s="10" t="n"/>
      <c r="I188" s="11" t="n"/>
      <c r="J188" s="8" t="n"/>
      <c r="K188" s="12" t="n"/>
    </row>
    <row r="189" ht="18" customHeight="1" s="96">
      <c r="A189" s="2" t="n">
        <v>187</v>
      </c>
      <c r="B189" s="3" t="n"/>
      <c r="C189" s="3" t="n"/>
      <c r="D189" s="3" t="n"/>
      <c r="E189" s="3" t="n"/>
      <c r="F189" s="4" t="n"/>
      <c r="G189" s="5" t="n"/>
      <c r="H189" s="5" t="n"/>
      <c r="I189" s="6" t="n"/>
      <c r="J189" s="3" t="n"/>
      <c r="K189" s="13" t="n"/>
    </row>
    <row r="190" ht="18" customHeight="1" s="96">
      <c r="A190" s="93" t="n">
        <v>188</v>
      </c>
      <c r="B190" s="8" t="n"/>
      <c r="C190" s="8" t="n"/>
      <c r="D190" s="8" t="n"/>
      <c r="E190" s="8" t="n"/>
      <c r="F190" s="9" t="n"/>
      <c r="G190" s="10" t="n"/>
      <c r="H190" s="10" t="n"/>
      <c r="I190" s="11" t="n"/>
      <c r="J190" s="8" t="n"/>
      <c r="K190" s="12" t="n"/>
    </row>
    <row r="191" ht="18" customHeight="1" s="96">
      <c r="A191" s="2" t="n">
        <v>189</v>
      </c>
      <c r="B191" s="3" t="n"/>
      <c r="C191" s="3" t="n"/>
      <c r="D191" s="3" t="n"/>
      <c r="E191" s="3" t="n"/>
      <c r="F191" s="4" t="n"/>
      <c r="G191" s="5" t="n"/>
      <c r="H191" s="5" t="n"/>
      <c r="I191" s="6" t="n"/>
      <c r="J191" s="3" t="n"/>
      <c r="K191" s="13" t="n"/>
    </row>
    <row r="192" ht="18" customHeight="1" s="96">
      <c r="A192" s="93" t="n">
        <v>190</v>
      </c>
      <c r="B192" s="8" t="n"/>
      <c r="C192" s="8" t="n"/>
      <c r="D192" s="8" t="n"/>
      <c r="E192" s="8" t="n"/>
      <c r="F192" s="9" t="n"/>
      <c r="G192" s="10" t="n"/>
      <c r="H192" s="10" t="n"/>
      <c r="I192" s="11" t="n"/>
      <c r="J192" s="8" t="n"/>
      <c r="K192" s="12" t="n"/>
    </row>
    <row r="193" ht="18" customHeight="1" s="96">
      <c r="A193" s="2" t="n">
        <v>191</v>
      </c>
      <c r="B193" s="3" t="n"/>
      <c r="C193" s="3" t="n"/>
      <c r="D193" s="3" t="n"/>
      <c r="E193" s="3" t="n"/>
      <c r="F193" s="4" t="n"/>
      <c r="G193" s="5" t="n"/>
      <c r="H193" s="5" t="n"/>
      <c r="I193" s="6" t="n"/>
      <c r="J193" s="3" t="n"/>
      <c r="K193" s="13" t="n"/>
    </row>
    <row r="194" ht="18" customHeight="1" s="96">
      <c r="A194" s="93" t="n">
        <v>192</v>
      </c>
      <c r="B194" s="8" t="n"/>
      <c r="C194" s="8" t="n"/>
      <c r="D194" s="8" t="n"/>
      <c r="E194" s="8" t="n"/>
      <c r="F194" s="9" t="n"/>
      <c r="G194" s="10" t="n"/>
      <c r="H194" s="10" t="n"/>
      <c r="I194" s="11" t="n"/>
      <c r="J194" s="8" t="n"/>
      <c r="K194" s="12" t="n"/>
    </row>
    <row r="195" ht="18" customHeight="1" s="96">
      <c r="A195" s="2" t="n">
        <v>193</v>
      </c>
      <c r="B195" s="3" t="n"/>
      <c r="C195" s="3" t="n"/>
      <c r="D195" s="3" t="n"/>
      <c r="E195" s="3" t="n"/>
      <c r="F195" s="4" t="n"/>
      <c r="G195" s="5" t="n"/>
      <c r="H195" s="5" t="n"/>
      <c r="I195" s="6" t="n"/>
      <c r="J195" s="3" t="n"/>
      <c r="K195" s="13" t="n"/>
    </row>
    <row r="196" ht="18" customHeight="1" s="96">
      <c r="A196" s="93" t="n">
        <v>194</v>
      </c>
      <c r="B196" s="8" t="n"/>
      <c r="C196" s="8" t="n"/>
      <c r="D196" s="8" t="n"/>
      <c r="E196" s="8" t="n"/>
      <c r="F196" s="9" t="n"/>
      <c r="G196" s="10" t="n"/>
      <c r="H196" s="10" t="n"/>
      <c r="I196" s="11" t="n"/>
      <c r="J196" s="8" t="n"/>
      <c r="K196" s="12" t="n"/>
    </row>
    <row r="197" ht="18" customHeight="1" s="96">
      <c r="A197" s="2" t="n">
        <v>195</v>
      </c>
      <c r="B197" s="3" t="n"/>
      <c r="C197" s="3" t="n"/>
      <c r="D197" s="3" t="n"/>
      <c r="E197" s="3" t="n"/>
      <c r="F197" s="4" t="n"/>
      <c r="G197" s="5" t="n"/>
      <c r="H197" s="5" t="n"/>
      <c r="I197" s="6" t="n"/>
      <c r="J197" s="3" t="n"/>
      <c r="K197" s="13" t="n"/>
    </row>
    <row r="198" ht="18" customHeight="1" s="96">
      <c r="A198" s="93" t="n">
        <v>196</v>
      </c>
      <c r="B198" s="8" t="n"/>
      <c r="C198" s="8" t="n"/>
      <c r="D198" s="8" t="n"/>
      <c r="E198" s="8" t="n"/>
      <c r="F198" s="9" t="n"/>
      <c r="G198" s="10" t="n"/>
      <c r="H198" s="10" t="n"/>
      <c r="I198" s="11" t="n"/>
      <c r="J198" s="8" t="n"/>
      <c r="K198" s="12" t="n"/>
    </row>
    <row r="199" ht="18" customHeight="1" s="96">
      <c r="A199" s="2" t="n">
        <v>197</v>
      </c>
      <c r="B199" s="3" t="n"/>
      <c r="C199" s="3" t="n"/>
      <c r="D199" s="3" t="n"/>
      <c r="E199" s="3" t="n"/>
      <c r="F199" s="4" t="n"/>
      <c r="G199" s="5" t="n"/>
      <c r="H199" s="5" t="n"/>
      <c r="I199" s="6" t="n"/>
      <c r="J199" s="3" t="n"/>
      <c r="K199" s="13" t="n"/>
    </row>
    <row r="200" ht="18" customHeight="1" s="96">
      <c r="A200" s="93" t="n">
        <v>198</v>
      </c>
      <c r="B200" s="8" t="n"/>
      <c r="C200" s="8" t="n"/>
      <c r="D200" s="8" t="n"/>
      <c r="E200" s="8" t="n"/>
      <c r="F200" s="9" t="n"/>
      <c r="G200" s="10" t="n"/>
      <c r="H200" s="10" t="n"/>
      <c r="I200" s="11" t="n"/>
      <c r="J200" s="8" t="n"/>
      <c r="K200" s="12" t="n"/>
    </row>
    <row r="201" ht="18" customHeight="1" s="96">
      <c r="A201" s="2" t="n">
        <v>199</v>
      </c>
      <c r="B201" s="3" t="n"/>
      <c r="C201" s="3" t="n"/>
      <c r="D201" s="3" t="n"/>
      <c r="E201" s="3" t="n"/>
      <c r="F201" s="4" t="n"/>
      <c r="G201" s="5" t="n"/>
      <c r="H201" s="5" t="n"/>
      <c r="I201" s="6" t="n"/>
      <c r="J201" s="3" t="n"/>
      <c r="K201" s="13" t="n"/>
    </row>
    <row r="202" ht="18" customHeight="1" s="96">
      <c r="A202" s="93" t="n">
        <v>200</v>
      </c>
      <c r="B202" s="8" t="n"/>
      <c r="C202" s="8" t="n"/>
      <c r="D202" s="8" t="n"/>
      <c r="E202" s="8" t="n"/>
      <c r="F202" s="9" t="n"/>
      <c r="G202" s="10" t="n"/>
      <c r="H202" s="10" t="n"/>
      <c r="I202" s="11" t="n"/>
      <c r="J202" s="8" t="n"/>
      <c r="K202" s="12" t="n"/>
    </row>
    <row r="203" ht="24" customHeight="1" s="96">
      <c r="A203" s="14" t="inlineStr">
        <is>
          <t>TOTALS</t>
        </is>
      </c>
      <c r="B203" s="15" t="inlineStr">
        <is>
          <t># DEALS:</t>
        </is>
      </c>
      <c r="C203" s="16">
        <f>COUNTA(C3:C202)</f>
        <v/>
      </c>
      <c r="D203" s="17" t="n"/>
      <c r="E203" s="17" t="n"/>
      <c r="F203" s="18">
        <f>SUM(F3:F202)</f>
        <v/>
      </c>
      <c r="G203" s="19">
        <f>SUM(G3:G202)</f>
        <v/>
      </c>
      <c r="H203" s="19">
        <f>SUM(H3:H202)</f>
        <v/>
      </c>
      <c r="I203" s="17" t="n"/>
      <c r="J203" s="17" t="n"/>
      <c r="K203" s="17" t="n"/>
    </row>
  </sheetData>
  <mergeCells count="2">
    <mergeCell ref="A2:K2"/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3"/>
  <sheetViews>
    <sheetView showGridLines="0" zoomScaleNormal="100" workbookViewId="0">
      <pane ySplit="3" topLeftCell="A8" activePane="bottomLeft" state="frozen"/>
      <selection pane="bottomLeft" activeCell="D18" sqref="D18"/>
    </sheetView>
  </sheetViews>
  <sheetFormatPr baseColWidth="8" defaultColWidth="8.7421875" defaultRowHeight="15" customHeight="1"/>
  <cols>
    <col width="4.9765625" customWidth="1" style="96" min="1" max="1"/>
    <col width="18.0234375" customWidth="1" style="96" min="2" max="3"/>
    <col width="27.98046875" customWidth="1" style="96" min="4" max="4"/>
    <col width="22.05859375" customWidth="1" style="96" min="5" max="5"/>
    <col width="13.98828125" customWidth="1" style="96" min="6" max="6"/>
    <col width="20.04296875" customWidth="1" style="96" min="7" max="7"/>
    <col width="16.0078125" customWidth="1" style="96" min="8" max="9"/>
    <col width="13.98828125" customWidth="1" style="96" min="10" max="10"/>
    <col width="13.046875" customWidth="1" style="96" min="11" max="13"/>
    <col width="16.0078125" customWidth="1" style="96" min="14" max="14"/>
    <col width="34.97265625" customWidth="1" style="96" min="15" max="16"/>
    <col width="22.05859375" customWidth="1" style="96" min="18" max="18"/>
    <col width="11.97265625" customWidth="1" style="96" min="19" max="19"/>
    <col hidden="1" width="13" customWidth="1" style="96" min="20" max="20"/>
  </cols>
  <sheetData>
    <row r="1" ht="30" customHeight="1" s="96">
      <c r="A1" s="105" t="inlineStr">
        <is>
          <t>SALES CONVERSION — Person A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6" t="n"/>
      <c r="L1" s="106" t="n"/>
      <c r="M1" s="106" t="n"/>
      <c r="N1" s="106" t="n"/>
      <c r="O1" s="106" t="n"/>
      <c r="P1" s="106" t="n"/>
      <c r="Q1" s="106" t="n"/>
      <c r="R1" s="54" t="inlineStr">
        <is>
          <t>Stage</t>
        </is>
      </c>
      <c r="S1" s="54" t="inlineStr">
        <is>
          <t>Prob %</t>
        </is>
      </c>
    </row>
    <row r="2" ht="18" customHeight="1" s="96">
      <c r="A2" s="107" t="inlineStr">
        <is>
          <t>ℹ  Rows are unlimited. Add as many opportunities as needed. Totals row auto-updates.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06" t="n"/>
      <c r="M2" s="106" t="n"/>
      <c r="N2" s="106" t="n"/>
      <c r="O2" s="106" t="n"/>
      <c r="P2" s="106" t="n"/>
      <c r="Q2" s="106" t="n"/>
      <c r="R2" s="55" t="inlineStr">
        <is>
          <t>Closed Lost</t>
        </is>
      </c>
      <c r="S2" s="56" t="n">
        <v>0</v>
      </c>
    </row>
    <row r="3" ht="54.6" customHeight="1" s="96">
      <c r="A3" s="57" t="n">
        <v>1</v>
      </c>
      <c r="B3" s="58" t="inlineStr">
        <is>
          <t>Industry Segment</t>
        </is>
      </c>
      <c r="C3" s="58" t="inlineStr">
        <is>
          <t>Coverage</t>
        </is>
      </c>
      <c r="D3" s="58" t="inlineStr">
        <is>
          <t>ACCOUNT NAME</t>
        </is>
      </c>
      <c r="E3" s="58" t="inlineStr">
        <is>
          <t>OPPORTUNITY TYPE</t>
        </is>
      </c>
      <c r="F3" s="59" t="inlineStr">
        <is>
          <t>AREA (IN SQM)</t>
        </is>
      </c>
      <c r="G3" s="60" t="inlineStr">
        <is>
          <t>OPPORTUNITY STAGE</t>
        </is>
      </c>
      <c r="H3" s="61" t="inlineStr">
        <is>
          <t>TCV (VAT EX)</t>
        </is>
      </c>
      <c r="I3" s="61" t="inlineStr">
        <is>
          <t>GP (VAT EX)</t>
        </is>
      </c>
      <c r="J3" s="62" t="inlineStr">
        <is>
          <t>CLOSING DATE</t>
        </is>
      </c>
      <c r="K3" s="63" t="inlineStr">
        <is>
          <t>PROBABILITY
(Auto)</t>
        </is>
      </c>
      <c r="L3" s="63" t="inlineStr">
        <is>
          <t>Project Start Date</t>
        </is>
      </c>
      <c r="M3" s="63" t="inlineStr">
        <is>
          <t>Project Completion</t>
        </is>
      </c>
      <c r="N3" s="62" t="inlineStr">
        <is>
          <t>BOM SUBMISSION</t>
        </is>
      </c>
      <c r="O3" s="58" t="inlineStr">
        <is>
          <t>REMARKS TO BE UPDATED BY SALES WEEKLY as of April 8, 2026</t>
        </is>
      </c>
      <c r="P3" s="58" t="inlineStr">
        <is>
          <t>REMARKS TO BE UPDATED BY COMMERCIAL</t>
        </is>
      </c>
      <c r="Q3" s="106" t="n"/>
      <c r="R3" s="55" t="inlineStr">
        <is>
          <t>Opportunity Creation</t>
        </is>
      </c>
      <c r="S3" s="56" t="n">
        <v>0.1</v>
      </c>
      <c r="T3" s="192" t="inlineStr">
        <is>
          <t>Eligible TCV (helper)</t>
        </is>
      </c>
    </row>
    <row r="4" ht="69.75" customHeight="1" s="96">
      <c r="A4" s="64" t="n">
        <v>2</v>
      </c>
      <c r="B4" s="65" t="inlineStr">
        <is>
          <t>BPO Third Party</t>
        </is>
      </c>
      <c r="C4" s="65" t="inlineStr">
        <is>
          <t>Madine Sta. Cruz</t>
        </is>
      </c>
      <c r="D4" s="65" t="inlineStr">
        <is>
          <t>Fresenius Medical Care</t>
        </is>
      </c>
      <c r="E4" s="65" t="inlineStr">
        <is>
          <t>Renovation of office in Wfifth</t>
        </is>
      </c>
      <c r="F4" s="66" t="n"/>
      <c r="G4" s="65" t="inlineStr">
        <is>
          <t>Negotiation</t>
        </is>
      </c>
      <c r="H4" s="66" t="n">
        <v>3745564.05</v>
      </c>
      <c r="I4" s="66">
        <f>H4*20%</f>
        <v/>
      </c>
      <c r="J4" s="67" t="n">
        <v>46127</v>
      </c>
      <c r="K4" s="68">
        <f>IFERROR(VLOOKUP(G4,Stage_Lookup!$A$2:$B$8,2,0),"")</f>
        <v/>
      </c>
      <c r="L4" s="69" t="n"/>
      <c r="M4" s="69" t="n"/>
      <c r="N4" s="67" t="n">
        <v>46091</v>
      </c>
      <c r="O4" s="65" t="inlineStr">
        <is>
          <t>Awarding by next week</t>
        </is>
      </c>
      <c r="P4" s="65" t="n"/>
      <c r="Q4" s="106" t="n"/>
      <c r="R4" s="55" t="inlineStr">
        <is>
          <t>Scoping</t>
        </is>
      </c>
      <c r="S4" s="56" t="n">
        <v>0.3</v>
      </c>
      <c r="T4">
        <f>IF(OR(G4="Closed Lost",G4="",NOT(ISNUMBER(H4))),"",H4)</f>
        <v/>
      </c>
    </row>
    <row r="5" ht="69.75" customHeight="1" s="96">
      <c r="A5" s="57" t="n">
        <v>3</v>
      </c>
      <c r="B5" s="70" t="inlineStr">
        <is>
          <t>Captive Shared Services</t>
        </is>
      </c>
      <c r="C5" s="70" t="inlineStr">
        <is>
          <t>Madine Sta. Cruz/ House Account</t>
        </is>
      </c>
      <c r="D5" s="70" t="inlineStr">
        <is>
          <t>KPMG (KDN) - 4 Neo BGC</t>
        </is>
      </c>
      <c r="E5" s="70" t="inlineStr">
        <is>
          <t xml:space="preserve">Design and Build Project </t>
        </is>
      </c>
      <c r="F5" s="71" t="n">
        <v>2500</v>
      </c>
      <c r="G5" s="70" t="inlineStr">
        <is>
          <t>BOM Submission</t>
        </is>
      </c>
      <c r="H5" s="71" t="n">
        <v>105000000</v>
      </c>
      <c r="I5" s="71">
        <f>H5*18%</f>
        <v/>
      </c>
      <c r="J5" s="72" t="n">
        <v>46137</v>
      </c>
      <c r="K5" s="73">
        <f>IFERROR(VLOOKUP(G5,Stage_Lookup!$A$2:$B$8,2,0),"")</f>
        <v/>
      </c>
      <c r="L5" s="69" t="n"/>
      <c r="M5" s="69" t="n"/>
      <c r="N5" s="72" t="n"/>
      <c r="O5" s="70" t="inlineStr">
        <is>
          <t>For resubmssion after signing of NTP</t>
        </is>
      </c>
      <c r="P5" s="70" t="n"/>
      <c r="Q5" s="106" t="n"/>
      <c r="R5" s="55" t="inlineStr">
        <is>
          <t>BOM Submission</t>
        </is>
      </c>
      <c r="S5" s="56" t="n">
        <v>0.5</v>
      </c>
      <c r="T5">
        <f>IF(OR(G5="Closed Lost",G5="",NOT(ISNUMBER(H5))),"",H5)</f>
        <v/>
      </c>
    </row>
    <row r="6" ht="69.75" customHeight="1" s="96">
      <c r="A6" s="64" t="n">
        <v>4</v>
      </c>
      <c r="B6" s="65" t="inlineStr">
        <is>
          <t>Captive Shared Services</t>
        </is>
      </c>
      <c r="C6" s="65" t="inlineStr">
        <is>
          <t>Madine Sta Cruz/House Account</t>
        </is>
      </c>
      <c r="D6" s="65" t="inlineStr">
        <is>
          <t>BSMH</t>
        </is>
      </c>
      <c r="E6" s="65" t="inlineStr">
        <is>
          <t>New Floor (6th and 7th Floor)</t>
        </is>
      </c>
      <c r="F6" s="66" t="n">
        <v>4500</v>
      </c>
      <c r="G6" s="65" t="inlineStr">
        <is>
          <t>BOM Submission</t>
        </is>
      </c>
      <c r="H6" s="66">
        <f>75000*4400</f>
        <v/>
      </c>
      <c r="I6" s="66" t="n">
        <v>52800000</v>
      </c>
      <c r="J6" s="67" t="n">
        <v>46127</v>
      </c>
      <c r="K6" s="68">
        <f>IFERROR(VLOOKUP(G6,Stage_Lookup!$A$2:$B$8,2,0),"")</f>
        <v/>
      </c>
      <c r="L6" s="69" t="n"/>
      <c r="M6" s="69" t="n"/>
      <c r="N6" s="67" t="n"/>
      <c r="O6" s="65" t="n"/>
      <c r="P6" s="65" t="n"/>
      <c r="Q6" s="106" t="n"/>
      <c r="R6" s="55" t="inlineStr">
        <is>
          <t>Resubmission</t>
        </is>
      </c>
      <c r="S6" s="56" t="n">
        <v>0.7</v>
      </c>
      <c r="T6">
        <f>IF(OR(G6="Closed Lost",G6="",NOT(ISNUMBER(H6))),"",H6)</f>
        <v/>
      </c>
    </row>
    <row r="7" ht="69.75" customHeight="1" s="96">
      <c r="A7" s="57" t="n">
        <v>5</v>
      </c>
      <c r="B7" s="70" t="inlineStr">
        <is>
          <t>Enterprise</t>
        </is>
      </c>
      <c r="C7" s="70" t="inlineStr">
        <is>
          <t>Madine Sta. Cruz/ House Account</t>
        </is>
      </c>
      <c r="D7" s="70" t="inlineStr">
        <is>
          <t>PWC</t>
        </is>
      </c>
      <c r="E7" s="70" t="inlineStr">
        <is>
          <t>Renovation works Bulid</t>
        </is>
      </c>
      <c r="F7" s="71" t="n"/>
      <c r="G7" s="70" t="inlineStr">
        <is>
          <t>BOM Submission</t>
        </is>
      </c>
      <c r="H7" s="71" t="n">
        <v>57507.55</v>
      </c>
      <c r="I7" s="71" t="n">
        <v>9000</v>
      </c>
      <c r="J7" s="72" t="n">
        <v>46127</v>
      </c>
      <c r="K7" s="73">
        <f>IFERROR(VLOOKUP(G7,Stage_Lookup!$A$2:$B$8,2,0),"")</f>
        <v/>
      </c>
      <c r="L7" s="69" t="n"/>
      <c r="M7" s="69" t="n"/>
      <c r="N7" s="72" t="n">
        <v>46094</v>
      </c>
      <c r="O7" s="70" t="inlineStr">
        <is>
          <t>For follow up on the awarding</t>
        </is>
      </c>
      <c r="P7" s="70" t="n"/>
      <c r="Q7" s="106" t="n"/>
      <c r="R7" s="55" t="inlineStr">
        <is>
          <t>Negotiation</t>
        </is>
      </c>
      <c r="S7" s="56" t="n">
        <v>0.9</v>
      </c>
      <c r="T7">
        <f>IF(OR(G7="Closed Lost",G7="",NOT(ISNUMBER(H7))),"",H7)</f>
        <v/>
      </c>
    </row>
    <row r="8" ht="69.75" customHeight="1" s="96">
      <c r="A8" s="64" t="n">
        <v>6</v>
      </c>
      <c r="B8" s="65" t="inlineStr">
        <is>
          <t>Enterprise</t>
        </is>
      </c>
      <c r="C8" s="65" t="inlineStr">
        <is>
          <t>Madine Sta. Cruz</t>
        </is>
      </c>
      <c r="D8" s="65" t="inlineStr">
        <is>
          <t>The Moment Group</t>
        </is>
      </c>
      <c r="E8" s="65" t="inlineStr">
        <is>
          <t>Project Management</t>
        </is>
      </c>
      <c r="F8" s="66" t="n"/>
      <c r="G8" s="65" t="inlineStr">
        <is>
          <t>BOM Submission</t>
        </is>
      </c>
      <c r="H8" s="66" t="n">
        <v>2600000</v>
      </c>
      <c r="I8" s="66" t="n">
        <v>1300000</v>
      </c>
      <c r="J8" s="67" t="n">
        <v>46122</v>
      </c>
      <c r="K8" s="68">
        <f>IFERROR(VLOOKUP(G8,Stage_Lookup!$A$2:$B$8,2,0),"")</f>
        <v/>
      </c>
      <c r="L8" s="69" t="n"/>
      <c r="M8" s="69" t="n"/>
      <c r="N8" s="67" t="n">
        <v>46107</v>
      </c>
      <c r="O8" s="70" t="inlineStr">
        <is>
          <t>For follow up on the awarding</t>
        </is>
      </c>
      <c r="P8" s="65" t="n"/>
      <c r="Q8" s="106" t="n"/>
      <c r="R8" s="55" t="inlineStr">
        <is>
          <t>Closed Won</t>
        </is>
      </c>
      <c r="S8" s="56" t="n">
        <v>1</v>
      </c>
      <c r="T8">
        <f>IF(OR(G8="Closed Lost",G8="",NOT(ISNUMBER(H8))),"",H8)</f>
        <v/>
      </c>
    </row>
    <row r="9" ht="69.75" customHeight="1" s="96">
      <c r="A9" s="57" t="n">
        <v>7</v>
      </c>
      <c r="B9" s="70" t="inlineStr">
        <is>
          <t>Enterprise</t>
        </is>
      </c>
      <c r="C9" s="70" t="inlineStr">
        <is>
          <t>Madine Sta. Cruz</t>
        </is>
      </c>
      <c r="D9" s="70" t="inlineStr">
        <is>
          <t>Aivee Group</t>
        </is>
      </c>
      <c r="E9" s="70" t="inlineStr">
        <is>
          <t>Alabang Commerce Center</t>
        </is>
      </c>
      <c r="F9" s="71" t="inlineStr">
        <is>
          <t>300 sqm</t>
        </is>
      </c>
      <c r="G9" s="70" t="inlineStr">
        <is>
          <t>BOM Submission</t>
        </is>
      </c>
      <c r="H9" s="71" t="n">
        <v>9000000</v>
      </c>
      <c r="I9" s="71" t="n">
        <v>1800000</v>
      </c>
      <c r="J9" s="72" t="n"/>
      <c r="K9" s="73">
        <f>IFERROR(VLOOKUP(G9,Stage_Lookup!$A$2:$B$8,2,0),"")</f>
        <v/>
      </c>
      <c r="L9" s="69" t="n"/>
      <c r="M9" s="69" t="n"/>
      <c r="N9" s="72" t="n"/>
      <c r="O9" s="70" t="inlineStr">
        <is>
          <t>On hold</t>
        </is>
      </c>
      <c r="P9" s="70" t="n"/>
      <c r="Q9" s="106" t="n"/>
      <c r="R9" s="106" t="n"/>
      <c r="S9" s="106" t="n"/>
      <c r="T9">
        <f>IF(OR(G9="Closed Lost",G9="",NOT(ISNUMBER(H9))),"",H9)</f>
        <v/>
      </c>
    </row>
    <row r="10" ht="69.75" customHeight="1" s="96">
      <c r="A10" s="64" t="n">
        <v>8</v>
      </c>
      <c r="B10" s="65" t="inlineStr">
        <is>
          <t>Enterprise</t>
        </is>
      </c>
      <c r="C10" s="65" t="inlineStr">
        <is>
          <t>Madine Sta. Cruz</t>
        </is>
      </c>
      <c r="D10" s="65" t="inlineStr">
        <is>
          <t>Aivee Group</t>
        </is>
      </c>
      <c r="E10" s="65" t="inlineStr">
        <is>
          <t>Forbestowne Clinic</t>
        </is>
      </c>
      <c r="F10" s="66" t="inlineStr">
        <is>
          <t>60.31sqm</t>
        </is>
      </c>
      <c r="G10" s="65" t="inlineStr">
        <is>
          <t>Negotiation</t>
        </is>
      </c>
      <c r="H10" s="66" t="n">
        <v>8842687.310000001</v>
      </c>
      <c r="I10" s="66" t="n">
        <v>2033818.0813</v>
      </c>
      <c r="J10" s="67" t="n">
        <v>46127</v>
      </c>
      <c r="K10" s="68">
        <f>IFERROR(VLOOKUP(G10,Stage_Lookup!$A$2:$B$8,2,0),"")</f>
        <v/>
      </c>
      <c r="L10" s="69" t="n"/>
      <c r="M10" s="69" t="n"/>
      <c r="N10" s="72" t="n">
        <v>46094</v>
      </c>
      <c r="O10" s="65" t="inlineStr">
        <is>
          <t>Waiting for negotiation date</t>
        </is>
      </c>
      <c r="P10" s="65" t="n"/>
      <c r="Q10" s="106" t="n"/>
      <c r="R10" s="106" t="n"/>
      <c r="S10" s="106" t="n"/>
      <c r="T10">
        <f>IF(OR(G10="Closed Lost",G10="",NOT(ISNUMBER(H10))),"",H10)</f>
        <v/>
      </c>
    </row>
    <row r="11" ht="69.75" customHeight="1" s="96">
      <c r="A11" s="57" t="n">
        <v>9</v>
      </c>
      <c r="B11" s="70" t="inlineStr">
        <is>
          <t>Enterprise</t>
        </is>
      </c>
      <c r="C11" s="70" t="inlineStr">
        <is>
          <t>Madine Sta Cruz/House Account</t>
        </is>
      </c>
      <c r="D11" s="70" t="inlineStr">
        <is>
          <t>Monolith Construction</t>
        </is>
      </c>
      <c r="E11" s="70" t="inlineStr">
        <is>
          <t>NAI T4 Renovation</t>
        </is>
      </c>
      <c r="F11" s="71" t="n">
        <v>12671.19</v>
      </c>
      <c r="G11" s="70" t="inlineStr">
        <is>
          <t>Resubmission</t>
        </is>
      </c>
      <c r="H11" s="71" t="n">
        <v>314380049.96</v>
      </c>
      <c r="I11" s="71" t="n">
        <v>56588408.9928</v>
      </c>
      <c r="J11" s="72" t="n">
        <v>46127</v>
      </c>
      <c r="K11" s="73">
        <f>IFERROR(VLOOKUP(G11,Stage_Lookup!$A$2:$B$8,2,0),"")</f>
        <v/>
      </c>
      <c r="L11" s="69" t="n"/>
      <c r="M11" s="69" t="n"/>
      <c r="N11" s="72" t="n">
        <v>46109</v>
      </c>
      <c r="O11" s="70" t="inlineStr">
        <is>
          <t>For another resubmission of proposal as of 04.10.26</t>
        </is>
      </c>
      <c r="P11" s="70" t="n"/>
      <c r="Q11" s="106" t="n"/>
      <c r="R11" s="106" t="n"/>
      <c r="S11" s="106" t="n"/>
      <c r="T11">
        <f>IF(OR(G11="Closed Lost",G11="",NOT(ISNUMBER(H11))),"",H11)</f>
        <v/>
      </c>
    </row>
    <row r="12" ht="18" customHeight="1" s="96">
      <c r="A12" s="64" t="n">
        <v>10</v>
      </c>
      <c r="B12" s="65" t="inlineStr">
        <is>
          <t>Enterprise</t>
        </is>
      </c>
      <c r="C12" s="65" t="inlineStr">
        <is>
          <t>Madine Sta Cruz/House Account</t>
        </is>
      </c>
      <c r="D12" s="65" t="inlineStr">
        <is>
          <t>Full Potential Solutions (FPS)</t>
        </is>
      </c>
      <c r="E12" s="65" t="inlineStr">
        <is>
          <t xml:space="preserve">Design and Build Project </t>
        </is>
      </c>
      <c r="F12" s="66" t="n">
        <v>1718</v>
      </c>
      <c r="G12" s="65" t="inlineStr">
        <is>
          <t>Resubmission</t>
        </is>
      </c>
      <c r="H12" s="66" t="n">
        <v>90152154.54000001</v>
      </c>
      <c r="I12" s="66">
        <f>H12*23%</f>
        <v/>
      </c>
      <c r="J12" s="67" t="n">
        <v>46134</v>
      </c>
      <c r="K12" s="68">
        <f>IFERROR(VLOOKUP(G12,Stage_Lookup!$A$2:$B$8,2,0),"")</f>
        <v/>
      </c>
      <c r="L12" s="69" t="n"/>
      <c r="M12" s="69" t="n"/>
      <c r="N12" s="67" t="n"/>
      <c r="O12" s="65" t="n"/>
      <c r="P12" s="65" t="n"/>
      <c r="Q12" s="106" t="n"/>
      <c r="R12" s="106" t="n"/>
      <c r="S12" s="106" t="n"/>
      <c r="T12">
        <f>IF(OR(G12="Closed Lost",G12="",NOT(ISNUMBER(H12))),"",H12)</f>
        <v/>
      </c>
    </row>
    <row r="13" ht="18" customHeight="1" s="96">
      <c r="A13" s="57" t="n">
        <v>11</v>
      </c>
      <c r="B13" s="70" t="inlineStr">
        <is>
          <t>Captive Shared Services</t>
        </is>
      </c>
      <c r="C13" s="70" t="inlineStr">
        <is>
          <t>Madine Sta. Cruz/ House Account</t>
        </is>
      </c>
      <c r="D13" s="70" t="inlineStr">
        <is>
          <t>KPMG (KDN) - 4 Neo BGC</t>
        </is>
      </c>
      <c r="E13" s="70" t="inlineStr">
        <is>
          <t>AV and Tech</t>
        </is>
      </c>
      <c r="F13" s="71" t="n"/>
      <c r="G13" s="70" t="inlineStr">
        <is>
          <t>BOM Submission</t>
        </is>
      </c>
      <c r="H13" s="71">
        <f>35758968.4+27521045.26</f>
        <v/>
      </c>
      <c r="I13" s="71">
        <f>H13*20%</f>
        <v/>
      </c>
      <c r="J13" s="72" t="n">
        <v>46137</v>
      </c>
      <c r="K13" s="73">
        <f>IFERROR(VLOOKUP(G13,Stage_Lookup!$A$2:$B$8,2,0),"")</f>
        <v/>
      </c>
      <c r="L13" s="69" t="n"/>
      <c r="M13" s="69" t="n"/>
      <c r="N13" s="72" t="n"/>
      <c r="O13" s="70" t="n"/>
      <c r="P13" s="70" t="n"/>
      <c r="Q13" s="106" t="n"/>
      <c r="R13" s="106" t="n"/>
      <c r="S13" s="106" t="n"/>
      <c r="T13">
        <f>IF(OR(G13="Closed Lost",G13="",NOT(ISNUMBER(H13))),"",H13)</f>
        <v/>
      </c>
    </row>
    <row r="14" ht="18" customHeight="1" s="96">
      <c r="A14" s="64" t="n">
        <v>12</v>
      </c>
      <c r="B14" s="65" t="inlineStr">
        <is>
          <t>Enterprise</t>
        </is>
      </c>
      <c r="C14" s="65" t="inlineStr">
        <is>
          <t>Madine Sta. Cruz</t>
        </is>
      </c>
      <c r="D14" s="65" t="inlineStr">
        <is>
          <t>President's Hill</t>
        </is>
      </c>
      <c r="E14" s="65" t="inlineStr">
        <is>
          <t>AUX</t>
        </is>
      </c>
      <c r="F14" s="66" t="n">
        <v>13700</v>
      </c>
      <c r="G14" s="65" t="inlineStr">
        <is>
          <t>BOM Submission</t>
        </is>
      </c>
      <c r="H14" s="66" t="n">
        <v>46136881.85</v>
      </c>
      <c r="I14" s="66">
        <f>H14*21%</f>
        <v/>
      </c>
      <c r="J14" s="67" t="n">
        <v>46235</v>
      </c>
      <c r="K14" s="68">
        <f>IFERROR(VLOOKUP(G14,Stage_Lookup!$A$2:$B$8,2,0),"")</f>
        <v/>
      </c>
      <c r="L14" s="69" t="n"/>
      <c r="M14" s="69" t="n"/>
      <c r="N14" s="67" t="n"/>
      <c r="O14" s="65" t="n"/>
      <c r="P14" s="65" t="n"/>
      <c r="Q14" s="106" t="n"/>
      <c r="R14" s="106" t="n"/>
      <c r="S14" s="106" t="n"/>
      <c r="T14">
        <f>IF(OR(G14="Closed Lost",G14="",NOT(ISNUMBER(H14))),"",H14)</f>
        <v/>
      </c>
    </row>
    <row r="15" ht="18" customHeight="1" s="96">
      <c r="A15" s="57" t="n">
        <v>13</v>
      </c>
      <c r="B15" s="70" t="inlineStr">
        <is>
          <t>Enterprise</t>
        </is>
      </c>
      <c r="C15" s="70" t="inlineStr">
        <is>
          <t>Madine Sta Cruz/House Account</t>
        </is>
      </c>
      <c r="D15" s="70" t="inlineStr">
        <is>
          <t>ClickSpace</t>
        </is>
      </c>
      <c r="E15" s="70" t="inlineStr">
        <is>
          <t xml:space="preserve">Design and Build Project </t>
        </is>
      </c>
      <c r="F15" s="71" t="n">
        <v>850</v>
      </c>
      <c r="G15" s="70" t="inlineStr">
        <is>
          <t>Scoping</t>
        </is>
      </c>
      <c r="H15" s="71" t="n"/>
      <c r="I15" s="71" t="n"/>
      <c r="J15" s="72" t="n">
        <v>46172</v>
      </c>
      <c r="K15" s="73">
        <f>IFERROR(VLOOKUP(G15,Stage_Lookup!$A$2:$B$8,2,0),"")</f>
        <v/>
      </c>
      <c r="L15" s="69" t="n"/>
      <c r="M15" s="69" t="n"/>
      <c r="N15" s="72" t="n"/>
      <c r="O15" s="70" t="n"/>
      <c r="P15" s="70" t="n"/>
      <c r="Q15" s="106" t="n"/>
      <c r="R15" s="106" t="n"/>
      <c r="S15" s="106" t="n"/>
      <c r="T15">
        <f>IF(OR(G15="Closed Lost",G15="",NOT(ISNUMBER(H15))),"",H15)</f>
        <v/>
      </c>
    </row>
    <row r="16" ht="18" customHeight="1" s="96">
      <c r="A16" s="64" t="n">
        <v>14</v>
      </c>
      <c r="B16" s="65" t="inlineStr">
        <is>
          <t>Enterprise</t>
        </is>
      </c>
      <c r="C16" s="65" t="inlineStr">
        <is>
          <t>Madine Sta. Cruz</t>
        </is>
      </c>
      <c r="D16" s="65" t="inlineStr">
        <is>
          <t>Skyline</t>
        </is>
      </c>
      <c r="E16" s="65" t="inlineStr">
        <is>
          <t>FDAS</t>
        </is>
      </c>
      <c r="F16" s="66" t="n"/>
      <c r="G16" s="65" t="inlineStr">
        <is>
          <t>Scoping</t>
        </is>
      </c>
      <c r="H16" s="66" t="n"/>
      <c r="I16" s="66" t="n"/>
      <c r="J16" s="67" t="n">
        <v>46146</v>
      </c>
      <c r="K16" s="68">
        <f>IFERROR(VLOOKUP(G16,Stage_Lookup!$A$2:$B$8,2,0),"")</f>
        <v/>
      </c>
      <c r="L16" s="69" t="n"/>
      <c r="M16" s="69" t="n"/>
      <c r="N16" s="67" t="n"/>
      <c r="O16" s="65" t="n"/>
      <c r="P16" s="65" t="n"/>
      <c r="Q16" s="106" t="n"/>
      <c r="R16" s="106" t="n"/>
      <c r="S16" s="106" t="n"/>
      <c r="T16">
        <f>IF(OR(G16="Closed Lost",G16="",NOT(ISNUMBER(H16))),"",H16)</f>
        <v/>
      </c>
    </row>
    <row r="17" ht="18" customHeight="1" s="96">
      <c r="A17" s="57" t="n">
        <v>15</v>
      </c>
      <c r="B17" s="70" t="n"/>
      <c r="C17" s="70" t="n"/>
      <c r="D17" s="70" t="n"/>
      <c r="E17" s="70" t="n"/>
      <c r="F17" s="71" t="n"/>
      <c r="G17" s="70" t="n"/>
      <c r="H17" s="71" t="n"/>
      <c r="I17" s="71" t="n"/>
      <c r="J17" s="72" t="n"/>
      <c r="K17" s="73">
        <f>IFERROR(VLOOKUP(G17,Stage_Lookup!$A$2:$B$8,2,0),"")</f>
        <v/>
      </c>
      <c r="L17" s="69" t="n"/>
      <c r="M17" s="69" t="n"/>
      <c r="N17" s="72" t="n"/>
      <c r="O17" s="70" t="n"/>
      <c r="P17" s="70" t="n"/>
      <c r="Q17" s="106" t="n"/>
      <c r="R17" s="106" t="n"/>
      <c r="S17" s="106" t="n"/>
      <c r="T17">
        <f>IF(OR(G17="Closed Lost",G17="",NOT(ISNUMBER(H17))),"",H17)</f>
        <v/>
      </c>
    </row>
    <row r="18" ht="18" customHeight="1" s="96">
      <c r="A18" s="64" t="n">
        <v>16</v>
      </c>
      <c r="B18" s="65" t="n"/>
      <c r="C18" s="65" t="n"/>
      <c r="D18" s="65" t="n"/>
      <c r="E18" s="65" t="n"/>
      <c r="F18" s="66" t="n"/>
      <c r="G18" s="65" t="n"/>
      <c r="H18" s="66" t="n"/>
      <c r="I18" s="66" t="n"/>
      <c r="J18" s="67" t="n"/>
      <c r="K18" s="68">
        <f>IFERROR(VLOOKUP(G18,Stage_Lookup!$A$2:$B$8,2,0),"")</f>
        <v/>
      </c>
      <c r="L18" s="69" t="n"/>
      <c r="M18" s="69" t="n"/>
      <c r="N18" s="67" t="n"/>
      <c r="O18" s="65" t="n"/>
      <c r="P18" s="65" t="n"/>
      <c r="Q18" s="106" t="n"/>
      <c r="R18" s="106" t="n"/>
      <c r="S18" s="106" t="n"/>
      <c r="T18">
        <f>IF(OR(G18="Closed Lost",G18="",NOT(ISNUMBER(H18))),"",H18)</f>
        <v/>
      </c>
    </row>
    <row r="19" ht="18" customHeight="1" s="96">
      <c r="A19" s="57" t="n">
        <v>17</v>
      </c>
      <c r="B19" s="70" t="n"/>
      <c r="C19" s="70" t="n"/>
      <c r="D19" s="70" t="n"/>
      <c r="E19" s="70" t="n"/>
      <c r="F19" s="71" t="n"/>
      <c r="G19" s="70" t="n"/>
      <c r="H19" s="71" t="n"/>
      <c r="I19" s="71" t="n"/>
      <c r="J19" s="72" t="n"/>
      <c r="K19" s="73">
        <f>IFERROR(VLOOKUP(G19,Stage_Lookup!$A$2:$B$8,2,0),"")</f>
        <v/>
      </c>
      <c r="L19" s="69" t="n"/>
      <c r="M19" s="69" t="n"/>
      <c r="N19" s="72" t="n"/>
      <c r="O19" s="70" t="n"/>
      <c r="P19" s="70" t="n"/>
      <c r="Q19" s="106" t="n"/>
      <c r="R19" s="106" t="n"/>
      <c r="S19" s="106" t="n"/>
      <c r="T19">
        <f>IF(OR(G19="Closed Lost",G19="",NOT(ISNUMBER(H19))),"",H19)</f>
        <v/>
      </c>
    </row>
    <row r="20" ht="18" customHeight="1" s="96">
      <c r="A20" s="64" t="n">
        <v>18</v>
      </c>
      <c r="B20" s="65" t="n"/>
      <c r="C20" s="65" t="n"/>
      <c r="D20" s="65" t="n"/>
      <c r="E20" s="65" t="n"/>
      <c r="F20" s="66" t="n"/>
      <c r="G20" s="65" t="n"/>
      <c r="H20" s="66" t="n"/>
      <c r="I20" s="66" t="n"/>
      <c r="J20" s="67" t="n"/>
      <c r="K20" s="68">
        <f>IFERROR(VLOOKUP(G20,Stage_Lookup!$A$2:$B$8,2,0),"")</f>
        <v/>
      </c>
      <c r="L20" s="69" t="n"/>
      <c r="M20" s="69" t="n"/>
      <c r="N20" s="67" t="n"/>
      <c r="O20" s="65" t="n"/>
      <c r="P20" s="65" t="n"/>
      <c r="Q20" s="106" t="n"/>
      <c r="R20" s="106" t="n"/>
      <c r="S20" s="106" t="n"/>
      <c r="T20">
        <f>IF(OR(G20="Closed Lost",G20="",NOT(ISNUMBER(H20))),"",H20)</f>
        <v/>
      </c>
    </row>
    <row r="21" ht="18" customHeight="1" s="96">
      <c r="A21" s="57" t="n">
        <v>19</v>
      </c>
      <c r="B21" s="70" t="n"/>
      <c r="C21" s="70" t="n"/>
      <c r="D21" s="70" t="n"/>
      <c r="E21" s="70" t="n"/>
      <c r="F21" s="71" t="n"/>
      <c r="G21" s="70" t="n"/>
      <c r="H21" s="71" t="n"/>
      <c r="I21" s="71" t="n"/>
      <c r="J21" s="72" t="n"/>
      <c r="K21" s="73">
        <f>IFERROR(VLOOKUP(G21,Stage_Lookup!$A$2:$B$8,2,0),"")</f>
        <v/>
      </c>
      <c r="L21" s="69" t="n"/>
      <c r="M21" s="69" t="n"/>
      <c r="N21" s="72" t="n"/>
      <c r="O21" s="70" t="n"/>
      <c r="P21" s="70" t="n"/>
      <c r="Q21" s="106" t="n"/>
      <c r="R21" s="106" t="n"/>
      <c r="S21" s="106" t="n"/>
      <c r="T21">
        <f>IF(OR(G21="Closed Lost",G21="",NOT(ISNUMBER(H21))),"",H21)</f>
        <v/>
      </c>
    </row>
    <row r="22" ht="18" customHeight="1" s="96">
      <c r="A22" s="64" t="n">
        <v>20</v>
      </c>
      <c r="B22" s="65" t="n"/>
      <c r="C22" s="65" t="n"/>
      <c r="D22" s="65" t="n"/>
      <c r="E22" s="65" t="n"/>
      <c r="F22" s="66" t="n"/>
      <c r="G22" s="65" t="n"/>
      <c r="H22" s="66" t="n"/>
      <c r="I22" s="66" t="n"/>
      <c r="J22" s="67" t="n"/>
      <c r="K22" s="68">
        <f>IFERROR(VLOOKUP(G22,Stage_Lookup!$A$2:$B$8,2,0),"")</f>
        <v/>
      </c>
      <c r="L22" s="69" t="n"/>
      <c r="M22" s="69" t="n"/>
      <c r="N22" s="67" t="n"/>
      <c r="O22" s="65" t="n"/>
      <c r="P22" s="65" t="n"/>
      <c r="Q22" s="106" t="n"/>
      <c r="R22" s="106" t="n"/>
      <c r="S22" s="106" t="n"/>
      <c r="T22">
        <f>IF(OR(G22="Closed Lost",G22="",NOT(ISNUMBER(H22))),"",H22)</f>
        <v/>
      </c>
    </row>
    <row r="23" ht="18" customHeight="1" s="96">
      <c r="A23" s="57" t="n">
        <v>21</v>
      </c>
      <c r="B23" s="70" t="n"/>
      <c r="C23" s="70" t="n"/>
      <c r="D23" s="70" t="n"/>
      <c r="E23" s="70" t="n"/>
      <c r="F23" s="71" t="n"/>
      <c r="G23" s="70" t="n"/>
      <c r="H23" s="71" t="n"/>
      <c r="I23" s="71" t="n"/>
      <c r="J23" s="72" t="n"/>
      <c r="K23" s="73">
        <f>IFERROR(VLOOKUP(G23,Stage_Lookup!$A$2:$B$8,2,0),"")</f>
        <v/>
      </c>
      <c r="L23" s="69" t="n"/>
      <c r="M23" s="69" t="n"/>
      <c r="N23" s="72" t="n"/>
      <c r="O23" s="70" t="n"/>
      <c r="P23" s="70" t="n"/>
      <c r="Q23" s="106" t="n"/>
      <c r="R23" s="106" t="n"/>
      <c r="S23" s="106" t="n"/>
      <c r="T23">
        <f>IF(OR(G23="Closed Lost",G23="",NOT(ISNUMBER(H23))),"",H23)</f>
        <v/>
      </c>
    </row>
    <row r="24" ht="18" customHeight="1" s="96">
      <c r="A24" s="64" t="n">
        <v>22</v>
      </c>
      <c r="B24" s="65" t="n"/>
      <c r="C24" s="65" t="n"/>
      <c r="D24" s="65" t="n"/>
      <c r="E24" s="65" t="n"/>
      <c r="F24" s="66" t="n"/>
      <c r="G24" s="65" t="n"/>
      <c r="H24" s="66" t="n"/>
      <c r="I24" s="66" t="n"/>
      <c r="J24" s="67" t="n"/>
      <c r="K24" s="68">
        <f>IFERROR(VLOOKUP(G24,Stage_Lookup!$A$2:$B$8,2,0),"")</f>
        <v/>
      </c>
      <c r="L24" s="69" t="n"/>
      <c r="M24" s="69" t="n"/>
      <c r="N24" s="67" t="n"/>
      <c r="O24" s="65" t="n"/>
      <c r="P24" s="65" t="n"/>
      <c r="Q24" s="106" t="n"/>
      <c r="R24" s="106" t="n"/>
      <c r="S24" s="106" t="n"/>
      <c r="T24">
        <f>IF(OR(G24="Closed Lost",G24="",NOT(ISNUMBER(H24))),"",H24)</f>
        <v/>
      </c>
    </row>
    <row r="25" ht="18" customHeight="1" s="96">
      <c r="A25" s="57" t="n">
        <v>23</v>
      </c>
      <c r="B25" s="70" t="n"/>
      <c r="C25" s="70" t="n"/>
      <c r="D25" s="70" t="n"/>
      <c r="E25" s="70" t="n"/>
      <c r="F25" s="71" t="n"/>
      <c r="G25" s="70" t="n"/>
      <c r="H25" s="71" t="n"/>
      <c r="I25" s="71" t="n"/>
      <c r="J25" s="72" t="n"/>
      <c r="K25" s="73">
        <f>IFERROR(VLOOKUP(G25,Stage_Lookup!$A$2:$B$8,2,0),"")</f>
        <v/>
      </c>
      <c r="L25" s="69" t="n"/>
      <c r="M25" s="69" t="n"/>
      <c r="N25" s="72" t="n"/>
      <c r="O25" s="70" t="n"/>
      <c r="P25" s="70" t="n"/>
      <c r="Q25" s="106" t="n"/>
      <c r="R25" s="106" t="n"/>
      <c r="S25" s="106" t="n"/>
      <c r="T25">
        <f>IF(OR(G25="Closed Lost",G25="",NOT(ISNUMBER(H25))),"",H25)</f>
        <v/>
      </c>
    </row>
    <row r="26" ht="18" customHeight="1" s="96">
      <c r="A26" s="64" t="n">
        <v>24</v>
      </c>
      <c r="B26" s="65" t="n"/>
      <c r="C26" s="65" t="n"/>
      <c r="D26" s="65" t="n"/>
      <c r="E26" s="65" t="n"/>
      <c r="F26" s="66" t="n"/>
      <c r="G26" s="65" t="n"/>
      <c r="H26" s="66" t="n"/>
      <c r="I26" s="66" t="n"/>
      <c r="J26" s="67" t="n"/>
      <c r="K26" s="68">
        <f>IFERROR(VLOOKUP(G26,Stage_Lookup!$A$2:$B$8,2,0),"")</f>
        <v/>
      </c>
      <c r="L26" s="69" t="n"/>
      <c r="M26" s="69" t="n"/>
      <c r="N26" s="67" t="n"/>
      <c r="O26" s="65" t="n"/>
      <c r="P26" s="65" t="n"/>
      <c r="Q26" s="106" t="n"/>
      <c r="R26" s="106" t="n"/>
      <c r="S26" s="106" t="n"/>
      <c r="T26">
        <f>IF(OR(G26="Closed Lost",G26="",NOT(ISNUMBER(H26))),"",H26)</f>
        <v/>
      </c>
    </row>
    <row r="27" ht="18" customHeight="1" s="96">
      <c r="A27" s="57" t="n">
        <v>25</v>
      </c>
      <c r="B27" s="70" t="n"/>
      <c r="C27" s="70" t="n"/>
      <c r="D27" s="70" t="n"/>
      <c r="E27" s="70" t="n"/>
      <c r="F27" s="71" t="n"/>
      <c r="G27" s="70" t="n"/>
      <c r="H27" s="71" t="n"/>
      <c r="I27" s="71" t="n"/>
      <c r="J27" s="72" t="n"/>
      <c r="K27" s="73">
        <f>IFERROR(VLOOKUP(G27,Stage_Lookup!$A$2:$B$8,2,0),"")</f>
        <v/>
      </c>
      <c r="L27" s="69" t="n"/>
      <c r="M27" s="69" t="n"/>
      <c r="N27" s="72" t="n"/>
      <c r="O27" s="70" t="n"/>
      <c r="P27" s="70" t="n"/>
      <c r="Q27" s="106" t="n"/>
      <c r="R27" s="106" t="n"/>
      <c r="S27" s="106" t="n"/>
      <c r="T27">
        <f>IF(OR(G27="Closed Lost",G27="",NOT(ISNUMBER(H27))),"",H27)</f>
        <v/>
      </c>
    </row>
    <row r="28" ht="18" customHeight="1" s="96">
      <c r="A28" s="64" t="n">
        <v>26</v>
      </c>
      <c r="B28" s="65" t="n"/>
      <c r="C28" s="65" t="n"/>
      <c r="D28" s="65" t="n"/>
      <c r="E28" s="65" t="n"/>
      <c r="F28" s="66" t="n"/>
      <c r="G28" s="65" t="n"/>
      <c r="H28" s="66" t="n"/>
      <c r="I28" s="66" t="n"/>
      <c r="J28" s="67" t="n"/>
      <c r="K28" s="68">
        <f>IFERROR(VLOOKUP(G28,Stage_Lookup!$A$2:$B$8,2,0),"")</f>
        <v/>
      </c>
      <c r="L28" s="69" t="n"/>
      <c r="M28" s="69" t="n"/>
      <c r="N28" s="67" t="n"/>
      <c r="O28" s="65" t="n"/>
      <c r="P28" s="65" t="n"/>
      <c r="Q28" s="106" t="n"/>
      <c r="R28" s="106" t="n"/>
      <c r="S28" s="106" t="n"/>
      <c r="T28">
        <f>IF(OR(G28="Closed Lost",G28="",NOT(ISNUMBER(H28))),"",H28)</f>
        <v/>
      </c>
    </row>
    <row r="29" ht="18" customHeight="1" s="96">
      <c r="A29" s="57" t="n">
        <v>27</v>
      </c>
      <c r="B29" s="70" t="n"/>
      <c r="C29" s="70" t="n"/>
      <c r="D29" s="70" t="n"/>
      <c r="E29" s="70" t="n"/>
      <c r="F29" s="71" t="n"/>
      <c r="G29" s="70" t="n"/>
      <c r="H29" s="71" t="n"/>
      <c r="I29" s="71" t="n"/>
      <c r="J29" s="72" t="n"/>
      <c r="K29" s="73">
        <f>IFERROR(VLOOKUP(G29,Stage_Lookup!$A$2:$B$8,2,0),"")</f>
        <v/>
      </c>
      <c r="L29" s="69" t="n"/>
      <c r="M29" s="69" t="n"/>
      <c r="N29" s="72" t="n"/>
      <c r="O29" s="70" t="n"/>
      <c r="P29" s="70" t="n"/>
      <c r="Q29" s="106" t="n"/>
      <c r="R29" s="106" t="n"/>
      <c r="S29" s="106" t="n"/>
      <c r="T29">
        <f>IF(OR(G29="Closed Lost",G29="",NOT(ISNUMBER(H29))),"",H29)</f>
        <v/>
      </c>
    </row>
    <row r="30" ht="18" customHeight="1" s="96">
      <c r="A30" s="64" t="n">
        <v>28</v>
      </c>
      <c r="B30" s="65" t="n"/>
      <c r="C30" s="65" t="n"/>
      <c r="D30" s="65" t="n"/>
      <c r="E30" s="65" t="n"/>
      <c r="F30" s="66" t="n"/>
      <c r="G30" s="65" t="n"/>
      <c r="H30" s="66" t="n"/>
      <c r="I30" s="66" t="n"/>
      <c r="J30" s="67" t="n"/>
      <c r="K30" s="68">
        <f>IFERROR(VLOOKUP(G30,Stage_Lookup!$A$2:$B$8,2,0),"")</f>
        <v/>
      </c>
      <c r="L30" s="69" t="n"/>
      <c r="M30" s="69" t="n"/>
      <c r="N30" s="67" t="n"/>
      <c r="O30" s="65" t="n"/>
      <c r="P30" s="65" t="n"/>
      <c r="Q30" s="106" t="n"/>
      <c r="R30" s="106" t="n"/>
      <c r="S30" s="106" t="n"/>
      <c r="T30">
        <f>IF(OR(G30="Closed Lost",G30="",NOT(ISNUMBER(H30))),"",H30)</f>
        <v/>
      </c>
    </row>
    <row r="31" ht="18" customHeight="1" s="96">
      <c r="A31" s="57" t="n">
        <v>29</v>
      </c>
      <c r="B31" s="70" t="n"/>
      <c r="C31" s="70" t="n"/>
      <c r="D31" s="70" t="n"/>
      <c r="E31" s="70" t="n"/>
      <c r="F31" s="71" t="n"/>
      <c r="G31" s="70" t="n"/>
      <c r="H31" s="71" t="n"/>
      <c r="I31" s="71" t="n"/>
      <c r="J31" s="72" t="n"/>
      <c r="K31" s="73">
        <f>IFERROR(VLOOKUP(G31,Stage_Lookup!$A$2:$B$8,2,0),"")</f>
        <v/>
      </c>
      <c r="L31" s="69" t="n"/>
      <c r="M31" s="69" t="n"/>
      <c r="N31" s="72" t="n"/>
      <c r="O31" s="70" t="n"/>
      <c r="P31" s="70" t="n"/>
      <c r="Q31" s="106" t="n"/>
      <c r="R31" s="106" t="n"/>
      <c r="S31" s="106" t="n"/>
      <c r="T31">
        <f>IF(OR(G31="Closed Lost",G31="",NOT(ISNUMBER(H31))),"",H31)</f>
        <v/>
      </c>
    </row>
    <row r="32" ht="18" customHeight="1" s="96">
      <c r="A32" s="64" t="n">
        <v>30</v>
      </c>
      <c r="B32" s="65" t="n"/>
      <c r="C32" s="65" t="n"/>
      <c r="D32" s="65" t="n"/>
      <c r="E32" s="65" t="n"/>
      <c r="F32" s="66" t="n"/>
      <c r="G32" s="65" t="n"/>
      <c r="H32" s="66" t="n"/>
      <c r="I32" s="66" t="n"/>
      <c r="J32" s="67" t="n"/>
      <c r="K32" s="68">
        <f>IFERROR(VLOOKUP(G32,Stage_Lookup!$A$2:$B$8,2,0),"")</f>
        <v/>
      </c>
      <c r="L32" s="69" t="n"/>
      <c r="M32" s="69" t="n"/>
      <c r="N32" s="67" t="n"/>
      <c r="O32" s="65" t="n"/>
      <c r="P32" s="65" t="n"/>
      <c r="Q32" s="106" t="n"/>
      <c r="R32" s="106" t="n"/>
      <c r="S32" s="106" t="n"/>
      <c r="T32">
        <f>IF(OR(G32="Closed Lost",G32="",NOT(ISNUMBER(H32))),"",H32)</f>
        <v/>
      </c>
    </row>
    <row r="33" ht="18" customHeight="1" s="96">
      <c r="A33" s="57" t="n">
        <v>31</v>
      </c>
      <c r="B33" s="70" t="n"/>
      <c r="C33" s="70" t="n"/>
      <c r="D33" s="70" t="n"/>
      <c r="E33" s="70" t="n"/>
      <c r="F33" s="71" t="n"/>
      <c r="G33" s="70" t="n"/>
      <c r="H33" s="71" t="n"/>
      <c r="I33" s="71" t="n"/>
      <c r="J33" s="72" t="n"/>
      <c r="K33" s="73">
        <f>IFERROR(VLOOKUP(G33,Stage_Lookup!$A$2:$B$8,2,0),"")</f>
        <v/>
      </c>
      <c r="L33" s="69" t="n"/>
      <c r="M33" s="69" t="n"/>
      <c r="N33" s="72" t="n"/>
      <c r="O33" s="70" t="n"/>
      <c r="P33" s="70" t="n"/>
      <c r="Q33" s="106" t="n"/>
      <c r="R33" s="106" t="n"/>
      <c r="S33" s="106" t="n"/>
      <c r="T33">
        <f>IF(OR(G33="Closed Lost",G33="",NOT(ISNUMBER(H33))),"",H33)</f>
        <v/>
      </c>
    </row>
    <row r="34" ht="18" customHeight="1" s="96">
      <c r="A34" s="64" t="n">
        <v>32</v>
      </c>
      <c r="B34" s="65" t="n"/>
      <c r="C34" s="65" t="n"/>
      <c r="D34" s="65" t="n"/>
      <c r="E34" s="65" t="n"/>
      <c r="F34" s="66" t="n"/>
      <c r="G34" s="65" t="n"/>
      <c r="H34" s="66" t="n"/>
      <c r="I34" s="66" t="n"/>
      <c r="J34" s="67" t="n"/>
      <c r="K34" s="68">
        <f>IFERROR(VLOOKUP(G34,Stage_Lookup!$A$2:$B$8,2,0),"")</f>
        <v/>
      </c>
      <c r="L34" s="69" t="n"/>
      <c r="M34" s="69" t="n"/>
      <c r="N34" s="67" t="n"/>
      <c r="O34" s="65" t="n"/>
      <c r="P34" s="65" t="n"/>
      <c r="Q34" s="106" t="n"/>
      <c r="R34" s="106" t="n"/>
      <c r="S34" s="106" t="n"/>
      <c r="T34">
        <f>IF(OR(G34="Closed Lost",G34="",NOT(ISNUMBER(H34))),"",H34)</f>
        <v/>
      </c>
    </row>
    <row r="35" ht="18" customHeight="1" s="96">
      <c r="A35" s="57" t="n">
        <v>33</v>
      </c>
      <c r="B35" s="70" t="n"/>
      <c r="C35" s="70" t="n"/>
      <c r="D35" s="70" t="n"/>
      <c r="E35" s="70" t="n"/>
      <c r="F35" s="71" t="n"/>
      <c r="G35" s="70" t="n"/>
      <c r="H35" s="71" t="n"/>
      <c r="I35" s="71" t="n"/>
      <c r="J35" s="72" t="n"/>
      <c r="K35" s="73">
        <f>IFERROR(VLOOKUP(G35,Stage_Lookup!$A$2:$B$8,2,0),"")</f>
        <v/>
      </c>
      <c r="L35" s="69" t="n"/>
      <c r="M35" s="69" t="n"/>
      <c r="N35" s="72" t="n"/>
      <c r="O35" s="70" t="n"/>
      <c r="P35" s="70" t="n"/>
      <c r="Q35" s="106" t="n"/>
      <c r="R35" s="106" t="n"/>
      <c r="S35" s="106" t="n"/>
      <c r="T35">
        <f>IF(OR(G35="Closed Lost",G35="",NOT(ISNUMBER(H35))),"",H35)</f>
        <v/>
      </c>
    </row>
    <row r="36" ht="18" customHeight="1" s="96">
      <c r="A36" s="64" t="n">
        <v>34</v>
      </c>
      <c r="B36" s="65" t="n"/>
      <c r="C36" s="65" t="n"/>
      <c r="D36" s="65" t="n"/>
      <c r="E36" s="65" t="n"/>
      <c r="F36" s="66" t="n"/>
      <c r="G36" s="65" t="n"/>
      <c r="H36" s="66" t="n"/>
      <c r="I36" s="66" t="n"/>
      <c r="J36" s="67" t="n"/>
      <c r="K36" s="68">
        <f>IFERROR(VLOOKUP(G36,Stage_Lookup!$A$2:$B$8,2,0),"")</f>
        <v/>
      </c>
      <c r="L36" s="69" t="n"/>
      <c r="M36" s="69" t="n"/>
      <c r="N36" s="67" t="n"/>
      <c r="O36" s="65" t="n"/>
      <c r="P36" s="65" t="n"/>
      <c r="Q36" s="106" t="n"/>
      <c r="R36" s="106" t="n"/>
      <c r="S36" s="106" t="n"/>
      <c r="T36">
        <f>IF(OR(G36="Closed Lost",G36="",NOT(ISNUMBER(H36))),"",H36)</f>
        <v/>
      </c>
    </row>
    <row r="37" ht="18" customHeight="1" s="96">
      <c r="A37" s="57" t="n">
        <v>35</v>
      </c>
      <c r="B37" s="70" t="n"/>
      <c r="C37" s="70" t="n"/>
      <c r="D37" s="70" t="n"/>
      <c r="E37" s="70" t="n"/>
      <c r="F37" s="71" t="n"/>
      <c r="G37" s="70" t="n"/>
      <c r="H37" s="71" t="n"/>
      <c r="I37" s="71" t="n"/>
      <c r="J37" s="72" t="n"/>
      <c r="K37" s="73">
        <f>IFERROR(VLOOKUP(G37,Stage_Lookup!$A$2:$B$8,2,0),"")</f>
        <v/>
      </c>
      <c r="L37" s="69" t="n"/>
      <c r="M37" s="69" t="n"/>
      <c r="N37" s="72" t="n"/>
      <c r="O37" s="70" t="n"/>
      <c r="P37" s="70" t="n"/>
      <c r="Q37" s="106" t="n"/>
      <c r="R37" s="106" t="n"/>
      <c r="S37" s="106" t="n"/>
      <c r="T37">
        <f>IF(OR(G37="Closed Lost",G37="",NOT(ISNUMBER(H37))),"",H37)</f>
        <v/>
      </c>
    </row>
    <row r="38" ht="18" customHeight="1" s="96">
      <c r="A38" s="64" t="n">
        <v>36</v>
      </c>
      <c r="B38" s="65" t="n"/>
      <c r="C38" s="65" t="n"/>
      <c r="D38" s="65" t="n"/>
      <c r="E38" s="65" t="n"/>
      <c r="F38" s="66" t="n"/>
      <c r="G38" s="65" t="n"/>
      <c r="H38" s="66" t="n"/>
      <c r="I38" s="66" t="n"/>
      <c r="J38" s="67" t="n"/>
      <c r="K38" s="68">
        <f>IFERROR(VLOOKUP(G38,Stage_Lookup!$A$2:$B$8,2,0),"")</f>
        <v/>
      </c>
      <c r="L38" s="69" t="n"/>
      <c r="M38" s="69" t="n"/>
      <c r="N38" s="67" t="n"/>
      <c r="O38" s="65" t="n"/>
      <c r="P38" s="65" t="n"/>
      <c r="Q38" s="106" t="n"/>
      <c r="R38" s="106" t="n"/>
      <c r="S38" s="106" t="n"/>
      <c r="T38">
        <f>IF(OR(G38="Closed Lost",G38="",NOT(ISNUMBER(H38))),"",H38)</f>
        <v/>
      </c>
    </row>
    <row r="39" ht="18" customHeight="1" s="96">
      <c r="A39" s="57" t="n">
        <v>37</v>
      </c>
      <c r="B39" s="70" t="n"/>
      <c r="C39" s="70" t="n"/>
      <c r="D39" s="70" t="n"/>
      <c r="E39" s="70" t="n"/>
      <c r="F39" s="71" t="n"/>
      <c r="G39" s="70" t="n"/>
      <c r="H39" s="71" t="n"/>
      <c r="I39" s="71" t="n"/>
      <c r="J39" s="72" t="n"/>
      <c r="K39" s="73">
        <f>IFERROR(VLOOKUP(G39,Stage_Lookup!$A$2:$B$8,2,0),"")</f>
        <v/>
      </c>
      <c r="L39" s="69" t="n"/>
      <c r="M39" s="69" t="n"/>
      <c r="N39" s="72" t="n"/>
      <c r="O39" s="70" t="n"/>
      <c r="P39" s="70" t="n"/>
      <c r="Q39" s="106" t="n"/>
      <c r="R39" s="106" t="n"/>
      <c r="S39" s="106" t="n"/>
      <c r="T39">
        <f>IF(OR(G39="Closed Lost",G39="",NOT(ISNUMBER(H39))),"",H39)</f>
        <v/>
      </c>
    </row>
    <row r="40" ht="18" customHeight="1" s="96">
      <c r="A40" s="64" t="n">
        <v>38</v>
      </c>
      <c r="B40" s="65" t="n"/>
      <c r="C40" s="65" t="n"/>
      <c r="D40" s="65" t="n"/>
      <c r="E40" s="65" t="n"/>
      <c r="F40" s="66" t="n"/>
      <c r="G40" s="65" t="n"/>
      <c r="H40" s="66" t="n"/>
      <c r="I40" s="66" t="n"/>
      <c r="J40" s="67" t="n"/>
      <c r="K40" s="68">
        <f>IFERROR(VLOOKUP(G40,Stage_Lookup!$A$2:$B$8,2,0),"")</f>
        <v/>
      </c>
      <c r="L40" s="69" t="n"/>
      <c r="M40" s="69" t="n"/>
      <c r="N40" s="67" t="n"/>
      <c r="O40" s="65" t="n"/>
      <c r="P40" s="65" t="n"/>
      <c r="Q40" s="106" t="n"/>
      <c r="R40" s="106" t="n"/>
      <c r="S40" s="106" t="n"/>
      <c r="T40">
        <f>IF(OR(G40="Closed Lost",G40="",NOT(ISNUMBER(H40))),"",H40)</f>
        <v/>
      </c>
    </row>
    <row r="41" ht="18" customHeight="1" s="96">
      <c r="A41" s="57" t="n">
        <v>39</v>
      </c>
      <c r="B41" s="70" t="n"/>
      <c r="C41" s="70" t="n"/>
      <c r="D41" s="70" t="n"/>
      <c r="E41" s="70" t="n"/>
      <c r="F41" s="71" t="n"/>
      <c r="G41" s="70" t="n"/>
      <c r="H41" s="71" t="n"/>
      <c r="I41" s="71" t="n"/>
      <c r="J41" s="72" t="n"/>
      <c r="K41" s="73">
        <f>IFERROR(VLOOKUP(G41,Stage_Lookup!$A$2:$B$8,2,0),"")</f>
        <v/>
      </c>
      <c r="L41" s="69" t="n"/>
      <c r="M41" s="69" t="n"/>
      <c r="N41" s="72" t="n"/>
      <c r="O41" s="70" t="n"/>
      <c r="P41" s="70" t="n"/>
      <c r="Q41" s="106" t="n"/>
      <c r="R41" s="106" t="n"/>
      <c r="S41" s="106" t="n"/>
      <c r="T41">
        <f>IF(OR(G41="Closed Lost",G41="",NOT(ISNUMBER(H41))),"",H41)</f>
        <v/>
      </c>
    </row>
    <row r="42" ht="18" customHeight="1" s="96">
      <c r="A42" s="64" t="n">
        <v>40</v>
      </c>
      <c r="B42" s="65" t="n"/>
      <c r="C42" s="65" t="n"/>
      <c r="D42" s="65" t="n"/>
      <c r="E42" s="65" t="n"/>
      <c r="F42" s="66" t="n"/>
      <c r="G42" s="65" t="n"/>
      <c r="H42" s="66" t="n"/>
      <c r="I42" s="66" t="n"/>
      <c r="J42" s="67" t="n"/>
      <c r="K42" s="68">
        <f>IFERROR(VLOOKUP(G42,Stage_Lookup!$A$2:$B$8,2,0),"")</f>
        <v/>
      </c>
      <c r="L42" s="69" t="n"/>
      <c r="M42" s="69" t="n"/>
      <c r="N42" s="67" t="n"/>
      <c r="O42" s="65" t="n"/>
      <c r="P42" s="65" t="n"/>
      <c r="Q42" s="106" t="n"/>
      <c r="R42" s="106" t="n"/>
      <c r="S42" s="106" t="n"/>
      <c r="T42">
        <f>IF(OR(G42="Closed Lost",G42="",NOT(ISNUMBER(H42))),"",H42)</f>
        <v/>
      </c>
    </row>
    <row r="43" ht="18" customHeight="1" s="96">
      <c r="A43" s="57" t="n">
        <v>41</v>
      </c>
      <c r="B43" s="70" t="n"/>
      <c r="C43" s="70" t="n"/>
      <c r="D43" s="70" t="n"/>
      <c r="E43" s="70" t="n"/>
      <c r="F43" s="71" t="n"/>
      <c r="G43" s="70" t="n"/>
      <c r="H43" s="71" t="n"/>
      <c r="I43" s="71" t="n"/>
      <c r="J43" s="72" t="n"/>
      <c r="K43" s="73">
        <f>IFERROR(VLOOKUP(G43,Stage_Lookup!$A$2:$B$8,2,0),"")</f>
        <v/>
      </c>
      <c r="L43" s="69" t="n"/>
      <c r="M43" s="69" t="n"/>
      <c r="N43" s="72" t="n"/>
      <c r="O43" s="70" t="n"/>
      <c r="P43" s="70" t="n"/>
      <c r="Q43" s="106" t="n"/>
      <c r="R43" s="106" t="n"/>
      <c r="S43" s="106" t="n"/>
      <c r="T43">
        <f>IF(OR(G43="Closed Lost",G43="",NOT(ISNUMBER(H43))),"",H43)</f>
        <v/>
      </c>
    </row>
    <row r="44" ht="18" customHeight="1" s="96">
      <c r="A44" s="64" t="n">
        <v>42</v>
      </c>
      <c r="B44" s="65" t="n"/>
      <c r="C44" s="65" t="n"/>
      <c r="D44" s="65" t="n"/>
      <c r="E44" s="65" t="n"/>
      <c r="F44" s="66" t="n"/>
      <c r="G44" s="65" t="n"/>
      <c r="H44" s="66" t="n"/>
      <c r="I44" s="66" t="n"/>
      <c r="J44" s="67" t="n"/>
      <c r="K44" s="68">
        <f>IFERROR(VLOOKUP(G44,Stage_Lookup!$A$2:$B$8,2,0),"")</f>
        <v/>
      </c>
      <c r="L44" s="69" t="n"/>
      <c r="M44" s="69" t="n"/>
      <c r="N44" s="67" t="n"/>
      <c r="O44" s="65" t="n"/>
      <c r="P44" s="65" t="n"/>
      <c r="Q44" s="106" t="n"/>
      <c r="R44" s="106" t="n"/>
      <c r="S44" s="106" t="n"/>
      <c r="T44">
        <f>IF(OR(G44="Closed Lost",G44="",NOT(ISNUMBER(H44))),"",H44)</f>
        <v/>
      </c>
    </row>
    <row r="45" ht="18" customHeight="1" s="96">
      <c r="A45" s="57" t="n">
        <v>43</v>
      </c>
      <c r="B45" s="70" t="n"/>
      <c r="C45" s="70" t="n"/>
      <c r="D45" s="70" t="n"/>
      <c r="E45" s="70" t="n"/>
      <c r="F45" s="71" t="n"/>
      <c r="G45" s="70" t="n"/>
      <c r="H45" s="71" t="n"/>
      <c r="I45" s="71" t="n"/>
      <c r="J45" s="72" t="n"/>
      <c r="K45" s="73">
        <f>IFERROR(VLOOKUP(G45,Stage_Lookup!$A$2:$B$8,2,0),"")</f>
        <v/>
      </c>
      <c r="L45" s="69" t="n"/>
      <c r="M45" s="69" t="n"/>
      <c r="N45" s="72" t="n"/>
      <c r="O45" s="70" t="n"/>
      <c r="P45" s="70" t="n"/>
      <c r="Q45" s="106" t="n"/>
      <c r="R45" s="106" t="n"/>
      <c r="S45" s="106" t="n"/>
      <c r="T45">
        <f>IF(OR(G45="Closed Lost",G45="",NOT(ISNUMBER(H45))),"",H45)</f>
        <v/>
      </c>
    </row>
    <row r="46" ht="18" customHeight="1" s="96">
      <c r="A46" s="64" t="n">
        <v>44</v>
      </c>
      <c r="B46" s="65" t="n"/>
      <c r="C46" s="65" t="n"/>
      <c r="D46" s="65" t="n"/>
      <c r="E46" s="65" t="n"/>
      <c r="F46" s="66" t="n"/>
      <c r="G46" s="65" t="n"/>
      <c r="H46" s="66" t="n"/>
      <c r="I46" s="66" t="n"/>
      <c r="J46" s="67" t="n"/>
      <c r="K46" s="68">
        <f>IFERROR(VLOOKUP(G46,Stage_Lookup!$A$2:$B$8,2,0),"")</f>
        <v/>
      </c>
      <c r="L46" s="69" t="n"/>
      <c r="M46" s="69" t="n"/>
      <c r="N46" s="67" t="n"/>
      <c r="O46" s="65" t="n"/>
      <c r="P46" s="65" t="n"/>
      <c r="Q46" s="106" t="n"/>
      <c r="R46" s="106" t="n"/>
      <c r="S46" s="106" t="n"/>
      <c r="T46">
        <f>IF(OR(G46="Closed Lost",G46="",NOT(ISNUMBER(H46))),"",H46)</f>
        <v/>
      </c>
    </row>
    <row r="47" ht="18" customHeight="1" s="96">
      <c r="A47" s="57" t="n">
        <v>45</v>
      </c>
      <c r="B47" s="70" t="n"/>
      <c r="C47" s="70" t="n"/>
      <c r="D47" s="70" t="n"/>
      <c r="E47" s="70" t="n"/>
      <c r="F47" s="71" t="n"/>
      <c r="G47" s="70" t="n"/>
      <c r="H47" s="71" t="n"/>
      <c r="I47" s="71" t="n"/>
      <c r="J47" s="72" t="n"/>
      <c r="K47" s="73">
        <f>IFERROR(VLOOKUP(G47,Stage_Lookup!$A$2:$B$8,2,0),"")</f>
        <v/>
      </c>
      <c r="L47" s="69" t="n"/>
      <c r="M47" s="69" t="n"/>
      <c r="N47" s="72" t="n"/>
      <c r="O47" s="70" t="n"/>
      <c r="P47" s="70" t="n"/>
      <c r="Q47" s="106" t="n"/>
      <c r="R47" s="106" t="n"/>
      <c r="S47" s="106" t="n"/>
      <c r="T47">
        <f>IF(OR(G47="Closed Lost",G47="",NOT(ISNUMBER(H47))),"",H47)</f>
        <v/>
      </c>
    </row>
    <row r="48" ht="18" customHeight="1" s="96">
      <c r="A48" s="64" t="n">
        <v>46</v>
      </c>
      <c r="B48" s="65" t="n"/>
      <c r="C48" s="65" t="n"/>
      <c r="D48" s="65" t="n"/>
      <c r="E48" s="65" t="n"/>
      <c r="F48" s="66" t="n"/>
      <c r="G48" s="65" t="n"/>
      <c r="H48" s="66" t="n"/>
      <c r="I48" s="66" t="n"/>
      <c r="J48" s="67" t="n"/>
      <c r="K48" s="68">
        <f>IFERROR(VLOOKUP(G48,Stage_Lookup!$A$2:$B$8,2,0),"")</f>
        <v/>
      </c>
      <c r="L48" s="69" t="n"/>
      <c r="M48" s="69" t="n"/>
      <c r="N48" s="67" t="n"/>
      <c r="O48" s="65" t="n"/>
      <c r="P48" s="65" t="n"/>
      <c r="Q48" s="106" t="n"/>
      <c r="R48" s="106" t="n"/>
      <c r="S48" s="106" t="n"/>
      <c r="T48">
        <f>IF(OR(G48="Closed Lost",G48="",NOT(ISNUMBER(H48))),"",H48)</f>
        <v/>
      </c>
    </row>
    <row r="49" ht="18" customHeight="1" s="96">
      <c r="A49" s="57" t="n">
        <v>47</v>
      </c>
      <c r="B49" s="70" t="n"/>
      <c r="C49" s="70" t="n"/>
      <c r="D49" s="70" t="n"/>
      <c r="E49" s="70" t="n"/>
      <c r="F49" s="71" t="n"/>
      <c r="G49" s="70" t="n"/>
      <c r="H49" s="71" t="n"/>
      <c r="I49" s="71" t="n"/>
      <c r="J49" s="72" t="n"/>
      <c r="K49" s="73">
        <f>IFERROR(VLOOKUP(G49,Stage_Lookup!$A$2:$B$8,2,0),"")</f>
        <v/>
      </c>
      <c r="L49" s="69" t="n"/>
      <c r="M49" s="69" t="n"/>
      <c r="N49" s="72" t="n"/>
      <c r="O49" s="70" t="n"/>
      <c r="P49" s="70" t="n"/>
      <c r="Q49" s="106" t="n"/>
      <c r="R49" s="106" t="n"/>
      <c r="S49" s="106" t="n"/>
      <c r="T49">
        <f>IF(OR(G49="Closed Lost",G49="",NOT(ISNUMBER(H49))),"",H49)</f>
        <v/>
      </c>
    </row>
    <row r="50" ht="18" customHeight="1" s="96">
      <c r="A50" s="64" t="n">
        <v>48</v>
      </c>
      <c r="B50" s="65" t="n"/>
      <c r="C50" s="65" t="n"/>
      <c r="D50" s="65" t="n"/>
      <c r="E50" s="65" t="n"/>
      <c r="F50" s="66" t="n"/>
      <c r="G50" s="65" t="n"/>
      <c r="H50" s="66" t="n"/>
      <c r="I50" s="66" t="n"/>
      <c r="J50" s="67" t="n"/>
      <c r="K50" s="68">
        <f>IFERROR(VLOOKUP(G50,Stage_Lookup!$A$2:$B$8,2,0),"")</f>
        <v/>
      </c>
      <c r="L50" s="69" t="n"/>
      <c r="M50" s="69" t="n"/>
      <c r="N50" s="67" t="n"/>
      <c r="O50" s="65" t="n"/>
      <c r="P50" s="65" t="n"/>
      <c r="Q50" s="106" t="n"/>
      <c r="R50" s="106" t="n"/>
      <c r="S50" s="106" t="n"/>
      <c r="T50">
        <f>IF(OR(G50="Closed Lost",G50="",NOT(ISNUMBER(H50))),"",H50)</f>
        <v/>
      </c>
    </row>
    <row r="51" ht="18" customHeight="1" s="96">
      <c r="A51" s="57" t="n">
        <v>49</v>
      </c>
      <c r="B51" s="70" t="n"/>
      <c r="C51" s="70" t="n"/>
      <c r="D51" s="70" t="n"/>
      <c r="E51" s="70" t="n"/>
      <c r="F51" s="71" t="n"/>
      <c r="G51" s="70" t="n"/>
      <c r="H51" s="71" t="n"/>
      <c r="I51" s="71" t="n"/>
      <c r="J51" s="72" t="n"/>
      <c r="K51" s="73">
        <f>IFERROR(VLOOKUP(G51,Stage_Lookup!$A$2:$B$8,2,0),"")</f>
        <v/>
      </c>
      <c r="L51" s="69" t="n"/>
      <c r="M51" s="69" t="n"/>
      <c r="N51" s="72" t="n"/>
      <c r="O51" s="70" t="n"/>
      <c r="P51" s="70" t="n"/>
      <c r="Q51" s="106" t="n"/>
      <c r="R51" s="106" t="n"/>
      <c r="S51" s="106" t="n"/>
      <c r="T51">
        <f>IF(OR(G51="Closed Lost",G51="",NOT(ISNUMBER(H51))),"",H51)</f>
        <v/>
      </c>
    </row>
    <row r="52" ht="18" customHeight="1" s="96">
      <c r="A52" s="64" t="n">
        <v>50</v>
      </c>
      <c r="B52" s="65" t="n"/>
      <c r="C52" s="65" t="n"/>
      <c r="D52" s="65" t="n"/>
      <c r="E52" s="65" t="n"/>
      <c r="F52" s="66" t="n"/>
      <c r="G52" s="65" t="n"/>
      <c r="H52" s="66" t="n"/>
      <c r="I52" s="66" t="n"/>
      <c r="J52" s="67" t="n"/>
      <c r="K52" s="68">
        <f>IFERROR(VLOOKUP(G52,Stage_Lookup!$A$2:$B$8,2,0),"")</f>
        <v/>
      </c>
      <c r="L52" s="69" t="n"/>
      <c r="M52" s="69" t="n"/>
      <c r="N52" s="67" t="n"/>
      <c r="O52" s="65" t="n"/>
      <c r="P52" s="65" t="n"/>
      <c r="Q52" s="106" t="n"/>
      <c r="R52" s="106" t="n"/>
      <c r="S52" s="106" t="n"/>
      <c r="T52">
        <f>IF(OR(G52="Closed Lost",G52="",NOT(ISNUMBER(H52))),"",H52)</f>
        <v/>
      </c>
    </row>
    <row r="53" ht="18" customHeight="1" s="96">
      <c r="A53" s="57" t="n">
        <v>51</v>
      </c>
      <c r="B53" s="70" t="n"/>
      <c r="C53" s="70" t="n"/>
      <c r="D53" s="70" t="n"/>
      <c r="E53" s="70" t="n"/>
      <c r="F53" s="71" t="n"/>
      <c r="G53" s="70" t="n"/>
      <c r="H53" s="71" t="n"/>
      <c r="I53" s="71" t="n"/>
      <c r="J53" s="72" t="n"/>
      <c r="K53" s="73">
        <f>IFERROR(VLOOKUP(G53,Stage_Lookup!$A$2:$B$8,2,0),"")</f>
        <v/>
      </c>
      <c r="L53" s="69" t="n"/>
      <c r="M53" s="69" t="n"/>
      <c r="N53" s="72" t="n"/>
      <c r="O53" s="70" t="n"/>
      <c r="P53" s="70" t="n"/>
      <c r="Q53" s="106" t="n"/>
      <c r="R53" s="106" t="n"/>
      <c r="S53" s="106" t="n"/>
      <c r="T53">
        <f>IF(OR(G53="Closed Lost",G53="",NOT(ISNUMBER(H53))),"",H53)</f>
        <v/>
      </c>
    </row>
    <row r="54" ht="18" customHeight="1" s="96">
      <c r="A54" s="64" t="n">
        <v>52</v>
      </c>
      <c r="B54" s="65" t="n"/>
      <c r="C54" s="65" t="n"/>
      <c r="D54" s="65" t="n"/>
      <c r="E54" s="65" t="n"/>
      <c r="F54" s="66" t="n"/>
      <c r="G54" s="65" t="n"/>
      <c r="H54" s="66" t="n"/>
      <c r="I54" s="66" t="n"/>
      <c r="J54" s="67" t="n"/>
      <c r="K54" s="68">
        <f>IFERROR(VLOOKUP(G54,Stage_Lookup!$A$2:$B$8,2,0),"")</f>
        <v/>
      </c>
      <c r="L54" s="69" t="n"/>
      <c r="M54" s="69" t="n"/>
      <c r="N54" s="67" t="n"/>
      <c r="O54" s="65" t="n"/>
      <c r="P54" s="65" t="n"/>
      <c r="Q54" s="106" t="n"/>
      <c r="R54" s="106" t="n"/>
      <c r="S54" s="106" t="n"/>
      <c r="T54">
        <f>IF(OR(G54="Closed Lost",G54="",NOT(ISNUMBER(H54))),"",H54)</f>
        <v/>
      </c>
    </row>
    <row r="55" ht="18" customHeight="1" s="96">
      <c r="A55" s="57" t="n">
        <v>53</v>
      </c>
      <c r="B55" s="70" t="n"/>
      <c r="C55" s="70" t="n"/>
      <c r="D55" s="70" t="n"/>
      <c r="E55" s="70" t="n"/>
      <c r="F55" s="71" t="n"/>
      <c r="G55" s="70" t="n"/>
      <c r="H55" s="71" t="n"/>
      <c r="I55" s="71" t="n"/>
      <c r="J55" s="72" t="n"/>
      <c r="K55" s="73">
        <f>IFERROR(VLOOKUP(G55,Stage_Lookup!$A$2:$B$8,2,0),"")</f>
        <v/>
      </c>
      <c r="L55" s="69" t="n"/>
      <c r="M55" s="69" t="n"/>
      <c r="N55" s="72" t="n"/>
      <c r="O55" s="70" t="n"/>
      <c r="P55" s="70" t="n"/>
      <c r="Q55" s="106" t="n"/>
      <c r="R55" s="106" t="n"/>
      <c r="S55" s="106" t="n"/>
      <c r="T55">
        <f>IF(OR(G55="Closed Lost",G55="",NOT(ISNUMBER(H55))),"",H55)</f>
        <v/>
      </c>
    </row>
    <row r="56" ht="18" customHeight="1" s="96">
      <c r="A56" s="64" t="n">
        <v>54</v>
      </c>
      <c r="B56" s="65" t="n"/>
      <c r="C56" s="65" t="n"/>
      <c r="D56" s="65" t="n"/>
      <c r="E56" s="65" t="n"/>
      <c r="F56" s="66" t="n"/>
      <c r="G56" s="65" t="n"/>
      <c r="H56" s="66" t="n"/>
      <c r="I56" s="66" t="n"/>
      <c r="J56" s="67" t="n"/>
      <c r="K56" s="68">
        <f>IFERROR(VLOOKUP(G56,Stage_Lookup!$A$2:$B$8,2,0),"")</f>
        <v/>
      </c>
      <c r="L56" s="69" t="n"/>
      <c r="M56" s="69" t="n"/>
      <c r="N56" s="67" t="n"/>
      <c r="O56" s="65" t="n"/>
      <c r="P56" s="65" t="n"/>
      <c r="Q56" s="106" t="n"/>
      <c r="R56" s="106" t="n"/>
      <c r="S56" s="106" t="n"/>
      <c r="T56">
        <f>IF(OR(G56="Closed Lost",G56="",NOT(ISNUMBER(H56))),"",H56)</f>
        <v/>
      </c>
    </row>
    <row r="57" ht="18" customHeight="1" s="96">
      <c r="A57" s="57" t="n">
        <v>55</v>
      </c>
      <c r="B57" s="70" t="n"/>
      <c r="C57" s="70" t="n"/>
      <c r="D57" s="70" t="n"/>
      <c r="E57" s="70" t="n"/>
      <c r="F57" s="71" t="n"/>
      <c r="G57" s="70" t="n"/>
      <c r="H57" s="71" t="n"/>
      <c r="I57" s="71" t="n"/>
      <c r="J57" s="72" t="n"/>
      <c r="K57" s="73">
        <f>IFERROR(VLOOKUP(G57,Stage_Lookup!$A$2:$B$8,2,0),"")</f>
        <v/>
      </c>
      <c r="L57" s="69" t="n"/>
      <c r="M57" s="69" t="n"/>
      <c r="N57" s="72" t="n"/>
      <c r="O57" s="70" t="n"/>
      <c r="P57" s="70" t="n"/>
      <c r="Q57" s="106" t="n"/>
      <c r="R57" s="106" t="n"/>
      <c r="S57" s="106" t="n"/>
      <c r="T57">
        <f>IF(OR(G57="Closed Lost",G57="",NOT(ISNUMBER(H57))),"",H57)</f>
        <v/>
      </c>
    </row>
    <row r="58" ht="18" customHeight="1" s="96">
      <c r="A58" s="64" t="n">
        <v>56</v>
      </c>
      <c r="B58" s="65" t="n"/>
      <c r="C58" s="65" t="n"/>
      <c r="D58" s="65" t="n"/>
      <c r="E58" s="65" t="n"/>
      <c r="F58" s="66" t="n"/>
      <c r="G58" s="65" t="n"/>
      <c r="H58" s="66" t="n"/>
      <c r="I58" s="66" t="n"/>
      <c r="J58" s="67" t="n"/>
      <c r="K58" s="68">
        <f>IFERROR(VLOOKUP(G58,Stage_Lookup!$A$2:$B$8,2,0),"")</f>
        <v/>
      </c>
      <c r="L58" s="69" t="n"/>
      <c r="M58" s="69" t="n"/>
      <c r="N58" s="67" t="n"/>
      <c r="O58" s="65" t="n"/>
      <c r="P58" s="65" t="n"/>
      <c r="Q58" s="106" t="n"/>
      <c r="R58" s="106" t="n"/>
      <c r="S58" s="106" t="n"/>
      <c r="T58">
        <f>IF(OR(G58="Closed Lost",G58="",NOT(ISNUMBER(H58))),"",H58)</f>
        <v/>
      </c>
    </row>
    <row r="59" ht="18" customHeight="1" s="96">
      <c r="A59" s="57" t="n">
        <v>57</v>
      </c>
      <c r="B59" s="70" t="n"/>
      <c r="C59" s="70" t="n"/>
      <c r="D59" s="70" t="n"/>
      <c r="E59" s="70" t="n"/>
      <c r="F59" s="71" t="n"/>
      <c r="G59" s="70" t="n"/>
      <c r="H59" s="71" t="n"/>
      <c r="I59" s="71" t="n"/>
      <c r="J59" s="72" t="n"/>
      <c r="K59" s="73">
        <f>IFERROR(VLOOKUP(G59,Stage_Lookup!$A$2:$B$8,2,0),"")</f>
        <v/>
      </c>
      <c r="L59" s="69" t="n"/>
      <c r="M59" s="69" t="n"/>
      <c r="N59" s="72" t="n"/>
      <c r="O59" s="70" t="n"/>
      <c r="P59" s="70" t="n"/>
      <c r="Q59" s="106" t="n"/>
      <c r="R59" s="106" t="n"/>
      <c r="S59" s="106" t="n"/>
      <c r="T59">
        <f>IF(OR(G59="Closed Lost",G59="",NOT(ISNUMBER(H59))),"",H59)</f>
        <v/>
      </c>
    </row>
    <row r="60" ht="18" customHeight="1" s="96">
      <c r="A60" s="64" t="n">
        <v>58</v>
      </c>
      <c r="B60" s="65" t="n"/>
      <c r="C60" s="65" t="n"/>
      <c r="D60" s="65" t="n"/>
      <c r="E60" s="65" t="n"/>
      <c r="F60" s="66" t="n"/>
      <c r="G60" s="65" t="n"/>
      <c r="H60" s="66" t="n"/>
      <c r="I60" s="66" t="n"/>
      <c r="J60" s="67" t="n"/>
      <c r="K60" s="68">
        <f>IFERROR(VLOOKUP(G60,Stage_Lookup!$A$2:$B$8,2,0),"")</f>
        <v/>
      </c>
      <c r="L60" s="69" t="n"/>
      <c r="M60" s="69" t="n"/>
      <c r="N60" s="67" t="n"/>
      <c r="O60" s="65" t="n"/>
      <c r="P60" s="65" t="n"/>
      <c r="Q60" s="106" t="n"/>
      <c r="R60" s="106" t="n"/>
      <c r="S60" s="106" t="n"/>
      <c r="T60">
        <f>IF(OR(G60="Closed Lost",G60="",NOT(ISNUMBER(H60))),"",H60)</f>
        <v/>
      </c>
    </row>
    <row r="61" ht="18" customHeight="1" s="96">
      <c r="A61" s="57" t="n">
        <v>59</v>
      </c>
      <c r="B61" s="70" t="n"/>
      <c r="C61" s="70" t="n"/>
      <c r="D61" s="70" t="n"/>
      <c r="E61" s="70" t="n"/>
      <c r="F61" s="71" t="n"/>
      <c r="G61" s="70" t="n"/>
      <c r="H61" s="71" t="n"/>
      <c r="I61" s="71" t="n"/>
      <c r="J61" s="72" t="n"/>
      <c r="K61" s="73">
        <f>IFERROR(VLOOKUP(G61,Stage_Lookup!$A$2:$B$8,2,0),"")</f>
        <v/>
      </c>
      <c r="L61" s="69" t="n"/>
      <c r="M61" s="69" t="n"/>
      <c r="N61" s="72" t="n"/>
      <c r="O61" s="70" t="n"/>
      <c r="P61" s="70" t="n"/>
      <c r="Q61" s="106" t="n"/>
      <c r="R61" s="106" t="n"/>
      <c r="S61" s="106" t="n"/>
      <c r="T61">
        <f>IF(OR(G61="Closed Lost",G61="",NOT(ISNUMBER(H61))),"",H61)</f>
        <v/>
      </c>
    </row>
    <row r="62" ht="18" customHeight="1" s="96">
      <c r="A62" s="64" t="n">
        <v>60</v>
      </c>
      <c r="B62" s="65" t="n"/>
      <c r="C62" s="65" t="n"/>
      <c r="D62" s="65" t="n"/>
      <c r="E62" s="65" t="n"/>
      <c r="F62" s="66" t="n"/>
      <c r="G62" s="65" t="n"/>
      <c r="H62" s="66" t="n"/>
      <c r="I62" s="66" t="n"/>
      <c r="J62" s="67" t="n"/>
      <c r="K62" s="68">
        <f>IFERROR(VLOOKUP(G62,Stage_Lookup!$A$2:$B$8,2,0),"")</f>
        <v/>
      </c>
      <c r="L62" s="69" t="n"/>
      <c r="M62" s="69" t="n"/>
      <c r="N62" s="67" t="n"/>
      <c r="O62" s="65" t="n"/>
      <c r="P62" s="65" t="n"/>
      <c r="Q62" s="106" t="n"/>
      <c r="R62" s="106" t="n"/>
      <c r="S62" s="106" t="n"/>
      <c r="T62">
        <f>IF(OR(G62="Closed Lost",G62="",NOT(ISNUMBER(H62))),"",H62)</f>
        <v/>
      </c>
    </row>
    <row r="63" ht="18" customHeight="1" s="96">
      <c r="A63" s="57" t="n">
        <v>61</v>
      </c>
      <c r="B63" s="70" t="n"/>
      <c r="C63" s="70" t="n"/>
      <c r="D63" s="70" t="n"/>
      <c r="E63" s="70" t="n"/>
      <c r="F63" s="71" t="n"/>
      <c r="G63" s="70" t="n"/>
      <c r="H63" s="71" t="n"/>
      <c r="I63" s="71" t="n"/>
      <c r="J63" s="72" t="n"/>
      <c r="K63" s="73">
        <f>IFERROR(VLOOKUP(G63,Stage_Lookup!$A$2:$B$8,2,0),"")</f>
        <v/>
      </c>
      <c r="L63" s="69" t="n"/>
      <c r="M63" s="69" t="n"/>
      <c r="N63" s="72" t="n"/>
      <c r="O63" s="70" t="n"/>
      <c r="P63" s="70" t="n"/>
      <c r="Q63" s="106" t="n"/>
      <c r="R63" s="106" t="n"/>
      <c r="S63" s="106" t="n"/>
      <c r="T63">
        <f>IF(OR(G63="Closed Lost",G63="",NOT(ISNUMBER(H63))),"",H63)</f>
        <v/>
      </c>
    </row>
    <row r="64" ht="18" customHeight="1" s="96">
      <c r="A64" s="64" t="n">
        <v>62</v>
      </c>
      <c r="B64" s="65" t="n"/>
      <c r="C64" s="65" t="n"/>
      <c r="D64" s="65" t="n"/>
      <c r="E64" s="65" t="n"/>
      <c r="F64" s="66" t="n"/>
      <c r="G64" s="65" t="n"/>
      <c r="H64" s="66" t="n"/>
      <c r="I64" s="66" t="n"/>
      <c r="J64" s="67" t="n"/>
      <c r="K64" s="68">
        <f>IFERROR(VLOOKUP(G64,Stage_Lookup!$A$2:$B$8,2,0),"")</f>
        <v/>
      </c>
      <c r="L64" s="69" t="n"/>
      <c r="M64" s="69" t="n"/>
      <c r="N64" s="67" t="n"/>
      <c r="O64" s="65" t="n"/>
      <c r="P64" s="65" t="n"/>
      <c r="Q64" s="106" t="n"/>
      <c r="R64" s="106" t="n"/>
      <c r="S64" s="106" t="n"/>
      <c r="T64">
        <f>IF(OR(G64="Closed Lost",G64="",NOT(ISNUMBER(H64))),"",H64)</f>
        <v/>
      </c>
    </row>
    <row r="65" ht="18" customHeight="1" s="96">
      <c r="A65" s="57" t="n">
        <v>63</v>
      </c>
      <c r="B65" s="70" t="n"/>
      <c r="C65" s="70" t="n"/>
      <c r="D65" s="70" t="n"/>
      <c r="E65" s="70" t="n"/>
      <c r="F65" s="71" t="n"/>
      <c r="G65" s="70" t="n"/>
      <c r="H65" s="71" t="n"/>
      <c r="I65" s="71" t="n"/>
      <c r="J65" s="72" t="n"/>
      <c r="K65" s="73">
        <f>IFERROR(VLOOKUP(G65,Stage_Lookup!$A$2:$B$8,2,0),"")</f>
        <v/>
      </c>
      <c r="L65" s="69" t="n"/>
      <c r="M65" s="69" t="n"/>
      <c r="N65" s="72" t="n"/>
      <c r="O65" s="70" t="n"/>
      <c r="P65" s="70" t="n"/>
      <c r="Q65" s="106" t="n"/>
      <c r="R65" s="106" t="n"/>
      <c r="S65" s="106" t="n"/>
      <c r="T65">
        <f>IF(OR(G65="Closed Lost",G65="",NOT(ISNUMBER(H65))),"",H65)</f>
        <v/>
      </c>
    </row>
    <row r="66" ht="18" customHeight="1" s="96">
      <c r="A66" s="64" t="n">
        <v>64</v>
      </c>
      <c r="B66" s="65" t="n"/>
      <c r="C66" s="65" t="n"/>
      <c r="D66" s="65" t="n"/>
      <c r="E66" s="65" t="n"/>
      <c r="F66" s="66" t="n"/>
      <c r="G66" s="65" t="n"/>
      <c r="H66" s="66" t="n"/>
      <c r="I66" s="66" t="n"/>
      <c r="J66" s="67" t="n"/>
      <c r="K66" s="68">
        <f>IFERROR(VLOOKUP(G66,Stage_Lookup!$A$2:$B$8,2,0),"")</f>
        <v/>
      </c>
      <c r="L66" s="69" t="n"/>
      <c r="M66" s="69" t="n"/>
      <c r="N66" s="67" t="n"/>
      <c r="O66" s="65" t="n"/>
      <c r="P66" s="65" t="n"/>
      <c r="Q66" s="106" t="n"/>
      <c r="R66" s="106" t="n"/>
      <c r="S66" s="106" t="n"/>
      <c r="T66">
        <f>IF(OR(G66="Closed Lost",G66="",NOT(ISNUMBER(H66))),"",H66)</f>
        <v/>
      </c>
    </row>
    <row r="67" ht="18" customHeight="1" s="96">
      <c r="A67" s="57" t="n">
        <v>65</v>
      </c>
      <c r="B67" s="70" t="n"/>
      <c r="C67" s="70" t="n"/>
      <c r="D67" s="70" t="n"/>
      <c r="E67" s="70" t="n"/>
      <c r="F67" s="71" t="n"/>
      <c r="G67" s="70" t="n"/>
      <c r="H67" s="71" t="n"/>
      <c r="I67" s="71" t="n"/>
      <c r="J67" s="72" t="n"/>
      <c r="K67" s="73">
        <f>IFERROR(VLOOKUP(G67,Stage_Lookup!$A$2:$B$8,2,0),"")</f>
        <v/>
      </c>
      <c r="L67" s="69" t="n"/>
      <c r="M67" s="69" t="n"/>
      <c r="N67" s="72" t="n"/>
      <c r="O67" s="70" t="n"/>
      <c r="P67" s="70" t="n"/>
      <c r="Q67" s="106" t="n"/>
      <c r="R67" s="106" t="n"/>
      <c r="S67" s="106" t="n"/>
      <c r="T67">
        <f>IF(OR(G67="Closed Lost",G67="",NOT(ISNUMBER(H67))),"",H67)</f>
        <v/>
      </c>
    </row>
    <row r="68" ht="18" customHeight="1" s="96">
      <c r="A68" s="64" t="n">
        <v>66</v>
      </c>
      <c r="B68" s="65" t="n"/>
      <c r="C68" s="65" t="n"/>
      <c r="D68" s="65" t="n"/>
      <c r="E68" s="65" t="n"/>
      <c r="F68" s="66" t="n"/>
      <c r="G68" s="65" t="n"/>
      <c r="H68" s="66" t="n"/>
      <c r="I68" s="66" t="n"/>
      <c r="J68" s="67" t="n"/>
      <c r="K68" s="68">
        <f>IFERROR(VLOOKUP(G68,Stage_Lookup!$A$2:$B$8,2,0),"")</f>
        <v/>
      </c>
      <c r="L68" s="69" t="n"/>
      <c r="M68" s="69" t="n"/>
      <c r="N68" s="67" t="n"/>
      <c r="O68" s="65" t="n"/>
      <c r="P68" s="65" t="n"/>
      <c r="Q68" s="106" t="n"/>
      <c r="R68" s="106" t="n"/>
      <c r="S68" s="106" t="n"/>
      <c r="T68">
        <f>IF(OR(G68="Closed Lost",G68="",NOT(ISNUMBER(H68))),"",H68)</f>
        <v/>
      </c>
    </row>
    <row r="69" ht="18" customHeight="1" s="96">
      <c r="A69" s="57" t="n">
        <v>67</v>
      </c>
      <c r="B69" s="70" t="n"/>
      <c r="C69" s="70" t="n"/>
      <c r="D69" s="70" t="n"/>
      <c r="E69" s="70" t="n"/>
      <c r="F69" s="71" t="n"/>
      <c r="G69" s="70" t="n"/>
      <c r="H69" s="71" t="n"/>
      <c r="I69" s="71" t="n"/>
      <c r="J69" s="72" t="n"/>
      <c r="K69" s="73">
        <f>IFERROR(VLOOKUP(G69,Stage_Lookup!$A$2:$B$8,2,0),"")</f>
        <v/>
      </c>
      <c r="L69" s="69" t="n"/>
      <c r="M69" s="69" t="n"/>
      <c r="N69" s="72" t="n"/>
      <c r="O69" s="70" t="n"/>
      <c r="P69" s="70" t="n"/>
      <c r="Q69" s="106" t="n"/>
      <c r="R69" s="106" t="n"/>
      <c r="S69" s="106" t="n"/>
      <c r="T69">
        <f>IF(OR(G69="Closed Lost",G69="",NOT(ISNUMBER(H69))),"",H69)</f>
        <v/>
      </c>
    </row>
    <row r="70" ht="18" customHeight="1" s="96">
      <c r="A70" s="64" t="n">
        <v>68</v>
      </c>
      <c r="B70" s="65" t="n"/>
      <c r="C70" s="65" t="n"/>
      <c r="D70" s="65" t="n"/>
      <c r="E70" s="65" t="n"/>
      <c r="F70" s="66" t="n"/>
      <c r="G70" s="65" t="n"/>
      <c r="H70" s="66" t="n"/>
      <c r="I70" s="66" t="n"/>
      <c r="J70" s="67" t="n"/>
      <c r="K70" s="68">
        <f>IFERROR(VLOOKUP(G70,Stage_Lookup!$A$2:$B$8,2,0),"")</f>
        <v/>
      </c>
      <c r="L70" s="69" t="n"/>
      <c r="M70" s="69" t="n"/>
      <c r="N70" s="67" t="n"/>
      <c r="O70" s="65" t="n"/>
      <c r="P70" s="65" t="n"/>
      <c r="Q70" s="106" t="n"/>
      <c r="R70" s="106" t="n"/>
      <c r="S70" s="106" t="n"/>
      <c r="T70">
        <f>IF(OR(G70="Closed Lost",G70="",NOT(ISNUMBER(H70))),"",H70)</f>
        <v/>
      </c>
    </row>
    <row r="71" ht="18" customHeight="1" s="96">
      <c r="A71" s="57" t="n">
        <v>69</v>
      </c>
      <c r="B71" s="70" t="n"/>
      <c r="C71" s="70" t="n"/>
      <c r="D71" s="70" t="n"/>
      <c r="E71" s="70" t="n"/>
      <c r="F71" s="71" t="n"/>
      <c r="G71" s="70" t="n"/>
      <c r="H71" s="71" t="n"/>
      <c r="I71" s="71" t="n"/>
      <c r="J71" s="72" t="n"/>
      <c r="K71" s="73">
        <f>IFERROR(VLOOKUP(G71,Stage_Lookup!$A$2:$B$8,2,0),"")</f>
        <v/>
      </c>
      <c r="L71" s="69" t="n"/>
      <c r="M71" s="69" t="n"/>
      <c r="N71" s="72" t="n"/>
      <c r="O71" s="70" t="n"/>
      <c r="P71" s="70" t="n"/>
      <c r="Q71" s="106" t="n"/>
      <c r="R71" s="106" t="n"/>
      <c r="S71" s="106" t="n"/>
      <c r="T71">
        <f>IF(OR(G71="Closed Lost",G71="",NOT(ISNUMBER(H71))),"",H71)</f>
        <v/>
      </c>
    </row>
    <row r="72" ht="18" customHeight="1" s="96">
      <c r="A72" s="64" t="n">
        <v>70</v>
      </c>
      <c r="B72" s="65" t="n"/>
      <c r="C72" s="65" t="n"/>
      <c r="D72" s="65" t="n"/>
      <c r="E72" s="65" t="n"/>
      <c r="F72" s="66" t="n"/>
      <c r="G72" s="65" t="n"/>
      <c r="H72" s="66" t="n"/>
      <c r="I72" s="66" t="n"/>
      <c r="J72" s="67" t="n"/>
      <c r="K72" s="68">
        <f>IFERROR(VLOOKUP(G72,Stage_Lookup!$A$2:$B$8,2,0),"")</f>
        <v/>
      </c>
      <c r="L72" s="69" t="n"/>
      <c r="M72" s="69" t="n"/>
      <c r="N72" s="67" t="n"/>
      <c r="O72" s="65" t="n"/>
      <c r="P72" s="65" t="n"/>
      <c r="Q72" s="106" t="n"/>
      <c r="R72" s="106" t="n"/>
      <c r="S72" s="106" t="n"/>
      <c r="T72">
        <f>IF(OR(G72="Closed Lost",G72="",NOT(ISNUMBER(H72))),"",H72)</f>
        <v/>
      </c>
    </row>
    <row r="73" ht="18" customHeight="1" s="96">
      <c r="A73" s="57" t="n">
        <v>71</v>
      </c>
      <c r="B73" s="70" t="n"/>
      <c r="C73" s="70" t="n"/>
      <c r="D73" s="70" t="n"/>
      <c r="E73" s="70" t="n"/>
      <c r="F73" s="71" t="n"/>
      <c r="G73" s="70" t="n"/>
      <c r="H73" s="71" t="n"/>
      <c r="I73" s="71" t="n"/>
      <c r="J73" s="72" t="n"/>
      <c r="K73" s="73">
        <f>IFERROR(VLOOKUP(G73,Stage_Lookup!$A$2:$B$8,2,0),"")</f>
        <v/>
      </c>
      <c r="L73" s="69" t="n"/>
      <c r="M73" s="69" t="n"/>
      <c r="N73" s="72" t="n"/>
      <c r="O73" s="70" t="n"/>
      <c r="P73" s="70" t="n"/>
      <c r="Q73" s="106" t="n"/>
      <c r="R73" s="106" t="n"/>
      <c r="S73" s="106" t="n"/>
      <c r="T73">
        <f>IF(OR(G73="Closed Lost",G73="",NOT(ISNUMBER(H73))),"",H73)</f>
        <v/>
      </c>
    </row>
    <row r="74" ht="18" customHeight="1" s="96">
      <c r="A74" s="64" t="n">
        <v>72</v>
      </c>
      <c r="B74" s="65" t="n"/>
      <c r="C74" s="65" t="n"/>
      <c r="D74" s="65" t="n"/>
      <c r="E74" s="65" t="n"/>
      <c r="F74" s="66" t="n"/>
      <c r="G74" s="65" t="n"/>
      <c r="H74" s="66" t="n"/>
      <c r="I74" s="66" t="n"/>
      <c r="J74" s="67" t="n"/>
      <c r="K74" s="68">
        <f>IFERROR(VLOOKUP(G74,Stage_Lookup!$A$2:$B$8,2,0),"")</f>
        <v/>
      </c>
      <c r="L74" s="69" t="n"/>
      <c r="M74" s="69" t="n"/>
      <c r="N74" s="67" t="n"/>
      <c r="O74" s="65" t="n"/>
      <c r="P74" s="65" t="n"/>
      <c r="Q74" s="106" t="n"/>
      <c r="R74" s="106" t="n"/>
      <c r="S74" s="106" t="n"/>
      <c r="T74">
        <f>IF(OR(G74="Closed Lost",G74="",NOT(ISNUMBER(H74))),"",H74)</f>
        <v/>
      </c>
    </row>
    <row r="75" ht="18" customHeight="1" s="96">
      <c r="A75" s="57" t="n">
        <v>73</v>
      </c>
      <c r="B75" s="70" t="n"/>
      <c r="C75" s="70" t="n"/>
      <c r="D75" s="70" t="n"/>
      <c r="E75" s="70" t="n"/>
      <c r="F75" s="71" t="n"/>
      <c r="G75" s="70" t="n"/>
      <c r="H75" s="71" t="n"/>
      <c r="I75" s="71" t="n"/>
      <c r="J75" s="72" t="n"/>
      <c r="K75" s="73">
        <f>IFERROR(VLOOKUP(G75,Stage_Lookup!$A$2:$B$8,2,0),"")</f>
        <v/>
      </c>
      <c r="L75" s="69" t="n"/>
      <c r="M75" s="69" t="n"/>
      <c r="N75" s="72" t="n"/>
      <c r="O75" s="70" t="n"/>
      <c r="P75" s="70" t="n"/>
      <c r="Q75" s="106" t="n"/>
      <c r="R75" s="106" t="n"/>
      <c r="S75" s="106" t="n"/>
      <c r="T75">
        <f>IF(OR(G75="Closed Lost",G75="",NOT(ISNUMBER(H75))),"",H75)</f>
        <v/>
      </c>
    </row>
    <row r="76" ht="18" customHeight="1" s="96">
      <c r="A76" s="64" t="n">
        <v>74</v>
      </c>
      <c r="B76" s="65" t="n"/>
      <c r="C76" s="65" t="n"/>
      <c r="D76" s="65" t="n"/>
      <c r="E76" s="65" t="n"/>
      <c r="F76" s="66" t="n"/>
      <c r="G76" s="65" t="n"/>
      <c r="H76" s="66" t="n"/>
      <c r="I76" s="66" t="n"/>
      <c r="J76" s="67" t="n"/>
      <c r="K76" s="68">
        <f>IFERROR(VLOOKUP(G76,Stage_Lookup!$A$2:$B$8,2,0),"")</f>
        <v/>
      </c>
      <c r="L76" s="69" t="n"/>
      <c r="M76" s="69" t="n"/>
      <c r="N76" s="67" t="n"/>
      <c r="O76" s="65" t="n"/>
      <c r="P76" s="65" t="n"/>
      <c r="Q76" s="106" t="n"/>
      <c r="R76" s="106" t="n"/>
      <c r="S76" s="106" t="n"/>
      <c r="T76">
        <f>IF(OR(G76="Closed Lost",G76="",NOT(ISNUMBER(H76))),"",H76)</f>
        <v/>
      </c>
    </row>
    <row r="77" ht="18" customHeight="1" s="96">
      <c r="A77" s="57" t="n">
        <v>75</v>
      </c>
      <c r="B77" s="70" t="n"/>
      <c r="C77" s="70" t="n"/>
      <c r="D77" s="70" t="n"/>
      <c r="E77" s="70" t="n"/>
      <c r="F77" s="71" t="n"/>
      <c r="G77" s="70" t="n"/>
      <c r="H77" s="71" t="n"/>
      <c r="I77" s="71" t="n"/>
      <c r="J77" s="72" t="n"/>
      <c r="K77" s="73">
        <f>IFERROR(VLOOKUP(G77,Stage_Lookup!$A$2:$B$8,2,0),"")</f>
        <v/>
      </c>
      <c r="L77" s="69" t="n"/>
      <c r="M77" s="69" t="n"/>
      <c r="N77" s="72" t="n"/>
      <c r="O77" s="70" t="n"/>
      <c r="P77" s="70" t="n"/>
      <c r="Q77" s="106" t="n"/>
      <c r="R77" s="106" t="n"/>
      <c r="S77" s="106" t="n"/>
      <c r="T77">
        <f>IF(OR(G77="Closed Lost",G77="",NOT(ISNUMBER(H77))),"",H77)</f>
        <v/>
      </c>
    </row>
    <row r="78" ht="18" customHeight="1" s="96">
      <c r="A78" s="64" t="n">
        <v>76</v>
      </c>
      <c r="B78" s="65" t="n"/>
      <c r="C78" s="65" t="n"/>
      <c r="D78" s="65" t="n"/>
      <c r="E78" s="65" t="n"/>
      <c r="F78" s="66" t="n"/>
      <c r="G78" s="65" t="n"/>
      <c r="H78" s="66" t="n"/>
      <c r="I78" s="66" t="n"/>
      <c r="J78" s="67" t="n"/>
      <c r="K78" s="68">
        <f>IFERROR(VLOOKUP(G78,Stage_Lookup!$A$2:$B$8,2,0),"")</f>
        <v/>
      </c>
      <c r="L78" s="69" t="n"/>
      <c r="M78" s="69" t="n"/>
      <c r="N78" s="67" t="n"/>
      <c r="O78" s="65" t="n"/>
      <c r="P78" s="65" t="n"/>
      <c r="Q78" s="106" t="n"/>
      <c r="R78" s="106" t="n"/>
      <c r="S78" s="106" t="n"/>
      <c r="T78">
        <f>IF(OR(G78="Closed Lost",G78="",NOT(ISNUMBER(H78))),"",H78)</f>
        <v/>
      </c>
    </row>
    <row r="79" ht="18" customHeight="1" s="96">
      <c r="A79" s="57" t="n">
        <v>77</v>
      </c>
      <c r="B79" s="70" t="n"/>
      <c r="C79" s="70" t="n"/>
      <c r="D79" s="70" t="n"/>
      <c r="E79" s="70" t="n"/>
      <c r="F79" s="71" t="n"/>
      <c r="G79" s="70" t="n"/>
      <c r="H79" s="71" t="n"/>
      <c r="I79" s="71" t="n"/>
      <c r="J79" s="72" t="n"/>
      <c r="K79" s="73">
        <f>IFERROR(VLOOKUP(G79,Stage_Lookup!$A$2:$B$8,2,0),"")</f>
        <v/>
      </c>
      <c r="L79" s="69" t="n"/>
      <c r="M79" s="69" t="n"/>
      <c r="N79" s="72" t="n"/>
      <c r="O79" s="70" t="n"/>
      <c r="P79" s="70" t="n"/>
      <c r="Q79" s="106" t="n"/>
      <c r="R79" s="106" t="n"/>
      <c r="S79" s="106" t="n"/>
      <c r="T79">
        <f>IF(OR(G79="Closed Lost",G79="",NOT(ISNUMBER(H79))),"",H79)</f>
        <v/>
      </c>
    </row>
    <row r="80" ht="18" customHeight="1" s="96">
      <c r="A80" s="64" t="n">
        <v>78</v>
      </c>
      <c r="B80" s="65" t="n"/>
      <c r="C80" s="65" t="n"/>
      <c r="D80" s="65" t="n"/>
      <c r="E80" s="65" t="n"/>
      <c r="F80" s="66" t="n"/>
      <c r="G80" s="65" t="n"/>
      <c r="H80" s="66" t="n"/>
      <c r="I80" s="66" t="n"/>
      <c r="J80" s="67" t="n"/>
      <c r="K80" s="68">
        <f>IFERROR(VLOOKUP(G80,Stage_Lookup!$A$2:$B$8,2,0),"")</f>
        <v/>
      </c>
      <c r="L80" s="69" t="n"/>
      <c r="M80" s="69" t="n"/>
      <c r="N80" s="67" t="n"/>
      <c r="O80" s="65" t="n"/>
      <c r="P80" s="65" t="n"/>
      <c r="Q80" s="106" t="n"/>
      <c r="R80" s="106" t="n"/>
      <c r="S80" s="106" t="n"/>
      <c r="T80">
        <f>IF(OR(G80="Closed Lost",G80="",NOT(ISNUMBER(H80))),"",H80)</f>
        <v/>
      </c>
    </row>
    <row r="81" ht="18" customHeight="1" s="96">
      <c r="A81" s="57" t="n">
        <v>79</v>
      </c>
      <c r="B81" s="70" t="n"/>
      <c r="C81" s="70" t="n"/>
      <c r="D81" s="70" t="n"/>
      <c r="E81" s="70" t="n"/>
      <c r="F81" s="71" t="n"/>
      <c r="G81" s="70" t="n"/>
      <c r="H81" s="71" t="n"/>
      <c r="I81" s="71" t="n"/>
      <c r="J81" s="72" t="n"/>
      <c r="K81" s="73">
        <f>IFERROR(VLOOKUP(G81,Stage_Lookup!$A$2:$B$8,2,0),"")</f>
        <v/>
      </c>
      <c r="L81" s="69" t="n"/>
      <c r="M81" s="69" t="n"/>
      <c r="N81" s="72" t="n"/>
      <c r="O81" s="70" t="n"/>
      <c r="P81" s="70" t="n"/>
      <c r="Q81" s="106" t="n"/>
      <c r="R81" s="106" t="n"/>
      <c r="S81" s="106" t="n"/>
      <c r="T81">
        <f>IF(OR(G81="Closed Lost",G81="",NOT(ISNUMBER(H81))),"",H81)</f>
        <v/>
      </c>
    </row>
    <row r="82" ht="18" customHeight="1" s="96">
      <c r="A82" s="64" t="n">
        <v>80</v>
      </c>
      <c r="B82" s="65" t="n"/>
      <c r="C82" s="65" t="n"/>
      <c r="D82" s="65" t="n"/>
      <c r="E82" s="65" t="n"/>
      <c r="F82" s="66" t="n"/>
      <c r="G82" s="65" t="n"/>
      <c r="H82" s="66" t="n"/>
      <c r="I82" s="66" t="n"/>
      <c r="J82" s="67" t="n"/>
      <c r="K82" s="68">
        <f>IFERROR(VLOOKUP(G82,Stage_Lookup!$A$2:$B$8,2,0),"")</f>
        <v/>
      </c>
      <c r="L82" s="69" t="n"/>
      <c r="M82" s="69" t="n"/>
      <c r="N82" s="67" t="n"/>
      <c r="O82" s="65" t="n"/>
      <c r="P82" s="65" t="n"/>
      <c r="Q82" s="106" t="n"/>
      <c r="R82" s="106" t="n"/>
      <c r="S82" s="106" t="n"/>
      <c r="T82">
        <f>IF(OR(G82="Closed Lost",G82="",NOT(ISNUMBER(H82))),"",H82)</f>
        <v/>
      </c>
    </row>
    <row r="83" ht="18" customHeight="1" s="96">
      <c r="A83" s="57" t="n">
        <v>81</v>
      </c>
      <c r="B83" s="70" t="n"/>
      <c r="C83" s="70" t="n"/>
      <c r="D83" s="70" t="n"/>
      <c r="E83" s="70" t="n"/>
      <c r="F83" s="71" t="n"/>
      <c r="G83" s="70" t="n"/>
      <c r="H83" s="71" t="n"/>
      <c r="I83" s="71" t="n"/>
      <c r="J83" s="72" t="n"/>
      <c r="K83" s="73">
        <f>IFERROR(VLOOKUP(G83,Stage_Lookup!$A$2:$B$8,2,0),"")</f>
        <v/>
      </c>
      <c r="L83" s="69" t="n"/>
      <c r="M83" s="69" t="n"/>
      <c r="N83" s="72" t="n"/>
      <c r="O83" s="70" t="n"/>
      <c r="P83" s="70" t="n"/>
      <c r="Q83" s="106" t="n"/>
      <c r="R83" s="106" t="n"/>
      <c r="S83" s="106" t="n"/>
      <c r="T83">
        <f>IF(OR(G83="Closed Lost",G83="",NOT(ISNUMBER(H83))),"",H83)</f>
        <v/>
      </c>
    </row>
    <row r="84" ht="18" customHeight="1" s="96">
      <c r="A84" s="64" t="n">
        <v>82</v>
      </c>
      <c r="B84" s="65" t="n"/>
      <c r="C84" s="65" t="n"/>
      <c r="D84" s="65" t="n"/>
      <c r="E84" s="65" t="n"/>
      <c r="F84" s="66" t="n"/>
      <c r="G84" s="65" t="n"/>
      <c r="H84" s="66" t="n"/>
      <c r="I84" s="66" t="n"/>
      <c r="J84" s="67" t="n"/>
      <c r="K84" s="68">
        <f>IFERROR(VLOOKUP(G84,Stage_Lookup!$A$2:$B$8,2,0),"")</f>
        <v/>
      </c>
      <c r="L84" s="69" t="n"/>
      <c r="M84" s="69" t="n"/>
      <c r="N84" s="67" t="n"/>
      <c r="O84" s="65" t="n"/>
      <c r="P84" s="65" t="n"/>
      <c r="Q84" s="106" t="n"/>
      <c r="R84" s="106" t="n"/>
      <c r="S84" s="106" t="n"/>
      <c r="T84">
        <f>IF(OR(G84="Closed Lost",G84="",NOT(ISNUMBER(H84))),"",H84)</f>
        <v/>
      </c>
    </row>
    <row r="85" ht="18" customHeight="1" s="96">
      <c r="A85" s="57" t="n">
        <v>83</v>
      </c>
      <c r="B85" s="70" t="n"/>
      <c r="C85" s="70" t="n"/>
      <c r="D85" s="70" t="n"/>
      <c r="E85" s="70" t="n"/>
      <c r="F85" s="71" t="n"/>
      <c r="G85" s="70" t="n"/>
      <c r="H85" s="71" t="n"/>
      <c r="I85" s="71" t="n"/>
      <c r="J85" s="72" t="n"/>
      <c r="K85" s="73">
        <f>IFERROR(VLOOKUP(G85,Stage_Lookup!$A$2:$B$8,2,0),"")</f>
        <v/>
      </c>
      <c r="L85" s="69" t="n"/>
      <c r="M85" s="69" t="n"/>
      <c r="N85" s="72" t="n"/>
      <c r="O85" s="70" t="n"/>
      <c r="P85" s="70" t="n"/>
      <c r="Q85" s="106" t="n"/>
      <c r="R85" s="106" t="n"/>
      <c r="S85" s="106" t="n"/>
      <c r="T85">
        <f>IF(OR(G85="Closed Lost",G85="",NOT(ISNUMBER(H85))),"",H85)</f>
        <v/>
      </c>
    </row>
    <row r="86" ht="18" customHeight="1" s="96">
      <c r="A86" s="64" t="n">
        <v>84</v>
      </c>
      <c r="B86" s="65" t="n"/>
      <c r="C86" s="65" t="n"/>
      <c r="D86" s="65" t="n"/>
      <c r="E86" s="65" t="n"/>
      <c r="F86" s="66" t="n"/>
      <c r="G86" s="65" t="n"/>
      <c r="H86" s="74" t="n"/>
      <c r="I86" s="74" t="n"/>
      <c r="J86" s="67" t="n"/>
      <c r="K86" s="68">
        <f>IFERROR(VLOOKUP(G86,Stage_Lookup!$A$2:$B$8,2,0),"")</f>
        <v/>
      </c>
      <c r="L86" s="69" t="n"/>
      <c r="M86" s="69" t="n"/>
      <c r="N86" s="67" t="n"/>
      <c r="O86" s="65" t="n"/>
      <c r="P86" s="65" t="n"/>
      <c r="Q86" s="106" t="n"/>
      <c r="R86" s="106" t="n"/>
      <c r="S86" s="106" t="n"/>
      <c r="T86">
        <f>IF(OR(G86="Closed Lost",G86="",NOT(ISNUMBER(H86))),"",H86)</f>
        <v/>
      </c>
    </row>
    <row r="87" ht="18" customHeight="1" s="96">
      <c r="A87" s="57" t="n">
        <v>85</v>
      </c>
      <c r="B87" s="70" t="n"/>
      <c r="C87" s="70" t="n"/>
      <c r="D87" s="70" t="n"/>
      <c r="E87" s="70" t="n"/>
      <c r="F87" s="71" t="n"/>
      <c r="G87" s="70" t="n"/>
      <c r="H87" s="75" t="n"/>
      <c r="I87" s="75" t="n"/>
      <c r="J87" s="72" t="n"/>
      <c r="K87" s="73">
        <f>IFERROR(VLOOKUP(G87,Stage_Lookup!$A$2:$B$8,2,0),"")</f>
        <v/>
      </c>
      <c r="L87" s="69" t="n"/>
      <c r="M87" s="69" t="n"/>
      <c r="N87" s="72" t="n"/>
      <c r="O87" s="70" t="n"/>
      <c r="P87" s="70" t="n"/>
      <c r="Q87" s="106" t="n"/>
      <c r="R87" s="106" t="n"/>
      <c r="S87" s="106" t="n"/>
      <c r="T87">
        <f>IF(OR(G87="Closed Lost",G87="",NOT(ISNUMBER(H87))),"",H87)</f>
        <v/>
      </c>
    </row>
    <row r="88" ht="18" customHeight="1" s="96">
      <c r="A88" s="64" t="n">
        <v>86</v>
      </c>
      <c r="B88" s="65" t="n"/>
      <c r="C88" s="65" t="n"/>
      <c r="D88" s="65" t="n"/>
      <c r="E88" s="65" t="n"/>
      <c r="F88" s="66" t="n"/>
      <c r="G88" s="65" t="n"/>
      <c r="H88" s="74" t="n"/>
      <c r="I88" s="74" t="n"/>
      <c r="J88" s="67" t="n"/>
      <c r="K88" s="68">
        <f>IFERROR(VLOOKUP(G88,Stage_Lookup!$A$2:$B$8,2,0),"")</f>
        <v/>
      </c>
      <c r="L88" s="69" t="n"/>
      <c r="M88" s="69" t="n"/>
      <c r="N88" s="67" t="n"/>
      <c r="O88" s="65" t="n"/>
      <c r="P88" s="65" t="n"/>
      <c r="Q88" s="106" t="n"/>
      <c r="R88" s="106" t="n"/>
      <c r="S88" s="106" t="n"/>
      <c r="T88">
        <f>IF(OR(G88="Closed Lost",G88="",NOT(ISNUMBER(H88))),"",H88)</f>
        <v/>
      </c>
    </row>
    <row r="89" ht="18" customHeight="1" s="96">
      <c r="A89" s="57" t="n">
        <v>87</v>
      </c>
      <c r="B89" s="70" t="n"/>
      <c r="C89" s="70" t="n"/>
      <c r="D89" s="70" t="n"/>
      <c r="E89" s="70" t="n"/>
      <c r="F89" s="71" t="n"/>
      <c r="G89" s="70" t="n"/>
      <c r="H89" s="75" t="n"/>
      <c r="I89" s="75" t="n"/>
      <c r="J89" s="72" t="n"/>
      <c r="K89" s="73">
        <f>IFERROR(VLOOKUP(G89,Stage_Lookup!$A$2:$B$8,2,0),"")</f>
        <v/>
      </c>
      <c r="L89" s="69" t="n"/>
      <c r="M89" s="69" t="n"/>
      <c r="N89" s="72" t="n"/>
      <c r="O89" s="70" t="n"/>
      <c r="P89" s="70" t="n"/>
      <c r="Q89" s="106" t="n"/>
      <c r="R89" s="106" t="n"/>
      <c r="S89" s="106" t="n"/>
      <c r="T89">
        <f>IF(OR(G89="Closed Lost",G89="",NOT(ISNUMBER(H89))),"",H89)</f>
        <v/>
      </c>
    </row>
    <row r="90" ht="18" customHeight="1" s="96">
      <c r="A90" s="64" t="n">
        <v>88</v>
      </c>
      <c r="B90" s="65" t="n"/>
      <c r="C90" s="65" t="n"/>
      <c r="D90" s="65" t="n"/>
      <c r="E90" s="65" t="n"/>
      <c r="F90" s="66" t="n"/>
      <c r="G90" s="65" t="n"/>
      <c r="H90" s="74" t="n"/>
      <c r="I90" s="74" t="n"/>
      <c r="J90" s="67" t="n"/>
      <c r="K90" s="68">
        <f>IFERROR(VLOOKUP(G90,Stage_Lookup!$A$2:$B$8,2,0),"")</f>
        <v/>
      </c>
      <c r="L90" s="69" t="n"/>
      <c r="M90" s="69" t="n"/>
      <c r="N90" s="67" t="n"/>
      <c r="O90" s="65" t="n"/>
      <c r="P90" s="65" t="n"/>
      <c r="Q90" s="106" t="n"/>
      <c r="R90" s="106" t="n"/>
      <c r="S90" s="106" t="n"/>
      <c r="T90">
        <f>IF(OR(G90="Closed Lost",G90="",NOT(ISNUMBER(H90))),"",H90)</f>
        <v/>
      </c>
    </row>
    <row r="91" ht="18" customHeight="1" s="96">
      <c r="A91" s="57" t="n">
        <v>89</v>
      </c>
      <c r="B91" s="70" t="n"/>
      <c r="C91" s="70" t="n"/>
      <c r="D91" s="70" t="n"/>
      <c r="E91" s="70" t="n"/>
      <c r="F91" s="71" t="n"/>
      <c r="G91" s="70" t="n"/>
      <c r="H91" s="75" t="n"/>
      <c r="I91" s="75" t="n"/>
      <c r="J91" s="72" t="n"/>
      <c r="K91" s="73">
        <f>IFERROR(VLOOKUP(G91,Stage_Lookup!$A$2:$B$8,2,0),"")</f>
        <v/>
      </c>
      <c r="L91" s="69" t="n"/>
      <c r="M91" s="69" t="n"/>
      <c r="N91" s="72" t="n"/>
      <c r="O91" s="70" t="n"/>
      <c r="P91" s="70" t="n"/>
      <c r="Q91" s="106" t="n"/>
      <c r="R91" s="106" t="n"/>
      <c r="S91" s="106" t="n"/>
      <c r="T91">
        <f>IF(OR(G91="Closed Lost",G91="",NOT(ISNUMBER(H91))),"",H91)</f>
        <v/>
      </c>
    </row>
    <row r="92" ht="18" customHeight="1" s="96">
      <c r="A92" s="64" t="n">
        <v>90</v>
      </c>
      <c r="B92" s="65" t="n"/>
      <c r="C92" s="65" t="n"/>
      <c r="D92" s="65" t="n"/>
      <c r="E92" s="65" t="n"/>
      <c r="F92" s="66" t="n"/>
      <c r="G92" s="65" t="n"/>
      <c r="H92" s="74" t="n"/>
      <c r="I92" s="74" t="n"/>
      <c r="J92" s="67" t="n"/>
      <c r="K92" s="68">
        <f>IFERROR(VLOOKUP(G92,Stage_Lookup!$A$2:$B$8,2,0),"")</f>
        <v/>
      </c>
      <c r="L92" s="69" t="n"/>
      <c r="M92" s="69" t="n"/>
      <c r="N92" s="67" t="n"/>
      <c r="O92" s="65" t="n"/>
      <c r="P92" s="65" t="n"/>
      <c r="Q92" s="106" t="n"/>
      <c r="R92" s="106" t="n"/>
      <c r="S92" s="106" t="n"/>
      <c r="T92">
        <f>IF(OR(G92="Closed Lost",G92="",NOT(ISNUMBER(H92))),"",H92)</f>
        <v/>
      </c>
    </row>
    <row r="93" ht="18" customHeight="1" s="96">
      <c r="A93" s="57" t="n">
        <v>91</v>
      </c>
      <c r="B93" s="70" t="n"/>
      <c r="C93" s="70" t="n"/>
      <c r="D93" s="70" t="n"/>
      <c r="E93" s="70" t="n"/>
      <c r="F93" s="71" t="n"/>
      <c r="G93" s="70" t="n"/>
      <c r="H93" s="75" t="n"/>
      <c r="I93" s="75" t="n"/>
      <c r="J93" s="72" t="n"/>
      <c r="K93" s="73">
        <f>IFERROR(VLOOKUP(G93,Stage_Lookup!$A$2:$B$8,2,0),"")</f>
        <v/>
      </c>
      <c r="L93" s="69" t="n"/>
      <c r="M93" s="69" t="n"/>
      <c r="N93" s="72" t="n"/>
      <c r="O93" s="70" t="n"/>
      <c r="P93" s="70" t="n"/>
      <c r="Q93" s="106" t="n"/>
      <c r="R93" s="106" t="n"/>
      <c r="S93" s="106" t="n"/>
      <c r="T93">
        <f>IF(OR(G93="Closed Lost",G93="",NOT(ISNUMBER(H93))),"",H93)</f>
        <v/>
      </c>
    </row>
    <row r="94" ht="18" customHeight="1" s="96">
      <c r="A94" s="64" t="n">
        <v>92</v>
      </c>
      <c r="B94" s="65" t="n"/>
      <c r="C94" s="65" t="n"/>
      <c r="D94" s="65" t="n"/>
      <c r="E94" s="65" t="n"/>
      <c r="F94" s="66" t="n"/>
      <c r="G94" s="65" t="n"/>
      <c r="H94" s="74" t="n"/>
      <c r="I94" s="74" t="n"/>
      <c r="J94" s="67" t="n"/>
      <c r="K94" s="68">
        <f>IFERROR(VLOOKUP(G94,Stage_Lookup!$A$2:$B$8,2,0),"")</f>
        <v/>
      </c>
      <c r="L94" s="69" t="n"/>
      <c r="M94" s="69" t="n"/>
      <c r="N94" s="67" t="n"/>
      <c r="O94" s="65" t="n"/>
      <c r="P94" s="65" t="n"/>
      <c r="Q94" s="106" t="n"/>
      <c r="R94" s="106" t="n"/>
      <c r="S94" s="106" t="n"/>
      <c r="T94">
        <f>IF(OR(G94="Closed Lost",G94="",NOT(ISNUMBER(H94))),"",H94)</f>
        <v/>
      </c>
    </row>
    <row r="95" ht="18" customHeight="1" s="96">
      <c r="A95" s="57" t="n">
        <v>93</v>
      </c>
      <c r="B95" s="70" t="n"/>
      <c r="C95" s="70" t="n"/>
      <c r="D95" s="70" t="n"/>
      <c r="E95" s="70" t="n"/>
      <c r="F95" s="71" t="n"/>
      <c r="G95" s="70" t="n"/>
      <c r="H95" s="75" t="n"/>
      <c r="I95" s="75" t="n"/>
      <c r="J95" s="72" t="n"/>
      <c r="K95" s="73">
        <f>IFERROR(VLOOKUP(G95,Stage_Lookup!$A$2:$B$8,2,0),"")</f>
        <v/>
      </c>
      <c r="L95" s="69" t="n"/>
      <c r="M95" s="69" t="n"/>
      <c r="N95" s="72" t="n"/>
      <c r="O95" s="70" t="n"/>
      <c r="P95" s="70" t="n"/>
      <c r="Q95" s="106" t="n"/>
      <c r="R95" s="106" t="n"/>
      <c r="S95" s="106" t="n"/>
      <c r="T95">
        <f>IF(OR(G95="Closed Lost",G95="",NOT(ISNUMBER(H95))),"",H95)</f>
        <v/>
      </c>
    </row>
    <row r="96" ht="18" customHeight="1" s="96">
      <c r="A96" s="64" t="n">
        <v>94</v>
      </c>
      <c r="B96" s="65" t="n"/>
      <c r="C96" s="65" t="n"/>
      <c r="D96" s="65" t="n"/>
      <c r="E96" s="65" t="n"/>
      <c r="F96" s="66" t="n"/>
      <c r="G96" s="65" t="n"/>
      <c r="H96" s="74" t="n"/>
      <c r="I96" s="74" t="n"/>
      <c r="J96" s="67" t="n"/>
      <c r="K96" s="68">
        <f>IFERROR(VLOOKUP(G96,Stage_Lookup!$A$2:$B$8,2,0),"")</f>
        <v/>
      </c>
      <c r="L96" s="69" t="n"/>
      <c r="M96" s="69" t="n"/>
      <c r="N96" s="67" t="n"/>
      <c r="O96" s="65" t="n"/>
      <c r="P96" s="65" t="n"/>
      <c r="Q96" s="106" t="n"/>
      <c r="R96" s="106" t="n"/>
      <c r="S96" s="106" t="n"/>
      <c r="T96">
        <f>IF(OR(G96="Closed Lost",G96="",NOT(ISNUMBER(H96))),"",H96)</f>
        <v/>
      </c>
    </row>
    <row r="97" ht="18" customHeight="1" s="96">
      <c r="A97" s="57" t="n">
        <v>95</v>
      </c>
      <c r="B97" s="70" t="n"/>
      <c r="C97" s="70" t="n"/>
      <c r="D97" s="70" t="n"/>
      <c r="E97" s="70" t="n"/>
      <c r="F97" s="71" t="n"/>
      <c r="G97" s="70" t="n"/>
      <c r="H97" s="75" t="n"/>
      <c r="I97" s="75" t="n"/>
      <c r="J97" s="72" t="n"/>
      <c r="K97" s="73">
        <f>IFERROR(VLOOKUP(G97,Stage_Lookup!$A$2:$B$8,2,0),"")</f>
        <v/>
      </c>
      <c r="L97" s="69" t="n"/>
      <c r="M97" s="69" t="n"/>
      <c r="N97" s="72" t="n"/>
      <c r="O97" s="70" t="n"/>
      <c r="P97" s="70" t="n"/>
      <c r="Q97" s="106" t="n"/>
      <c r="R97" s="106" t="n"/>
      <c r="S97" s="106" t="n"/>
      <c r="T97">
        <f>IF(OR(G97="Closed Lost",G97="",NOT(ISNUMBER(H97))),"",H97)</f>
        <v/>
      </c>
    </row>
    <row r="98" ht="18" customHeight="1" s="96">
      <c r="A98" s="64" t="n">
        <v>96</v>
      </c>
      <c r="B98" s="65" t="n"/>
      <c r="C98" s="65" t="n"/>
      <c r="D98" s="65" t="n"/>
      <c r="E98" s="65" t="n"/>
      <c r="F98" s="66" t="n"/>
      <c r="G98" s="65" t="n"/>
      <c r="H98" s="74" t="n"/>
      <c r="I98" s="74" t="n"/>
      <c r="J98" s="67" t="n"/>
      <c r="K98" s="68">
        <f>IFERROR(VLOOKUP(G98,Stage_Lookup!$A$2:$B$8,2,0),"")</f>
        <v/>
      </c>
      <c r="L98" s="69" t="n"/>
      <c r="M98" s="69" t="n"/>
      <c r="N98" s="67" t="n"/>
      <c r="O98" s="65" t="n"/>
      <c r="P98" s="65" t="n"/>
      <c r="Q98" s="106" t="n"/>
      <c r="R98" s="106" t="n"/>
      <c r="S98" s="106" t="n"/>
      <c r="T98">
        <f>IF(OR(G98="Closed Lost",G98="",NOT(ISNUMBER(H98))),"",H98)</f>
        <v/>
      </c>
    </row>
    <row r="99" ht="18" customHeight="1" s="96">
      <c r="A99" s="57" t="n">
        <v>97</v>
      </c>
      <c r="B99" s="70" t="n"/>
      <c r="C99" s="70" t="n"/>
      <c r="D99" s="70" t="n"/>
      <c r="E99" s="70" t="n"/>
      <c r="F99" s="71" t="n"/>
      <c r="G99" s="70" t="n"/>
      <c r="H99" s="75" t="n"/>
      <c r="I99" s="75" t="n"/>
      <c r="J99" s="72" t="n"/>
      <c r="K99" s="73">
        <f>IFERROR(VLOOKUP(G99,Stage_Lookup!$A$2:$B$8,2,0),"")</f>
        <v/>
      </c>
      <c r="L99" s="69" t="n"/>
      <c r="M99" s="69" t="n"/>
      <c r="N99" s="72" t="n"/>
      <c r="O99" s="70" t="n"/>
      <c r="P99" s="70" t="n"/>
      <c r="Q99" s="106" t="n"/>
      <c r="R99" s="106" t="n"/>
      <c r="S99" s="106" t="n"/>
      <c r="T99">
        <f>IF(OR(G99="Closed Lost",G99="",NOT(ISNUMBER(H99))),"",H99)</f>
        <v/>
      </c>
    </row>
    <row r="100" ht="18" customHeight="1" s="96">
      <c r="A100" s="64" t="n">
        <v>98</v>
      </c>
      <c r="B100" s="65" t="n"/>
      <c r="C100" s="65" t="n"/>
      <c r="D100" s="65" t="n"/>
      <c r="E100" s="65" t="n"/>
      <c r="F100" s="66" t="n"/>
      <c r="G100" s="65" t="n"/>
      <c r="H100" s="74" t="n"/>
      <c r="I100" s="74" t="n"/>
      <c r="J100" s="67" t="n"/>
      <c r="K100" s="68">
        <f>IFERROR(VLOOKUP(G100,Stage_Lookup!$A$2:$B$8,2,0),"")</f>
        <v/>
      </c>
      <c r="L100" s="69" t="n"/>
      <c r="M100" s="69" t="n"/>
      <c r="N100" s="67" t="n"/>
      <c r="O100" s="65" t="n"/>
      <c r="P100" s="65" t="n"/>
      <c r="Q100" s="106" t="n"/>
      <c r="R100" s="106" t="n"/>
      <c r="S100" s="106" t="n"/>
      <c r="T100">
        <f>IF(OR(G100="Closed Lost",G100="",NOT(ISNUMBER(H100))),"",H100)</f>
        <v/>
      </c>
    </row>
    <row r="101" ht="18" customHeight="1" s="96">
      <c r="A101" s="57" t="n">
        <v>99</v>
      </c>
      <c r="B101" s="70" t="n"/>
      <c r="C101" s="70" t="n"/>
      <c r="D101" s="70" t="n"/>
      <c r="E101" s="70" t="n"/>
      <c r="F101" s="71" t="n"/>
      <c r="G101" s="70" t="n"/>
      <c r="H101" s="75" t="n"/>
      <c r="I101" s="75" t="n"/>
      <c r="J101" s="72" t="n"/>
      <c r="K101" s="73">
        <f>IFERROR(VLOOKUP(G101,Stage_Lookup!$A$2:$B$8,2,0),"")</f>
        <v/>
      </c>
      <c r="L101" s="69" t="n"/>
      <c r="M101" s="69" t="n"/>
      <c r="N101" s="72" t="n"/>
      <c r="O101" s="70" t="n"/>
      <c r="P101" s="70" t="n"/>
      <c r="Q101" s="106" t="n"/>
      <c r="R101" s="106" t="n"/>
      <c r="S101" s="106" t="n"/>
      <c r="T101">
        <f>IF(OR(G101="Closed Lost",G101="",NOT(ISNUMBER(H101))),"",H101)</f>
        <v/>
      </c>
    </row>
    <row r="102" ht="18" customHeight="1" s="96">
      <c r="A102" s="64" t="n">
        <v>100</v>
      </c>
      <c r="B102" s="65" t="n"/>
      <c r="C102" s="65" t="n"/>
      <c r="D102" s="65" t="n"/>
      <c r="E102" s="65" t="n"/>
      <c r="F102" s="66" t="n"/>
      <c r="G102" s="65" t="n"/>
      <c r="H102" s="74" t="n"/>
      <c r="I102" s="74" t="n"/>
      <c r="J102" s="67" t="n"/>
      <c r="K102" s="68">
        <f>IFERROR(VLOOKUP(G102,Stage_Lookup!$A$2:$B$8,2,0),"")</f>
        <v/>
      </c>
      <c r="L102" s="69" t="n"/>
      <c r="M102" s="69" t="n"/>
      <c r="N102" s="67" t="n"/>
      <c r="O102" s="65" t="n"/>
      <c r="P102" s="65" t="n"/>
      <c r="Q102" s="106" t="n"/>
      <c r="R102" s="106" t="n"/>
      <c r="S102" s="106" t="n"/>
      <c r="T102">
        <f>IF(OR(G102="Closed Lost",G102="",NOT(ISNUMBER(H102))),"",H102)</f>
        <v/>
      </c>
    </row>
    <row r="103" ht="18" customHeight="1" s="96">
      <c r="A103" s="57" t="n">
        <v>101</v>
      </c>
      <c r="B103" s="70" t="n"/>
      <c r="C103" s="70" t="n"/>
      <c r="D103" s="70" t="n"/>
      <c r="E103" s="70" t="n"/>
      <c r="F103" s="71" t="n"/>
      <c r="G103" s="70" t="n"/>
      <c r="H103" s="75" t="n"/>
      <c r="I103" s="75" t="n"/>
      <c r="J103" s="72" t="n"/>
      <c r="K103" s="73">
        <f>IFERROR(VLOOKUP(G103,Stage_Lookup!$A$2:$B$8,2,0),"")</f>
        <v/>
      </c>
      <c r="L103" s="69" t="n"/>
      <c r="M103" s="69" t="n"/>
      <c r="N103" s="72" t="n"/>
      <c r="O103" s="70" t="n"/>
      <c r="P103" s="70" t="n"/>
      <c r="Q103" s="106" t="n"/>
      <c r="R103" s="106" t="n"/>
      <c r="S103" s="106" t="n"/>
      <c r="T103">
        <f>IF(OR(G103="Closed Lost",G103="",NOT(ISNUMBER(H103))),"",H103)</f>
        <v/>
      </c>
    </row>
    <row r="104" ht="18" customHeight="1" s="96">
      <c r="A104" s="64" t="n">
        <v>102</v>
      </c>
      <c r="B104" s="65" t="n"/>
      <c r="C104" s="65" t="n"/>
      <c r="D104" s="65" t="n"/>
      <c r="E104" s="65" t="n"/>
      <c r="F104" s="66" t="n"/>
      <c r="G104" s="65" t="n"/>
      <c r="H104" s="74" t="n"/>
      <c r="I104" s="74" t="n"/>
      <c r="J104" s="67" t="n"/>
      <c r="K104" s="68">
        <f>IFERROR(VLOOKUP(G104,Stage_Lookup!$A$2:$B$8,2,0),"")</f>
        <v/>
      </c>
      <c r="L104" s="69" t="n"/>
      <c r="M104" s="69" t="n"/>
      <c r="N104" s="67" t="n"/>
      <c r="O104" s="65" t="n"/>
      <c r="P104" s="65" t="n"/>
      <c r="Q104" s="106" t="n"/>
      <c r="R104" s="106" t="n"/>
      <c r="S104" s="106" t="n"/>
      <c r="T104">
        <f>IF(OR(G104="Closed Lost",G104="",NOT(ISNUMBER(H104))),"",H104)</f>
        <v/>
      </c>
    </row>
    <row r="105" ht="18" customHeight="1" s="96">
      <c r="A105" s="57" t="n">
        <v>103</v>
      </c>
      <c r="B105" s="70" t="n"/>
      <c r="C105" s="70" t="n"/>
      <c r="D105" s="70" t="n"/>
      <c r="E105" s="70" t="n"/>
      <c r="F105" s="71" t="n"/>
      <c r="G105" s="70" t="n"/>
      <c r="H105" s="75" t="n"/>
      <c r="I105" s="75" t="n"/>
      <c r="J105" s="72" t="n"/>
      <c r="K105" s="73">
        <f>IFERROR(VLOOKUP(G105,Stage_Lookup!$A$2:$B$8,2,0),"")</f>
        <v/>
      </c>
      <c r="L105" s="69" t="n"/>
      <c r="M105" s="69" t="n"/>
      <c r="N105" s="72" t="n"/>
      <c r="O105" s="70" t="n"/>
      <c r="P105" s="70" t="n"/>
      <c r="Q105" s="106" t="n"/>
      <c r="R105" s="106" t="n"/>
      <c r="S105" s="106" t="n"/>
      <c r="T105">
        <f>IF(OR(G105="Closed Lost",G105="",NOT(ISNUMBER(H105))),"",H105)</f>
        <v/>
      </c>
    </row>
    <row r="106" ht="18" customHeight="1" s="96">
      <c r="A106" s="64" t="n">
        <v>104</v>
      </c>
      <c r="B106" s="65" t="n"/>
      <c r="C106" s="65" t="n"/>
      <c r="D106" s="65" t="n"/>
      <c r="E106" s="65" t="n"/>
      <c r="F106" s="66" t="n"/>
      <c r="G106" s="65" t="n"/>
      <c r="H106" s="74" t="n"/>
      <c r="I106" s="74" t="n"/>
      <c r="J106" s="67" t="n"/>
      <c r="K106" s="68">
        <f>IFERROR(VLOOKUP(G106,Stage_Lookup!$A$2:$B$8,2,0),"")</f>
        <v/>
      </c>
      <c r="L106" s="69" t="n"/>
      <c r="M106" s="69" t="n"/>
      <c r="N106" s="67" t="n"/>
      <c r="O106" s="65" t="n"/>
      <c r="P106" s="65" t="n"/>
      <c r="Q106" s="106" t="n"/>
      <c r="R106" s="106" t="n"/>
      <c r="S106" s="106" t="n"/>
      <c r="T106">
        <f>IF(OR(G106="Closed Lost",G106="",NOT(ISNUMBER(H106))),"",H106)</f>
        <v/>
      </c>
    </row>
    <row r="107" ht="18" customHeight="1" s="96">
      <c r="A107" s="57" t="n">
        <v>105</v>
      </c>
      <c r="B107" s="70" t="n"/>
      <c r="C107" s="70" t="n"/>
      <c r="D107" s="70" t="n"/>
      <c r="E107" s="70" t="n"/>
      <c r="F107" s="71" t="n"/>
      <c r="G107" s="70" t="n"/>
      <c r="H107" s="75" t="n"/>
      <c r="I107" s="75" t="n"/>
      <c r="J107" s="72" t="n"/>
      <c r="K107" s="73">
        <f>IFERROR(VLOOKUP(G107,Stage_Lookup!$A$2:$B$8,2,0),"")</f>
        <v/>
      </c>
      <c r="L107" s="69" t="n"/>
      <c r="M107" s="69" t="n"/>
      <c r="N107" s="72" t="n"/>
      <c r="O107" s="70" t="n"/>
      <c r="P107" s="70" t="n"/>
      <c r="Q107" s="106" t="n"/>
      <c r="R107" s="106" t="n"/>
      <c r="S107" s="106" t="n"/>
      <c r="T107">
        <f>IF(OR(G107="Closed Lost",G107="",NOT(ISNUMBER(H107))),"",H107)</f>
        <v/>
      </c>
    </row>
    <row r="108" ht="18" customHeight="1" s="96">
      <c r="A108" s="64" t="n">
        <v>106</v>
      </c>
      <c r="B108" s="65" t="n"/>
      <c r="C108" s="65" t="n"/>
      <c r="D108" s="65" t="n"/>
      <c r="E108" s="65" t="n"/>
      <c r="F108" s="66" t="n"/>
      <c r="G108" s="65" t="n"/>
      <c r="H108" s="74" t="n"/>
      <c r="I108" s="74" t="n"/>
      <c r="J108" s="67" t="n"/>
      <c r="K108" s="68">
        <f>IFERROR(VLOOKUP(G108,Stage_Lookup!$A$2:$B$8,2,0),"")</f>
        <v/>
      </c>
      <c r="L108" s="69" t="n"/>
      <c r="M108" s="69" t="n"/>
      <c r="N108" s="67" t="n"/>
      <c r="O108" s="65" t="n"/>
      <c r="P108" s="65" t="n"/>
      <c r="Q108" s="106" t="n"/>
      <c r="R108" s="106" t="n"/>
      <c r="S108" s="106" t="n"/>
      <c r="T108">
        <f>IF(OR(G108="Closed Lost",G108="",NOT(ISNUMBER(H108))),"",H108)</f>
        <v/>
      </c>
    </row>
    <row r="109" ht="18" customHeight="1" s="96">
      <c r="A109" s="57" t="n">
        <v>107</v>
      </c>
      <c r="B109" s="70" t="n"/>
      <c r="C109" s="70" t="n"/>
      <c r="D109" s="70" t="n"/>
      <c r="E109" s="70" t="n"/>
      <c r="F109" s="71" t="n"/>
      <c r="G109" s="70" t="n"/>
      <c r="H109" s="75" t="n"/>
      <c r="I109" s="75" t="n"/>
      <c r="J109" s="72" t="n"/>
      <c r="K109" s="73">
        <f>IFERROR(VLOOKUP(G109,Stage_Lookup!$A$2:$B$8,2,0),"")</f>
        <v/>
      </c>
      <c r="L109" s="69" t="n"/>
      <c r="M109" s="69" t="n"/>
      <c r="N109" s="72" t="n"/>
      <c r="O109" s="70" t="n"/>
      <c r="P109" s="70" t="n"/>
      <c r="Q109" s="106" t="n"/>
      <c r="R109" s="106" t="n"/>
      <c r="S109" s="106" t="n"/>
      <c r="T109">
        <f>IF(OR(G109="Closed Lost",G109="",NOT(ISNUMBER(H109))),"",H109)</f>
        <v/>
      </c>
    </row>
    <row r="110" ht="18" customHeight="1" s="96">
      <c r="A110" s="64" t="n">
        <v>108</v>
      </c>
      <c r="B110" s="65" t="n"/>
      <c r="C110" s="65" t="n"/>
      <c r="D110" s="65" t="n"/>
      <c r="E110" s="65" t="n"/>
      <c r="F110" s="66" t="n"/>
      <c r="G110" s="65" t="n"/>
      <c r="H110" s="74" t="n"/>
      <c r="I110" s="74" t="n"/>
      <c r="J110" s="67" t="n"/>
      <c r="K110" s="68">
        <f>IFERROR(VLOOKUP(G110,Stage_Lookup!$A$2:$B$8,2,0),"")</f>
        <v/>
      </c>
      <c r="L110" s="69" t="n"/>
      <c r="M110" s="69" t="n"/>
      <c r="N110" s="67" t="n"/>
      <c r="O110" s="65" t="n"/>
      <c r="P110" s="65" t="n"/>
      <c r="Q110" s="106" t="n"/>
      <c r="R110" s="106" t="n"/>
      <c r="S110" s="106" t="n"/>
      <c r="T110">
        <f>IF(OR(G110="Closed Lost",G110="",NOT(ISNUMBER(H110))),"",H110)</f>
        <v/>
      </c>
    </row>
    <row r="111" ht="18" customHeight="1" s="96">
      <c r="A111" s="57" t="n">
        <v>109</v>
      </c>
      <c r="B111" s="70" t="n"/>
      <c r="C111" s="70" t="n"/>
      <c r="D111" s="70" t="n"/>
      <c r="E111" s="70" t="n"/>
      <c r="F111" s="71" t="n"/>
      <c r="G111" s="70" t="n"/>
      <c r="H111" s="75" t="n"/>
      <c r="I111" s="75" t="n"/>
      <c r="J111" s="72" t="n"/>
      <c r="K111" s="73">
        <f>IFERROR(VLOOKUP(G111,Stage_Lookup!$A$2:$B$8,2,0),"")</f>
        <v/>
      </c>
      <c r="L111" s="69" t="n"/>
      <c r="M111" s="69" t="n"/>
      <c r="N111" s="72" t="n"/>
      <c r="O111" s="70" t="n"/>
      <c r="P111" s="70" t="n"/>
      <c r="Q111" s="106" t="n"/>
      <c r="R111" s="106" t="n"/>
      <c r="S111" s="106" t="n"/>
      <c r="T111">
        <f>IF(OR(G111="Closed Lost",G111="",NOT(ISNUMBER(H111))),"",H111)</f>
        <v/>
      </c>
    </row>
    <row r="112" ht="18" customHeight="1" s="96">
      <c r="A112" s="64" t="n">
        <v>110</v>
      </c>
      <c r="B112" s="65" t="n"/>
      <c r="C112" s="65" t="n"/>
      <c r="D112" s="65" t="n"/>
      <c r="E112" s="65" t="n"/>
      <c r="F112" s="66" t="n"/>
      <c r="G112" s="65" t="n"/>
      <c r="H112" s="74" t="n"/>
      <c r="I112" s="74" t="n"/>
      <c r="J112" s="67" t="n"/>
      <c r="K112" s="68">
        <f>IFERROR(VLOOKUP(G112,Stage_Lookup!$A$2:$B$8,2,0),"")</f>
        <v/>
      </c>
      <c r="L112" s="69" t="n"/>
      <c r="M112" s="69" t="n"/>
      <c r="N112" s="67" t="n"/>
      <c r="O112" s="65" t="n"/>
      <c r="P112" s="65" t="n"/>
      <c r="Q112" s="106" t="n"/>
      <c r="R112" s="106" t="n"/>
      <c r="S112" s="106" t="n"/>
      <c r="T112">
        <f>IF(OR(G112="Closed Lost",G112="",NOT(ISNUMBER(H112))),"",H112)</f>
        <v/>
      </c>
    </row>
    <row r="113" ht="18" customHeight="1" s="96">
      <c r="A113" s="57" t="n">
        <v>111</v>
      </c>
      <c r="B113" s="70" t="n"/>
      <c r="C113" s="70" t="n"/>
      <c r="D113" s="70" t="n"/>
      <c r="E113" s="70" t="n"/>
      <c r="F113" s="71" t="n"/>
      <c r="G113" s="70" t="n"/>
      <c r="H113" s="75" t="n"/>
      <c r="I113" s="75" t="n"/>
      <c r="J113" s="72" t="n"/>
      <c r="K113" s="73">
        <f>IFERROR(VLOOKUP(G113,Stage_Lookup!$A$2:$B$8,2,0),"")</f>
        <v/>
      </c>
      <c r="L113" s="69" t="n"/>
      <c r="M113" s="69" t="n"/>
      <c r="N113" s="72" t="n"/>
      <c r="O113" s="70" t="n"/>
      <c r="P113" s="70" t="n"/>
      <c r="Q113" s="106" t="n"/>
      <c r="R113" s="106" t="n"/>
      <c r="S113" s="106" t="n"/>
      <c r="T113">
        <f>IF(OR(G113="Closed Lost",G113="",NOT(ISNUMBER(H113))),"",H113)</f>
        <v/>
      </c>
    </row>
    <row r="114" ht="18" customHeight="1" s="96">
      <c r="A114" s="64" t="n">
        <v>112</v>
      </c>
      <c r="B114" s="65" t="n"/>
      <c r="C114" s="65" t="n"/>
      <c r="D114" s="65" t="n"/>
      <c r="E114" s="65" t="n"/>
      <c r="F114" s="66" t="n"/>
      <c r="G114" s="65" t="n"/>
      <c r="H114" s="74" t="n"/>
      <c r="I114" s="74" t="n"/>
      <c r="J114" s="67" t="n"/>
      <c r="K114" s="68">
        <f>IFERROR(VLOOKUP(G114,Stage_Lookup!$A$2:$B$8,2,0),"")</f>
        <v/>
      </c>
      <c r="L114" s="69" t="n"/>
      <c r="M114" s="69" t="n"/>
      <c r="N114" s="67" t="n"/>
      <c r="O114" s="65" t="n"/>
      <c r="P114" s="65" t="n"/>
      <c r="Q114" s="106" t="n"/>
      <c r="R114" s="106" t="n"/>
      <c r="S114" s="106" t="n"/>
      <c r="T114">
        <f>IF(OR(G114="Closed Lost",G114="",NOT(ISNUMBER(H114))),"",H114)</f>
        <v/>
      </c>
    </row>
    <row r="115" ht="18" customHeight="1" s="96">
      <c r="A115" s="57" t="n">
        <v>113</v>
      </c>
      <c r="B115" s="70" t="n"/>
      <c r="C115" s="70" t="n"/>
      <c r="D115" s="70" t="n"/>
      <c r="E115" s="70" t="n"/>
      <c r="F115" s="71" t="n"/>
      <c r="G115" s="70" t="n"/>
      <c r="H115" s="75" t="n"/>
      <c r="I115" s="75" t="n"/>
      <c r="J115" s="72" t="n"/>
      <c r="K115" s="73">
        <f>IFERROR(VLOOKUP(G115,Stage_Lookup!$A$2:$B$8,2,0),"")</f>
        <v/>
      </c>
      <c r="L115" s="69" t="n"/>
      <c r="M115" s="69" t="n"/>
      <c r="N115" s="72" t="n"/>
      <c r="O115" s="70" t="n"/>
      <c r="P115" s="70" t="n"/>
      <c r="Q115" s="106" t="n"/>
      <c r="R115" s="106" t="n"/>
      <c r="S115" s="106" t="n"/>
      <c r="T115">
        <f>IF(OR(G115="Closed Lost",G115="",NOT(ISNUMBER(H115))),"",H115)</f>
        <v/>
      </c>
    </row>
    <row r="116" ht="18" customHeight="1" s="96">
      <c r="A116" s="64" t="n">
        <v>114</v>
      </c>
      <c r="B116" s="65" t="n"/>
      <c r="C116" s="65" t="n"/>
      <c r="D116" s="65" t="n"/>
      <c r="E116" s="65" t="n"/>
      <c r="F116" s="66" t="n"/>
      <c r="G116" s="65" t="n"/>
      <c r="H116" s="74" t="n"/>
      <c r="I116" s="74" t="n"/>
      <c r="J116" s="67" t="n"/>
      <c r="K116" s="68">
        <f>IFERROR(VLOOKUP(G116,Stage_Lookup!$A$2:$B$8,2,0),"")</f>
        <v/>
      </c>
      <c r="L116" s="69" t="n"/>
      <c r="M116" s="69" t="n"/>
      <c r="N116" s="67" t="n"/>
      <c r="O116" s="65" t="n"/>
      <c r="P116" s="65" t="n"/>
      <c r="Q116" s="106" t="n"/>
      <c r="R116" s="106" t="n"/>
      <c r="S116" s="106" t="n"/>
      <c r="T116">
        <f>IF(OR(G116="Closed Lost",G116="",NOT(ISNUMBER(H116))),"",H116)</f>
        <v/>
      </c>
    </row>
    <row r="117" ht="18" customHeight="1" s="96">
      <c r="A117" s="57" t="n">
        <v>115</v>
      </c>
      <c r="B117" s="70" t="n"/>
      <c r="C117" s="70" t="n"/>
      <c r="D117" s="70" t="n"/>
      <c r="E117" s="70" t="n"/>
      <c r="F117" s="71" t="n"/>
      <c r="G117" s="70" t="n"/>
      <c r="H117" s="75" t="n"/>
      <c r="I117" s="75" t="n"/>
      <c r="J117" s="72" t="n"/>
      <c r="K117" s="73">
        <f>IFERROR(VLOOKUP(G117,Stage_Lookup!$A$2:$B$8,2,0),"")</f>
        <v/>
      </c>
      <c r="L117" s="69" t="n"/>
      <c r="M117" s="69" t="n"/>
      <c r="N117" s="72" t="n"/>
      <c r="O117" s="70" t="n"/>
      <c r="P117" s="70" t="n"/>
      <c r="Q117" s="106" t="n"/>
      <c r="R117" s="106" t="n"/>
      <c r="S117" s="106" t="n"/>
      <c r="T117">
        <f>IF(OR(G117="Closed Lost",G117="",NOT(ISNUMBER(H117))),"",H117)</f>
        <v/>
      </c>
    </row>
    <row r="118" ht="18" customHeight="1" s="96">
      <c r="A118" s="64" t="n">
        <v>116</v>
      </c>
      <c r="B118" s="65" t="n"/>
      <c r="C118" s="65" t="n"/>
      <c r="D118" s="65" t="n"/>
      <c r="E118" s="65" t="n"/>
      <c r="F118" s="66" t="n"/>
      <c r="G118" s="65" t="n"/>
      <c r="H118" s="74" t="n"/>
      <c r="I118" s="74" t="n"/>
      <c r="J118" s="67" t="n"/>
      <c r="K118" s="68">
        <f>IFERROR(VLOOKUP(G118,Stage_Lookup!$A$2:$B$8,2,0),"")</f>
        <v/>
      </c>
      <c r="L118" s="69" t="n"/>
      <c r="M118" s="69" t="n"/>
      <c r="N118" s="67" t="n"/>
      <c r="O118" s="65" t="n"/>
      <c r="P118" s="65" t="n"/>
      <c r="Q118" s="106" t="n"/>
      <c r="R118" s="106" t="n"/>
      <c r="S118" s="106" t="n"/>
      <c r="T118">
        <f>IF(OR(G118="Closed Lost",G118="",NOT(ISNUMBER(H118))),"",H118)</f>
        <v/>
      </c>
    </row>
    <row r="119" ht="18" customHeight="1" s="96">
      <c r="A119" s="57" t="n">
        <v>117</v>
      </c>
      <c r="B119" s="70" t="n"/>
      <c r="C119" s="70" t="n"/>
      <c r="D119" s="70" t="n"/>
      <c r="E119" s="70" t="n"/>
      <c r="F119" s="71" t="n"/>
      <c r="G119" s="70" t="n"/>
      <c r="H119" s="75" t="n"/>
      <c r="I119" s="75" t="n"/>
      <c r="J119" s="72" t="n"/>
      <c r="K119" s="73">
        <f>IFERROR(VLOOKUP(G119,Stage_Lookup!$A$2:$B$8,2,0),"")</f>
        <v/>
      </c>
      <c r="L119" s="69" t="n"/>
      <c r="M119" s="69" t="n"/>
      <c r="N119" s="72" t="n"/>
      <c r="O119" s="70" t="n"/>
      <c r="P119" s="70" t="n"/>
      <c r="Q119" s="106" t="n"/>
      <c r="R119" s="106" t="n"/>
      <c r="S119" s="106" t="n"/>
      <c r="T119">
        <f>IF(OR(G119="Closed Lost",G119="",NOT(ISNUMBER(H119))),"",H119)</f>
        <v/>
      </c>
    </row>
    <row r="120" ht="18" customHeight="1" s="96">
      <c r="A120" s="64" t="n">
        <v>118</v>
      </c>
      <c r="B120" s="65" t="n"/>
      <c r="C120" s="65" t="n"/>
      <c r="D120" s="65" t="n"/>
      <c r="E120" s="65" t="n"/>
      <c r="F120" s="66" t="n"/>
      <c r="G120" s="65" t="n"/>
      <c r="H120" s="74" t="n"/>
      <c r="I120" s="74" t="n"/>
      <c r="J120" s="67" t="n"/>
      <c r="K120" s="68">
        <f>IFERROR(VLOOKUP(G120,Stage_Lookup!$A$2:$B$8,2,0),"")</f>
        <v/>
      </c>
      <c r="L120" s="69" t="n"/>
      <c r="M120" s="69" t="n"/>
      <c r="N120" s="67" t="n"/>
      <c r="O120" s="65" t="n"/>
      <c r="P120" s="65" t="n"/>
      <c r="Q120" s="106" t="n"/>
      <c r="R120" s="106" t="n"/>
      <c r="S120" s="106" t="n"/>
      <c r="T120">
        <f>IF(OR(G120="Closed Lost",G120="",NOT(ISNUMBER(H120))),"",H120)</f>
        <v/>
      </c>
    </row>
    <row r="121" ht="18" customHeight="1" s="96">
      <c r="A121" s="57" t="n">
        <v>119</v>
      </c>
      <c r="B121" s="70" t="n"/>
      <c r="C121" s="70" t="n"/>
      <c r="D121" s="70" t="n"/>
      <c r="E121" s="70" t="n"/>
      <c r="F121" s="71" t="n"/>
      <c r="G121" s="70" t="n"/>
      <c r="H121" s="75" t="n"/>
      <c r="I121" s="75" t="n"/>
      <c r="J121" s="72" t="n"/>
      <c r="K121" s="73">
        <f>IFERROR(VLOOKUP(G121,Stage_Lookup!$A$2:$B$8,2,0),"")</f>
        <v/>
      </c>
      <c r="L121" s="69" t="n"/>
      <c r="M121" s="69" t="n"/>
      <c r="N121" s="72" t="n"/>
      <c r="O121" s="70" t="n"/>
      <c r="P121" s="70" t="n"/>
      <c r="Q121" s="106" t="n"/>
      <c r="R121" s="106" t="n"/>
      <c r="S121" s="106" t="n"/>
      <c r="T121">
        <f>IF(OR(G121="Closed Lost",G121="",NOT(ISNUMBER(H121))),"",H121)</f>
        <v/>
      </c>
    </row>
    <row r="122" ht="18" customHeight="1" s="96">
      <c r="A122" s="64" t="n">
        <v>120</v>
      </c>
      <c r="B122" s="65" t="n"/>
      <c r="C122" s="65" t="n"/>
      <c r="D122" s="65" t="n"/>
      <c r="E122" s="65" t="n"/>
      <c r="F122" s="66" t="n"/>
      <c r="G122" s="65" t="n"/>
      <c r="H122" s="74" t="n"/>
      <c r="I122" s="74" t="n"/>
      <c r="J122" s="67" t="n"/>
      <c r="K122" s="68">
        <f>IFERROR(VLOOKUP(G122,Stage_Lookup!$A$2:$B$8,2,0),"")</f>
        <v/>
      </c>
      <c r="L122" s="69" t="n"/>
      <c r="M122" s="69" t="n"/>
      <c r="N122" s="67" t="n"/>
      <c r="O122" s="65" t="n"/>
      <c r="P122" s="65" t="n"/>
      <c r="Q122" s="106" t="n"/>
      <c r="R122" s="106" t="n"/>
      <c r="S122" s="106" t="n"/>
      <c r="T122">
        <f>IF(OR(G122="Closed Lost",G122="",NOT(ISNUMBER(H122))),"",H122)</f>
        <v/>
      </c>
    </row>
    <row r="123" ht="18" customHeight="1" s="96">
      <c r="A123" s="57" t="n">
        <v>121</v>
      </c>
      <c r="B123" s="70" t="n"/>
      <c r="C123" s="70" t="n"/>
      <c r="D123" s="70" t="n"/>
      <c r="E123" s="70" t="n"/>
      <c r="F123" s="71" t="n"/>
      <c r="G123" s="70" t="n"/>
      <c r="H123" s="75" t="n"/>
      <c r="I123" s="75" t="n"/>
      <c r="J123" s="72" t="n"/>
      <c r="K123" s="73">
        <f>IFERROR(VLOOKUP(G123,Stage_Lookup!$A$2:$B$8,2,0),"")</f>
        <v/>
      </c>
      <c r="L123" s="69" t="n"/>
      <c r="M123" s="69" t="n"/>
      <c r="N123" s="72" t="n"/>
      <c r="O123" s="70" t="n"/>
      <c r="P123" s="70" t="n"/>
      <c r="Q123" s="106" t="n"/>
      <c r="R123" s="106" t="n"/>
      <c r="S123" s="106" t="n"/>
      <c r="T123">
        <f>IF(OR(G123="Closed Lost",G123="",NOT(ISNUMBER(H123))),"",H123)</f>
        <v/>
      </c>
    </row>
    <row r="124" ht="18" customHeight="1" s="96">
      <c r="A124" s="64" t="n">
        <v>122</v>
      </c>
      <c r="B124" s="65" t="n"/>
      <c r="C124" s="65" t="n"/>
      <c r="D124" s="65" t="n"/>
      <c r="E124" s="65" t="n"/>
      <c r="F124" s="66" t="n"/>
      <c r="G124" s="65" t="n"/>
      <c r="H124" s="74" t="n"/>
      <c r="I124" s="74" t="n"/>
      <c r="J124" s="67" t="n"/>
      <c r="K124" s="68">
        <f>IFERROR(VLOOKUP(G124,Stage_Lookup!$A$2:$B$8,2,0),"")</f>
        <v/>
      </c>
      <c r="L124" s="69" t="n"/>
      <c r="M124" s="69" t="n"/>
      <c r="N124" s="67" t="n"/>
      <c r="O124" s="65" t="n"/>
      <c r="P124" s="65" t="n"/>
      <c r="Q124" s="106" t="n"/>
      <c r="R124" s="106" t="n"/>
      <c r="S124" s="106" t="n"/>
      <c r="T124">
        <f>IF(OR(G124="Closed Lost",G124="",NOT(ISNUMBER(H124))),"",H124)</f>
        <v/>
      </c>
    </row>
    <row r="125" ht="18" customHeight="1" s="96">
      <c r="A125" s="57" t="n">
        <v>123</v>
      </c>
      <c r="B125" s="70" t="n"/>
      <c r="C125" s="70" t="n"/>
      <c r="D125" s="70" t="n"/>
      <c r="E125" s="70" t="n"/>
      <c r="F125" s="71" t="n"/>
      <c r="G125" s="70" t="n"/>
      <c r="H125" s="75" t="n"/>
      <c r="I125" s="75" t="n"/>
      <c r="J125" s="72" t="n"/>
      <c r="K125" s="73">
        <f>IFERROR(VLOOKUP(G125,Stage_Lookup!$A$2:$B$8,2,0),"")</f>
        <v/>
      </c>
      <c r="L125" s="69" t="n"/>
      <c r="M125" s="69" t="n"/>
      <c r="N125" s="72" t="n"/>
      <c r="O125" s="70" t="n"/>
      <c r="P125" s="70" t="n"/>
      <c r="Q125" s="106" t="n"/>
      <c r="R125" s="106" t="n"/>
      <c r="S125" s="106" t="n"/>
      <c r="T125">
        <f>IF(OR(G125="Closed Lost",G125="",NOT(ISNUMBER(H125))),"",H125)</f>
        <v/>
      </c>
    </row>
    <row r="126" ht="18" customHeight="1" s="96">
      <c r="A126" s="64" t="n">
        <v>124</v>
      </c>
      <c r="B126" s="65" t="n"/>
      <c r="C126" s="65" t="n"/>
      <c r="D126" s="65" t="n"/>
      <c r="E126" s="65" t="n"/>
      <c r="F126" s="66" t="n"/>
      <c r="G126" s="65" t="n"/>
      <c r="H126" s="74" t="n"/>
      <c r="I126" s="74" t="n"/>
      <c r="J126" s="67" t="n"/>
      <c r="K126" s="68">
        <f>IFERROR(VLOOKUP(G126,Stage_Lookup!$A$2:$B$8,2,0),"")</f>
        <v/>
      </c>
      <c r="L126" s="69" t="n"/>
      <c r="M126" s="69" t="n"/>
      <c r="N126" s="67" t="n"/>
      <c r="O126" s="65" t="n"/>
      <c r="P126" s="65" t="n"/>
      <c r="Q126" s="106" t="n"/>
      <c r="R126" s="106" t="n"/>
      <c r="S126" s="106" t="n"/>
      <c r="T126">
        <f>IF(OR(G126="Closed Lost",G126="",NOT(ISNUMBER(H126))),"",H126)</f>
        <v/>
      </c>
    </row>
    <row r="127" ht="18" customHeight="1" s="96">
      <c r="A127" s="57" t="n">
        <v>125</v>
      </c>
      <c r="B127" s="70" t="n"/>
      <c r="C127" s="70" t="n"/>
      <c r="D127" s="70" t="n"/>
      <c r="E127" s="70" t="n"/>
      <c r="F127" s="71" t="n"/>
      <c r="G127" s="70" t="n"/>
      <c r="H127" s="75" t="n"/>
      <c r="I127" s="75" t="n"/>
      <c r="J127" s="72" t="n"/>
      <c r="K127" s="73">
        <f>IFERROR(VLOOKUP(G127,Stage_Lookup!$A$2:$B$8,2,0),"")</f>
        <v/>
      </c>
      <c r="L127" s="69" t="n"/>
      <c r="M127" s="69" t="n"/>
      <c r="N127" s="72" t="n"/>
      <c r="O127" s="70" t="n"/>
      <c r="P127" s="70" t="n"/>
      <c r="Q127" s="106" t="n"/>
      <c r="R127" s="106" t="n"/>
      <c r="S127" s="106" t="n"/>
      <c r="T127">
        <f>IF(OR(G127="Closed Lost",G127="",NOT(ISNUMBER(H127))),"",H127)</f>
        <v/>
      </c>
    </row>
    <row r="128" ht="18" customHeight="1" s="96">
      <c r="A128" s="64" t="n">
        <v>126</v>
      </c>
      <c r="B128" s="65" t="n"/>
      <c r="C128" s="65" t="n"/>
      <c r="D128" s="65" t="n"/>
      <c r="E128" s="65" t="n"/>
      <c r="F128" s="66" t="n"/>
      <c r="G128" s="65" t="n"/>
      <c r="H128" s="74" t="n"/>
      <c r="I128" s="74" t="n"/>
      <c r="J128" s="67" t="n"/>
      <c r="K128" s="68">
        <f>IFERROR(VLOOKUP(G128,Stage_Lookup!$A$2:$B$8,2,0),"")</f>
        <v/>
      </c>
      <c r="L128" s="69" t="n"/>
      <c r="M128" s="69" t="n"/>
      <c r="N128" s="67" t="n"/>
      <c r="O128" s="65" t="n"/>
      <c r="P128" s="65" t="n"/>
      <c r="Q128" s="106" t="n"/>
      <c r="R128" s="106" t="n"/>
      <c r="S128" s="106" t="n"/>
      <c r="T128">
        <f>IF(OR(G128="Closed Lost",G128="",NOT(ISNUMBER(H128))),"",H128)</f>
        <v/>
      </c>
    </row>
    <row r="129" ht="18" customHeight="1" s="96">
      <c r="A129" s="57" t="n">
        <v>127</v>
      </c>
      <c r="B129" s="70" t="n"/>
      <c r="C129" s="70" t="n"/>
      <c r="D129" s="70" t="n"/>
      <c r="E129" s="70" t="n"/>
      <c r="F129" s="71" t="n"/>
      <c r="G129" s="70" t="n"/>
      <c r="H129" s="75" t="n"/>
      <c r="I129" s="75" t="n"/>
      <c r="J129" s="72" t="n"/>
      <c r="K129" s="73">
        <f>IFERROR(VLOOKUP(G129,Stage_Lookup!$A$2:$B$8,2,0),"")</f>
        <v/>
      </c>
      <c r="L129" s="69" t="n"/>
      <c r="M129" s="69" t="n"/>
      <c r="N129" s="72" t="n"/>
      <c r="O129" s="70" t="n"/>
      <c r="P129" s="70" t="n"/>
      <c r="Q129" s="106" t="n"/>
      <c r="R129" s="106" t="n"/>
      <c r="S129" s="106" t="n"/>
      <c r="T129">
        <f>IF(OR(G129="Closed Lost",G129="",NOT(ISNUMBER(H129))),"",H129)</f>
        <v/>
      </c>
    </row>
    <row r="130" ht="18" customHeight="1" s="96">
      <c r="A130" s="64" t="n">
        <v>128</v>
      </c>
      <c r="B130" s="65" t="n"/>
      <c r="C130" s="65" t="n"/>
      <c r="D130" s="65" t="n"/>
      <c r="E130" s="65" t="n"/>
      <c r="F130" s="66" t="n"/>
      <c r="G130" s="65" t="n"/>
      <c r="H130" s="74" t="n"/>
      <c r="I130" s="74" t="n"/>
      <c r="J130" s="67" t="n"/>
      <c r="K130" s="68">
        <f>IFERROR(VLOOKUP(G130,Stage_Lookup!$A$2:$B$8,2,0),"")</f>
        <v/>
      </c>
      <c r="L130" s="69" t="n"/>
      <c r="M130" s="69" t="n"/>
      <c r="N130" s="67" t="n"/>
      <c r="O130" s="65" t="n"/>
      <c r="P130" s="65" t="n"/>
      <c r="Q130" s="106" t="n"/>
      <c r="R130" s="106" t="n"/>
      <c r="S130" s="106" t="n"/>
      <c r="T130">
        <f>IF(OR(G130="Closed Lost",G130="",NOT(ISNUMBER(H130))),"",H130)</f>
        <v/>
      </c>
    </row>
    <row r="131" ht="18" customHeight="1" s="96">
      <c r="A131" s="57" t="n">
        <v>129</v>
      </c>
      <c r="B131" s="70" t="n"/>
      <c r="C131" s="70" t="n"/>
      <c r="D131" s="70" t="n"/>
      <c r="E131" s="70" t="n"/>
      <c r="F131" s="71" t="n"/>
      <c r="G131" s="70" t="n"/>
      <c r="H131" s="75" t="n"/>
      <c r="I131" s="75" t="n"/>
      <c r="J131" s="72" t="n"/>
      <c r="K131" s="73">
        <f>IFERROR(VLOOKUP(G131,Stage_Lookup!$A$2:$B$8,2,0),"")</f>
        <v/>
      </c>
      <c r="L131" s="69" t="n"/>
      <c r="M131" s="69" t="n"/>
      <c r="N131" s="72" t="n"/>
      <c r="O131" s="70" t="n"/>
      <c r="P131" s="70" t="n"/>
      <c r="Q131" s="106" t="n"/>
      <c r="R131" s="106" t="n"/>
      <c r="S131" s="106" t="n"/>
      <c r="T131">
        <f>IF(OR(G131="Closed Lost",G131="",NOT(ISNUMBER(H131))),"",H131)</f>
        <v/>
      </c>
    </row>
    <row r="132" ht="18" customHeight="1" s="96">
      <c r="A132" s="64" t="n">
        <v>130</v>
      </c>
      <c r="B132" s="65" t="n"/>
      <c r="C132" s="65" t="n"/>
      <c r="D132" s="65" t="n"/>
      <c r="E132" s="65" t="n"/>
      <c r="F132" s="66" t="n"/>
      <c r="G132" s="65" t="n"/>
      <c r="H132" s="74" t="n"/>
      <c r="I132" s="74" t="n"/>
      <c r="J132" s="67" t="n"/>
      <c r="K132" s="68">
        <f>IFERROR(VLOOKUP(G132,Stage_Lookup!$A$2:$B$8,2,0),"")</f>
        <v/>
      </c>
      <c r="L132" s="69" t="n"/>
      <c r="M132" s="69" t="n"/>
      <c r="N132" s="67" t="n"/>
      <c r="O132" s="65" t="n"/>
      <c r="P132" s="65" t="n"/>
      <c r="Q132" s="106" t="n"/>
      <c r="R132" s="106" t="n"/>
      <c r="S132" s="106" t="n"/>
      <c r="T132">
        <f>IF(OR(G132="Closed Lost",G132="",NOT(ISNUMBER(H132))),"",H132)</f>
        <v/>
      </c>
    </row>
    <row r="133" ht="18" customHeight="1" s="96">
      <c r="A133" s="57" t="n">
        <v>131</v>
      </c>
      <c r="B133" s="70" t="n"/>
      <c r="C133" s="70" t="n"/>
      <c r="D133" s="70" t="n"/>
      <c r="E133" s="70" t="n"/>
      <c r="F133" s="71" t="n"/>
      <c r="G133" s="70" t="n"/>
      <c r="H133" s="75" t="n"/>
      <c r="I133" s="75" t="n"/>
      <c r="J133" s="72" t="n"/>
      <c r="K133" s="73">
        <f>IFERROR(VLOOKUP(G133,Stage_Lookup!$A$2:$B$8,2,0),"")</f>
        <v/>
      </c>
      <c r="L133" s="69" t="n"/>
      <c r="M133" s="69" t="n"/>
      <c r="N133" s="72" t="n"/>
      <c r="O133" s="70" t="n"/>
      <c r="P133" s="70" t="n"/>
      <c r="Q133" s="106" t="n"/>
      <c r="R133" s="106" t="n"/>
      <c r="S133" s="106" t="n"/>
      <c r="T133">
        <f>IF(OR(G133="Closed Lost",G133="",NOT(ISNUMBER(H133))),"",H133)</f>
        <v/>
      </c>
    </row>
    <row r="134" ht="18" customHeight="1" s="96">
      <c r="A134" s="64" t="n">
        <v>132</v>
      </c>
      <c r="B134" s="65" t="n"/>
      <c r="C134" s="65" t="n"/>
      <c r="D134" s="65" t="n"/>
      <c r="E134" s="65" t="n"/>
      <c r="F134" s="66" t="n"/>
      <c r="G134" s="65" t="n"/>
      <c r="H134" s="74" t="n"/>
      <c r="I134" s="74" t="n"/>
      <c r="J134" s="67" t="n"/>
      <c r="K134" s="68">
        <f>IFERROR(VLOOKUP(G134,Stage_Lookup!$A$2:$B$8,2,0),"")</f>
        <v/>
      </c>
      <c r="L134" s="69" t="n"/>
      <c r="M134" s="69" t="n"/>
      <c r="N134" s="67" t="n"/>
      <c r="O134" s="65" t="n"/>
      <c r="P134" s="65" t="n"/>
      <c r="Q134" s="106" t="n"/>
      <c r="R134" s="106" t="n"/>
      <c r="S134" s="106" t="n"/>
      <c r="T134">
        <f>IF(OR(G134="Closed Lost",G134="",NOT(ISNUMBER(H134))),"",H134)</f>
        <v/>
      </c>
    </row>
    <row r="135" ht="18" customHeight="1" s="96">
      <c r="A135" s="57" t="n">
        <v>133</v>
      </c>
      <c r="B135" s="70" t="n"/>
      <c r="C135" s="70" t="n"/>
      <c r="D135" s="70" t="n"/>
      <c r="E135" s="70" t="n"/>
      <c r="F135" s="71" t="n"/>
      <c r="G135" s="70" t="n"/>
      <c r="H135" s="75" t="n"/>
      <c r="I135" s="75" t="n"/>
      <c r="J135" s="72" t="n"/>
      <c r="K135" s="73">
        <f>IFERROR(VLOOKUP(G135,Stage_Lookup!$A$2:$B$8,2,0),"")</f>
        <v/>
      </c>
      <c r="L135" s="69" t="n"/>
      <c r="M135" s="69" t="n"/>
      <c r="N135" s="72" t="n"/>
      <c r="O135" s="70" t="n"/>
      <c r="P135" s="70" t="n"/>
      <c r="Q135" s="106" t="n"/>
      <c r="R135" s="106" t="n"/>
      <c r="S135" s="106" t="n"/>
      <c r="T135">
        <f>IF(OR(G135="Closed Lost",G135="",NOT(ISNUMBER(H135))),"",H135)</f>
        <v/>
      </c>
    </row>
    <row r="136" ht="18" customHeight="1" s="96">
      <c r="A136" s="64" t="n">
        <v>134</v>
      </c>
      <c r="B136" s="65" t="n"/>
      <c r="C136" s="65" t="n"/>
      <c r="D136" s="65" t="n"/>
      <c r="E136" s="65" t="n"/>
      <c r="F136" s="66" t="n"/>
      <c r="G136" s="65" t="n"/>
      <c r="H136" s="74" t="n"/>
      <c r="I136" s="74" t="n"/>
      <c r="J136" s="67" t="n"/>
      <c r="K136" s="68">
        <f>IFERROR(VLOOKUP(G136,Stage_Lookup!$A$2:$B$8,2,0),"")</f>
        <v/>
      </c>
      <c r="L136" s="69" t="n"/>
      <c r="M136" s="69" t="n"/>
      <c r="N136" s="67" t="n"/>
      <c r="O136" s="65" t="n"/>
      <c r="P136" s="65" t="n"/>
      <c r="Q136" s="106" t="n"/>
      <c r="R136" s="106" t="n"/>
      <c r="S136" s="106" t="n"/>
      <c r="T136">
        <f>IF(OR(G136="Closed Lost",G136="",NOT(ISNUMBER(H136))),"",H136)</f>
        <v/>
      </c>
    </row>
    <row r="137" ht="18" customHeight="1" s="96">
      <c r="A137" s="57" t="n">
        <v>135</v>
      </c>
      <c r="B137" s="70" t="n"/>
      <c r="C137" s="70" t="n"/>
      <c r="D137" s="70" t="n"/>
      <c r="E137" s="70" t="n"/>
      <c r="F137" s="71" t="n"/>
      <c r="G137" s="70" t="n"/>
      <c r="H137" s="75" t="n"/>
      <c r="I137" s="75" t="n"/>
      <c r="J137" s="72" t="n"/>
      <c r="K137" s="73">
        <f>IFERROR(VLOOKUP(G137,Stage_Lookup!$A$2:$B$8,2,0),"")</f>
        <v/>
      </c>
      <c r="L137" s="69" t="n"/>
      <c r="M137" s="69" t="n"/>
      <c r="N137" s="72" t="n"/>
      <c r="O137" s="70" t="n"/>
      <c r="P137" s="70" t="n"/>
      <c r="Q137" s="106" t="n"/>
      <c r="R137" s="106" t="n"/>
      <c r="S137" s="106" t="n"/>
      <c r="T137">
        <f>IF(OR(G137="Closed Lost",G137="",NOT(ISNUMBER(H137))),"",H137)</f>
        <v/>
      </c>
    </row>
    <row r="138" ht="18" customHeight="1" s="96">
      <c r="A138" s="64" t="n">
        <v>136</v>
      </c>
      <c r="B138" s="65" t="n"/>
      <c r="C138" s="65" t="n"/>
      <c r="D138" s="65" t="n"/>
      <c r="E138" s="65" t="n"/>
      <c r="F138" s="66" t="n"/>
      <c r="G138" s="65" t="n"/>
      <c r="H138" s="74" t="n"/>
      <c r="I138" s="74" t="n"/>
      <c r="J138" s="67" t="n"/>
      <c r="K138" s="68">
        <f>IFERROR(VLOOKUP(G138,Stage_Lookup!$A$2:$B$8,2,0),"")</f>
        <v/>
      </c>
      <c r="L138" s="69" t="n"/>
      <c r="M138" s="69" t="n"/>
      <c r="N138" s="67" t="n"/>
      <c r="O138" s="65" t="n"/>
      <c r="P138" s="65" t="n"/>
      <c r="Q138" s="106" t="n"/>
      <c r="R138" s="106" t="n"/>
      <c r="S138" s="106" t="n"/>
      <c r="T138">
        <f>IF(OR(G138="Closed Lost",G138="",NOT(ISNUMBER(H138))),"",H138)</f>
        <v/>
      </c>
    </row>
    <row r="139" ht="18" customHeight="1" s="96">
      <c r="A139" s="57" t="n">
        <v>137</v>
      </c>
      <c r="B139" s="70" t="n"/>
      <c r="C139" s="70" t="n"/>
      <c r="D139" s="70" t="n"/>
      <c r="E139" s="70" t="n"/>
      <c r="F139" s="71" t="n"/>
      <c r="G139" s="70" t="n"/>
      <c r="H139" s="75" t="n"/>
      <c r="I139" s="75" t="n"/>
      <c r="J139" s="72" t="n"/>
      <c r="K139" s="73">
        <f>IFERROR(VLOOKUP(G139,Stage_Lookup!$A$2:$B$8,2,0),"")</f>
        <v/>
      </c>
      <c r="L139" s="69" t="n"/>
      <c r="M139" s="69" t="n"/>
      <c r="N139" s="72" t="n"/>
      <c r="O139" s="70" t="n"/>
      <c r="P139" s="70" t="n"/>
      <c r="Q139" s="106" t="n"/>
      <c r="R139" s="106" t="n"/>
      <c r="S139" s="106" t="n"/>
      <c r="T139">
        <f>IF(OR(G139="Closed Lost",G139="",NOT(ISNUMBER(H139))),"",H139)</f>
        <v/>
      </c>
    </row>
    <row r="140" ht="18" customHeight="1" s="96">
      <c r="A140" s="64" t="n">
        <v>138</v>
      </c>
      <c r="B140" s="65" t="n"/>
      <c r="C140" s="65" t="n"/>
      <c r="D140" s="65" t="n"/>
      <c r="E140" s="65" t="n"/>
      <c r="F140" s="66" t="n"/>
      <c r="G140" s="65" t="n"/>
      <c r="H140" s="74" t="n"/>
      <c r="I140" s="74" t="n"/>
      <c r="J140" s="67" t="n"/>
      <c r="K140" s="68">
        <f>IFERROR(VLOOKUP(G140,Stage_Lookup!$A$2:$B$8,2,0),"")</f>
        <v/>
      </c>
      <c r="L140" s="69" t="n"/>
      <c r="M140" s="69" t="n"/>
      <c r="N140" s="67" t="n"/>
      <c r="O140" s="65" t="n"/>
      <c r="P140" s="65" t="n"/>
      <c r="Q140" s="106" t="n"/>
      <c r="R140" s="106" t="n"/>
      <c r="S140" s="106" t="n"/>
      <c r="T140">
        <f>IF(OR(G140="Closed Lost",G140="",NOT(ISNUMBER(H140))),"",H140)</f>
        <v/>
      </c>
    </row>
    <row r="141" ht="18" customHeight="1" s="96">
      <c r="A141" s="57" t="n">
        <v>139</v>
      </c>
      <c r="B141" s="70" t="n"/>
      <c r="C141" s="70" t="n"/>
      <c r="D141" s="70" t="n"/>
      <c r="E141" s="70" t="n"/>
      <c r="F141" s="71" t="n"/>
      <c r="G141" s="70" t="n"/>
      <c r="H141" s="75" t="n"/>
      <c r="I141" s="75" t="n"/>
      <c r="J141" s="72" t="n"/>
      <c r="K141" s="73">
        <f>IFERROR(VLOOKUP(G141,Stage_Lookup!$A$2:$B$8,2,0),"")</f>
        <v/>
      </c>
      <c r="L141" s="69" t="n"/>
      <c r="M141" s="69" t="n"/>
      <c r="N141" s="72" t="n"/>
      <c r="O141" s="70" t="n"/>
      <c r="P141" s="70" t="n"/>
      <c r="Q141" s="106" t="n"/>
      <c r="R141" s="106" t="n"/>
      <c r="S141" s="106" t="n"/>
      <c r="T141">
        <f>IF(OR(G141="Closed Lost",G141="",NOT(ISNUMBER(H141))),"",H141)</f>
        <v/>
      </c>
    </row>
    <row r="142" ht="18" customHeight="1" s="96">
      <c r="A142" s="64" t="n">
        <v>140</v>
      </c>
      <c r="B142" s="65" t="n"/>
      <c r="C142" s="65" t="n"/>
      <c r="D142" s="65" t="n"/>
      <c r="E142" s="65" t="n"/>
      <c r="F142" s="66" t="n"/>
      <c r="G142" s="65" t="n"/>
      <c r="H142" s="74" t="n"/>
      <c r="I142" s="74" t="n"/>
      <c r="J142" s="67" t="n"/>
      <c r="K142" s="68">
        <f>IFERROR(VLOOKUP(G142,Stage_Lookup!$A$2:$B$8,2,0),"")</f>
        <v/>
      </c>
      <c r="L142" s="69" t="n"/>
      <c r="M142" s="69" t="n"/>
      <c r="N142" s="67" t="n"/>
      <c r="O142" s="65" t="n"/>
      <c r="P142" s="65" t="n"/>
      <c r="Q142" s="106" t="n"/>
      <c r="R142" s="106" t="n"/>
      <c r="S142" s="106" t="n"/>
      <c r="T142">
        <f>IF(OR(G142="Closed Lost",G142="",NOT(ISNUMBER(H142))),"",H142)</f>
        <v/>
      </c>
    </row>
    <row r="143" ht="18" customHeight="1" s="96">
      <c r="A143" s="57" t="n">
        <v>141</v>
      </c>
      <c r="B143" s="70" t="n"/>
      <c r="C143" s="70" t="n"/>
      <c r="D143" s="70" t="n"/>
      <c r="E143" s="70" t="n"/>
      <c r="F143" s="71" t="n"/>
      <c r="G143" s="70" t="n"/>
      <c r="H143" s="75" t="n"/>
      <c r="I143" s="75" t="n"/>
      <c r="J143" s="72" t="n"/>
      <c r="K143" s="73">
        <f>IFERROR(VLOOKUP(G143,Stage_Lookup!$A$2:$B$8,2,0),"")</f>
        <v/>
      </c>
      <c r="L143" s="69" t="n"/>
      <c r="M143" s="69" t="n"/>
      <c r="N143" s="72" t="n"/>
      <c r="O143" s="70" t="n"/>
      <c r="P143" s="70" t="n"/>
      <c r="Q143" s="106" t="n"/>
      <c r="R143" s="106" t="n"/>
      <c r="S143" s="106" t="n"/>
      <c r="T143">
        <f>IF(OR(G143="Closed Lost",G143="",NOT(ISNUMBER(H143))),"",H143)</f>
        <v/>
      </c>
    </row>
    <row r="144" ht="18" customHeight="1" s="96">
      <c r="A144" s="64" t="n">
        <v>142</v>
      </c>
      <c r="B144" s="65" t="n"/>
      <c r="C144" s="65" t="n"/>
      <c r="D144" s="65" t="n"/>
      <c r="E144" s="65" t="n"/>
      <c r="F144" s="66" t="n"/>
      <c r="G144" s="65" t="n"/>
      <c r="H144" s="74" t="n"/>
      <c r="I144" s="74" t="n"/>
      <c r="J144" s="67" t="n"/>
      <c r="K144" s="68">
        <f>IFERROR(VLOOKUP(G144,Stage_Lookup!$A$2:$B$8,2,0),"")</f>
        <v/>
      </c>
      <c r="L144" s="69" t="n"/>
      <c r="M144" s="69" t="n"/>
      <c r="N144" s="67" t="n"/>
      <c r="O144" s="65" t="n"/>
      <c r="P144" s="65" t="n"/>
      <c r="Q144" s="106" t="n"/>
      <c r="R144" s="106" t="n"/>
      <c r="S144" s="106" t="n"/>
      <c r="T144">
        <f>IF(OR(G144="Closed Lost",G144="",NOT(ISNUMBER(H144))),"",H144)</f>
        <v/>
      </c>
    </row>
    <row r="145" ht="18" customHeight="1" s="96">
      <c r="A145" s="57" t="n">
        <v>143</v>
      </c>
      <c r="B145" s="70" t="n"/>
      <c r="C145" s="70" t="n"/>
      <c r="D145" s="70" t="n"/>
      <c r="E145" s="70" t="n"/>
      <c r="F145" s="71" t="n"/>
      <c r="G145" s="70" t="n"/>
      <c r="H145" s="75" t="n"/>
      <c r="I145" s="75" t="n"/>
      <c r="J145" s="72" t="n"/>
      <c r="K145" s="73">
        <f>IFERROR(VLOOKUP(G145,Stage_Lookup!$A$2:$B$8,2,0),"")</f>
        <v/>
      </c>
      <c r="L145" s="69" t="n"/>
      <c r="M145" s="69" t="n"/>
      <c r="N145" s="72" t="n"/>
      <c r="O145" s="70" t="n"/>
      <c r="P145" s="70" t="n"/>
      <c r="Q145" s="106" t="n"/>
      <c r="R145" s="106" t="n"/>
      <c r="S145" s="106" t="n"/>
      <c r="T145">
        <f>IF(OR(G145="Closed Lost",G145="",NOT(ISNUMBER(H145))),"",H145)</f>
        <v/>
      </c>
    </row>
    <row r="146" ht="18" customHeight="1" s="96">
      <c r="A146" s="64" t="n">
        <v>144</v>
      </c>
      <c r="B146" s="65" t="n"/>
      <c r="C146" s="65" t="n"/>
      <c r="D146" s="65" t="n"/>
      <c r="E146" s="65" t="n"/>
      <c r="F146" s="66" t="n"/>
      <c r="G146" s="65" t="n"/>
      <c r="H146" s="74" t="n"/>
      <c r="I146" s="74" t="n"/>
      <c r="J146" s="67" t="n"/>
      <c r="K146" s="68">
        <f>IFERROR(VLOOKUP(G146,Stage_Lookup!$A$2:$B$8,2,0),"")</f>
        <v/>
      </c>
      <c r="L146" s="69" t="n"/>
      <c r="M146" s="69" t="n"/>
      <c r="N146" s="67" t="n"/>
      <c r="O146" s="65" t="n"/>
      <c r="P146" s="65" t="n"/>
      <c r="Q146" s="106" t="n"/>
      <c r="R146" s="106" t="n"/>
      <c r="S146" s="106" t="n"/>
      <c r="T146">
        <f>IF(OR(G146="Closed Lost",G146="",NOT(ISNUMBER(H146))),"",H146)</f>
        <v/>
      </c>
    </row>
    <row r="147" ht="18" customHeight="1" s="96">
      <c r="A147" s="57" t="n">
        <v>145</v>
      </c>
      <c r="B147" s="70" t="n"/>
      <c r="C147" s="70" t="n"/>
      <c r="D147" s="70" t="n"/>
      <c r="E147" s="70" t="n"/>
      <c r="F147" s="71" t="n"/>
      <c r="G147" s="70" t="n"/>
      <c r="H147" s="75" t="n"/>
      <c r="I147" s="75" t="n"/>
      <c r="J147" s="72" t="n"/>
      <c r="K147" s="73">
        <f>IFERROR(VLOOKUP(G147,Stage_Lookup!$A$2:$B$8,2,0),"")</f>
        <v/>
      </c>
      <c r="L147" s="69" t="n"/>
      <c r="M147" s="69" t="n"/>
      <c r="N147" s="72" t="n"/>
      <c r="O147" s="70" t="n"/>
      <c r="P147" s="70" t="n"/>
      <c r="Q147" s="106" t="n"/>
      <c r="R147" s="106" t="n"/>
      <c r="S147" s="106" t="n"/>
      <c r="T147">
        <f>IF(OR(G147="Closed Lost",G147="",NOT(ISNUMBER(H147))),"",H147)</f>
        <v/>
      </c>
    </row>
    <row r="148" ht="18" customHeight="1" s="96">
      <c r="A148" s="64" t="n">
        <v>146</v>
      </c>
      <c r="B148" s="65" t="n"/>
      <c r="C148" s="65" t="n"/>
      <c r="D148" s="65" t="n"/>
      <c r="E148" s="65" t="n"/>
      <c r="F148" s="66" t="n"/>
      <c r="G148" s="65" t="n"/>
      <c r="H148" s="74" t="n"/>
      <c r="I148" s="74" t="n"/>
      <c r="J148" s="67" t="n"/>
      <c r="K148" s="68">
        <f>IFERROR(VLOOKUP(G148,Stage_Lookup!$A$2:$B$8,2,0),"")</f>
        <v/>
      </c>
      <c r="L148" s="69" t="n"/>
      <c r="M148" s="69" t="n"/>
      <c r="N148" s="67" t="n"/>
      <c r="O148" s="65" t="n"/>
      <c r="P148" s="65" t="n"/>
      <c r="Q148" s="106" t="n"/>
      <c r="R148" s="106" t="n"/>
      <c r="S148" s="106" t="n"/>
      <c r="T148">
        <f>IF(OR(G148="Closed Lost",G148="",NOT(ISNUMBER(H148))),"",H148)</f>
        <v/>
      </c>
    </row>
    <row r="149" ht="18" customHeight="1" s="96">
      <c r="A149" s="57" t="n">
        <v>147</v>
      </c>
      <c r="B149" s="70" t="n"/>
      <c r="C149" s="70" t="n"/>
      <c r="D149" s="70" t="n"/>
      <c r="E149" s="70" t="n"/>
      <c r="F149" s="71" t="n"/>
      <c r="G149" s="70" t="n"/>
      <c r="H149" s="75" t="n"/>
      <c r="I149" s="75" t="n"/>
      <c r="J149" s="72" t="n"/>
      <c r="K149" s="73">
        <f>IFERROR(VLOOKUP(G149,Stage_Lookup!$A$2:$B$8,2,0),"")</f>
        <v/>
      </c>
      <c r="L149" s="69" t="n"/>
      <c r="M149" s="69" t="n"/>
      <c r="N149" s="72" t="n"/>
      <c r="O149" s="70" t="n"/>
      <c r="P149" s="70" t="n"/>
      <c r="Q149" s="106" t="n"/>
      <c r="R149" s="106" t="n"/>
      <c r="S149" s="106" t="n"/>
      <c r="T149">
        <f>IF(OR(G149="Closed Lost",G149="",NOT(ISNUMBER(H149))),"",H149)</f>
        <v/>
      </c>
    </row>
    <row r="150" ht="18" customHeight="1" s="96">
      <c r="A150" s="64" t="n">
        <v>148</v>
      </c>
      <c r="B150" s="65" t="n"/>
      <c r="C150" s="65" t="n"/>
      <c r="D150" s="65" t="n"/>
      <c r="E150" s="65" t="n"/>
      <c r="F150" s="66" t="n"/>
      <c r="G150" s="65" t="n"/>
      <c r="H150" s="74" t="n"/>
      <c r="I150" s="74" t="n"/>
      <c r="J150" s="67" t="n"/>
      <c r="K150" s="68">
        <f>IFERROR(VLOOKUP(G150,Stage_Lookup!$A$2:$B$8,2,0),"")</f>
        <v/>
      </c>
      <c r="L150" s="69" t="n"/>
      <c r="M150" s="69" t="n"/>
      <c r="N150" s="67" t="n"/>
      <c r="O150" s="65" t="n"/>
      <c r="P150" s="65" t="n"/>
      <c r="Q150" s="106" t="n"/>
      <c r="R150" s="106" t="n"/>
      <c r="S150" s="106" t="n"/>
      <c r="T150">
        <f>IF(OR(G150="Closed Lost",G150="",NOT(ISNUMBER(H150))),"",H150)</f>
        <v/>
      </c>
    </row>
    <row r="151" ht="18" customHeight="1" s="96">
      <c r="A151" s="57" t="n">
        <v>149</v>
      </c>
      <c r="B151" s="70" t="n"/>
      <c r="C151" s="70" t="n"/>
      <c r="D151" s="70" t="n"/>
      <c r="E151" s="70" t="n"/>
      <c r="F151" s="71" t="n"/>
      <c r="G151" s="70" t="n"/>
      <c r="H151" s="75" t="n"/>
      <c r="I151" s="75" t="n"/>
      <c r="J151" s="72" t="n"/>
      <c r="K151" s="73">
        <f>IFERROR(VLOOKUP(G151,Stage_Lookup!$A$2:$B$8,2,0),"")</f>
        <v/>
      </c>
      <c r="L151" s="69" t="n"/>
      <c r="M151" s="69" t="n"/>
      <c r="N151" s="72" t="n"/>
      <c r="O151" s="70" t="n"/>
      <c r="P151" s="70" t="n"/>
      <c r="Q151" s="106" t="n"/>
      <c r="R151" s="106" t="n"/>
      <c r="S151" s="106" t="n"/>
      <c r="T151">
        <f>IF(OR(G151="Closed Lost",G151="",NOT(ISNUMBER(H151))),"",H151)</f>
        <v/>
      </c>
    </row>
    <row r="152" ht="18" customHeight="1" s="96">
      <c r="A152" s="64" t="n">
        <v>150</v>
      </c>
      <c r="B152" s="65" t="n"/>
      <c r="C152" s="65" t="n"/>
      <c r="D152" s="65" t="n"/>
      <c r="E152" s="65" t="n"/>
      <c r="F152" s="66" t="n"/>
      <c r="G152" s="65" t="n"/>
      <c r="H152" s="74" t="n"/>
      <c r="I152" s="74" t="n"/>
      <c r="J152" s="67" t="n"/>
      <c r="K152" s="68">
        <f>IFERROR(VLOOKUP(G152,Stage_Lookup!$A$2:$B$8,2,0),"")</f>
        <v/>
      </c>
      <c r="L152" s="69" t="n"/>
      <c r="M152" s="69" t="n"/>
      <c r="N152" s="67" t="n"/>
      <c r="O152" s="65" t="n"/>
      <c r="P152" s="65" t="n"/>
      <c r="Q152" s="106" t="n"/>
      <c r="R152" s="106" t="n"/>
      <c r="S152" s="106" t="n"/>
      <c r="T152">
        <f>IF(OR(G152="Closed Lost",G152="",NOT(ISNUMBER(H152))),"",H152)</f>
        <v/>
      </c>
    </row>
    <row r="153" ht="18" customHeight="1" s="96">
      <c r="A153" s="57" t="n">
        <v>151</v>
      </c>
      <c r="B153" s="70" t="n"/>
      <c r="C153" s="70" t="n"/>
      <c r="D153" s="70" t="n"/>
      <c r="E153" s="70" t="n"/>
      <c r="F153" s="71" t="n"/>
      <c r="G153" s="70" t="n"/>
      <c r="H153" s="75" t="n"/>
      <c r="I153" s="75" t="n"/>
      <c r="J153" s="72" t="n"/>
      <c r="K153" s="73">
        <f>IFERROR(VLOOKUP(G153,Stage_Lookup!$A$2:$B$8,2,0),"")</f>
        <v/>
      </c>
      <c r="L153" s="69" t="n"/>
      <c r="M153" s="69" t="n"/>
      <c r="N153" s="72" t="n"/>
      <c r="O153" s="70" t="n"/>
      <c r="P153" s="70" t="n"/>
      <c r="Q153" s="106" t="n"/>
      <c r="R153" s="106" t="n"/>
      <c r="S153" s="106" t="n"/>
      <c r="T153">
        <f>IF(OR(G153="Closed Lost",G153="",NOT(ISNUMBER(H153))),"",H153)</f>
        <v/>
      </c>
    </row>
    <row r="154" ht="18" customHeight="1" s="96">
      <c r="A154" s="64" t="n">
        <v>152</v>
      </c>
      <c r="B154" s="65" t="n"/>
      <c r="C154" s="65" t="n"/>
      <c r="D154" s="65" t="n"/>
      <c r="E154" s="65" t="n"/>
      <c r="F154" s="66" t="n"/>
      <c r="G154" s="65" t="n"/>
      <c r="H154" s="74" t="n"/>
      <c r="I154" s="74" t="n"/>
      <c r="J154" s="67" t="n"/>
      <c r="K154" s="68">
        <f>IFERROR(VLOOKUP(G154,Stage_Lookup!$A$2:$B$8,2,0),"")</f>
        <v/>
      </c>
      <c r="L154" s="69" t="n"/>
      <c r="M154" s="69" t="n"/>
      <c r="N154" s="67" t="n"/>
      <c r="O154" s="65" t="n"/>
      <c r="P154" s="65" t="n"/>
      <c r="Q154" s="106" t="n"/>
      <c r="R154" s="106" t="n"/>
      <c r="S154" s="106" t="n"/>
      <c r="T154">
        <f>IF(OR(G154="Closed Lost",G154="",NOT(ISNUMBER(H154))),"",H154)</f>
        <v/>
      </c>
    </row>
    <row r="155" ht="18" customHeight="1" s="96">
      <c r="A155" s="57" t="n">
        <v>153</v>
      </c>
      <c r="B155" s="70" t="n"/>
      <c r="C155" s="70" t="n"/>
      <c r="D155" s="70" t="n"/>
      <c r="E155" s="70" t="n"/>
      <c r="F155" s="71" t="n"/>
      <c r="G155" s="70" t="n"/>
      <c r="H155" s="75" t="n"/>
      <c r="I155" s="75" t="n"/>
      <c r="J155" s="72" t="n"/>
      <c r="K155" s="73">
        <f>IFERROR(VLOOKUP(G155,Stage_Lookup!$A$2:$B$8,2,0),"")</f>
        <v/>
      </c>
      <c r="L155" s="69" t="n"/>
      <c r="M155" s="69" t="n"/>
      <c r="N155" s="72" t="n"/>
      <c r="O155" s="70" t="n"/>
      <c r="P155" s="70" t="n"/>
      <c r="Q155" s="106" t="n"/>
      <c r="R155" s="106" t="n"/>
      <c r="S155" s="106" t="n"/>
      <c r="T155">
        <f>IF(OR(G155="Closed Lost",G155="",NOT(ISNUMBER(H155))),"",H155)</f>
        <v/>
      </c>
    </row>
    <row r="156" ht="18" customHeight="1" s="96">
      <c r="A156" s="64" t="n">
        <v>154</v>
      </c>
      <c r="B156" s="65" t="n"/>
      <c r="C156" s="65" t="n"/>
      <c r="D156" s="65" t="n"/>
      <c r="E156" s="65" t="n"/>
      <c r="F156" s="66" t="n"/>
      <c r="G156" s="65" t="n"/>
      <c r="H156" s="74" t="n"/>
      <c r="I156" s="74" t="n"/>
      <c r="J156" s="67" t="n"/>
      <c r="K156" s="68">
        <f>IFERROR(VLOOKUP(G156,Stage_Lookup!$A$2:$B$8,2,0),"")</f>
        <v/>
      </c>
      <c r="L156" s="69" t="n"/>
      <c r="M156" s="69" t="n"/>
      <c r="N156" s="67" t="n"/>
      <c r="O156" s="65" t="n"/>
      <c r="P156" s="65" t="n"/>
      <c r="Q156" s="106" t="n"/>
      <c r="R156" s="106" t="n"/>
      <c r="S156" s="106" t="n"/>
      <c r="T156">
        <f>IF(OR(G156="Closed Lost",G156="",NOT(ISNUMBER(H156))),"",H156)</f>
        <v/>
      </c>
    </row>
    <row r="157" ht="18" customHeight="1" s="96">
      <c r="A157" s="57" t="n">
        <v>155</v>
      </c>
      <c r="B157" s="70" t="n"/>
      <c r="C157" s="70" t="n"/>
      <c r="D157" s="70" t="n"/>
      <c r="E157" s="70" t="n"/>
      <c r="F157" s="71" t="n"/>
      <c r="G157" s="70" t="n"/>
      <c r="H157" s="75" t="n"/>
      <c r="I157" s="75" t="n"/>
      <c r="J157" s="72" t="n"/>
      <c r="K157" s="73">
        <f>IFERROR(VLOOKUP(G157,Stage_Lookup!$A$2:$B$8,2,0),"")</f>
        <v/>
      </c>
      <c r="L157" s="69" t="n"/>
      <c r="M157" s="69" t="n"/>
      <c r="N157" s="72" t="n"/>
      <c r="O157" s="70" t="n"/>
      <c r="P157" s="70" t="n"/>
      <c r="Q157" s="106" t="n"/>
      <c r="R157" s="106" t="n"/>
      <c r="S157" s="106" t="n"/>
      <c r="T157">
        <f>IF(OR(G157="Closed Lost",G157="",NOT(ISNUMBER(H157))),"",H157)</f>
        <v/>
      </c>
    </row>
    <row r="158" ht="18" customHeight="1" s="96">
      <c r="A158" s="64" t="n">
        <v>156</v>
      </c>
      <c r="B158" s="65" t="n"/>
      <c r="C158" s="65" t="n"/>
      <c r="D158" s="65" t="n"/>
      <c r="E158" s="65" t="n"/>
      <c r="F158" s="66" t="n"/>
      <c r="G158" s="65" t="n"/>
      <c r="H158" s="74" t="n"/>
      <c r="I158" s="74" t="n"/>
      <c r="J158" s="67" t="n"/>
      <c r="K158" s="68">
        <f>IFERROR(VLOOKUP(G158,Stage_Lookup!$A$2:$B$8,2,0),"")</f>
        <v/>
      </c>
      <c r="L158" s="69" t="n"/>
      <c r="M158" s="69" t="n"/>
      <c r="N158" s="67" t="n"/>
      <c r="O158" s="65" t="n"/>
      <c r="P158" s="65" t="n"/>
      <c r="Q158" s="106" t="n"/>
      <c r="R158" s="106" t="n"/>
      <c r="S158" s="106" t="n"/>
      <c r="T158">
        <f>IF(OR(G158="Closed Lost",G158="",NOT(ISNUMBER(H158))),"",H158)</f>
        <v/>
      </c>
    </row>
    <row r="159" ht="18" customHeight="1" s="96">
      <c r="A159" s="57" t="n">
        <v>157</v>
      </c>
      <c r="B159" s="70" t="n"/>
      <c r="C159" s="70" t="n"/>
      <c r="D159" s="70" t="n"/>
      <c r="E159" s="70" t="n"/>
      <c r="F159" s="71" t="n"/>
      <c r="G159" s="70" t="n"/>
      <c r="H159" s="75" t="n"/>
      <c r="I159" s="75" t="n"/>
      <c r="J159" s="72" t="n"/>
      <c r="K159" s="73">
        <f>IFERROR(VLOOKUP(G159,Stage_Lookup!$A$2:$B$8,2,0),"")</f>
        <v/>
      </c>
      <c r="L159" s="69" t="n"/>
      <c r="M159" s="69" t="n"/>
      <c r="N159" s="72" t="n"/>
      <c r="O159" s="70" t="n"/>
      <c r="P159" s="70" t="n"/>
      <c r="Q159" s="106" t="n"/>
      <c r="R159" s="106" t="n"/>
      <c r="S159" s="106" t="n"/>
      <c r="T159">
        <f>IF(OR(G159="Closed Lost",G159="",NOT(ISNUMBER(H159))),"",H159)</f>
        <v/>
      </c>
    </row>
    <row r="160" ht="18" customHeight="1" s="96">
      <c r="A160" s="64" t="n">
        <v>158</v>
      </c>
      <c r="B160" s="65" t="n"/>
      <c r="C160" s="65" t="n"/>
      <c r="D160" s="65" t="n"/>
      <c r="E160" s="65" t="n"/>
      <c r="F160" s="66" t="n"/>
      <c r="G160" s="65" t="n"/>
      <c r="H160" s="74" t="n"/>
      <c r="I160" s="74" t="n"/>
      <c r="J160" s="67" t="n"/>
      <c r="K160" s="68">
        <f>IFERROR(VLOOKUP(G160,Stage_Lookup!$A$2:$B$8,2,0),"")</f>
        <v/>
      </c>
      <c r="L160" s="69" t="n"/>
      <c r="M160" s="69" t="n"/>
      <c r="N160" s="67" t="n"/>
      <c r="O160" s="65" t="n"/>
      <c r="P160" s="65" t="n"/>
      <c r="Q160" s="106" t="n"/>
      <c r="R160" s="106" t="n"/>
      <c r="S160" s="106" t="n"/>
      <c r="T160">
        <f>IF(OR(G160="Closed Lost",G160="",NOT(ISNUMBER(H160))),"",H160)</f>
        <v/>
      </c>
    </row>
    <row r="161" ht="18" customHeight="1" s="96">
      <c r="A161" s="57" t="n">
        <v>159</v>
      </c>
      <c r="B161" s="70" t="n"/>
      <c r="C161" s="70" t="n"/>
      <c r="D161" s="70" t="n"/>
      <c r="E161" s="70" t="n"/>
      <c r="F161" s="71" t="n"/>
      <c r="G161" s="70" t="n"/>
      <c r="H161" s="75" t="n"/>
      <c r="I161" s="75" t="n"/>
      <c r="J161" s="72" t="n"/>
      <c r="K161" s="73">
        <f>IFERROR(VLOOKUP(G161,Stage_Lookup!$A$2:$B$8,2,0),"")</f>
        <v/>
      </c>
      <c r="L161" s="69" t="n"/>
      <c r="M161" s="69" t="n"/>
      <c r="N161" s="72" t="n"/>
      <c r="O161" s="70" t="n"/>
      <c r="P161" s="70" t="n"/>
      <c r="Q161" s="106" t="n"/>
      <c r="R161" s="106" t="n"/>
      <c r="S161" s="106" t="n"/>
      <c r="T161">
        <f>IF(OR(G161="Closed Lost",G161="",NOT(ISNUMBER(H161))),"",H161)</f>
        <v/>
      </c>
    </row>
    <row r="162" ht="18" customHeight="1" s="96">
      <c r="A162" s="64" t="n">
        <v>160</v>
      </c>
      <c r="B162" s="65" t="n"/>
      <c r="C162" s="65" t="n"/>
      <c r="D162" s="65" t="n"/>
      <c r="E162" s="65" t="n"/>
      <c r="F162" s="66" t="n"/>
      <c r="G162" s="65" t="n"/>
      <c r="H162" s="74" t="n"/>
      <c r="I162" s="74" t="n"/>
      <c r="J162" s="67" t="n"/>
      <c r="K162" s="68">
        <f>IFERROR(VLOOKUP(G162,Stage_Lookup!$A$2:$B$8,2,0),"")</f>
        <v/>
      </c>
      <c r="L162" s="69" t="n"/>
      <c r="M162" s="69" t="n"/>
      <c r="N162" s="67" t="n"/>
      <c r="O162" s="65" t="n"/>
      <c r="P162" s="65" t="n"/>
      <c r="Q162" s="106" t="n"/>
      <c r="R162" s="106" t="n"/>
      <c r="S162" s="106" t="n"/>
      <c r="T162">
        <f>IF(OR(G162="Closed Lost",G162="",NOT(ISNUMBER(H162))),"",H162)</f>
        <v/>
      </c>
    </row>
    <row r="163" ht="18" customHeight="1" s="96">
      <c r="A163" s="57" t="n">
        <v>161</v>
      </c>
      <c r="B163" s="70" t="n"/>
      <c r="C163" s="70" t="n"/>
      <c r="D163" s="70" t="n"/>
      <c r="E163" s="70" t="n"/>
      <c r="F163" s="71" t="n"/>
      <c r="G163" s="70" t="n"/>
      <c r="H163" s="75" t="n"/>
      <c r="I163" s="75" t="n"/>
      <c r="J163" s="72" t="n"/>
      <c r="K163" s="73">
        <f>IFERROR(VLOOKUP(G163,Stage_Lookup!$A$2:$B$8,2,0),"")</f>
        <v/>
      </c>
      <c r="L163" s="69" t="n"/>
      <c r="M163" s="69" t="n"/>
      <c r="N163" s="72" t="n"/>
      <c r="O163" s="70" t="n"/>
      <c r="P163" s="70" t="n"/>
      <c r="Q163" s="106" t="n"/>
      <c r="R163" s="106" t="n"/>
      <c r="S163" s="106" t="n"/>
      <c r="T163">
        <f>IF(OR(G163="Closed Lost",G163="",NOT(ISNUMBER(H163))),"",H163)</f>
        <v/>
      </c>
    </row>
    <row r="164" ht="18" customHeight="1" s="96">
      <c r="A164" s="64" t="n">
        <v>162</v>
      </c>
      <c r="B164" s="65" t="n"/>
      <c r="C164" s="65" t="n"/>
      <c r="D164" s="65" t="n"/>
      <c r="E164" s="65" t="n"/>
      <c r="F164" s="66" t="n"/>
      <c r="G164" s="65" t="n"/>
      <c r="H164" s="74" t="n"/>
      <c r="I164" s="74" t="n"/>
      <c r="J164" s="67" t="n"/>
      <c r="K164" s="68">
        <f>IFERROR(VLOOKUP(G164,Stage_Lookup!$A$2:$B$8,2,0),"")</f>
        <v/>
      </c>
      <c r="L164" s="69" t="n"/>
      <c r="M164" s="69" t="n"/>
      <c r="N164" s="67" t="n"/>
      <c r="O164" s="65" t="n"/>
      <c r="P164" s="65" t="n"/>
      <c r="Q164" s="106" t="n"/>
      <c r="R164" s="106" t="n"/>
      <c r="S164" s="106" t="n"/>
      <c r="T164">
        <f>IF(OR(G164="Closed Lost",G164="",NOT(ISNUMBER(H164))),"",H164)</f>
        <v/>
      </c>
    </row>
    <row r="165" ht="18" customHeight="1" s="96">
      <c r="A165" s="57" t="n">
        <v>163</v>
      </c>
      <c r="B165" s="70" t="n"/>
      <c r="C165" s="70" t="n"/>
      <c r="D165" s="70" t="n"/>
      <c r="E165" s="70" t="n"/>
      <c r="F165" s="71" t="n"/>
      <c r="G165" s="70" t="n"/>
      <c r="H165" s="75" t="n"/>
      <c r="I165" s="75" t="n"/>
      <c r="J165" s="72" t="n"/>
      <c r="K165" s="73">
        <f>IFERROR(VLOOKUP(G165,Stage_Lookup!$A$2:$B$8,2,0),"")</f>
        <v/>
      </c>
      <c r="L165" s="69" t="n"/>
      <c r="M165" s="69" t="n"/>
      <c r="N165" s="72" t="n"/>
      <c r="O165" s="70" t="n"/>
      <c r="P165" s="70" t="n"/>
      <c r="Q165" s="106" t="n"/>
      <c r="R165" s="106" t="n"/>
      <c r="S165" s="106" t="n"/>
      <c r="T165">
        <f>IF(OR(G165="Closed Lost",G165="",NOT(ISNUMBER(H165))),"",H165)</f>
        <v/>
      </c>
    </row>
    <row r="166" ht="18" customHeight="1" s="96">
      <c r="A166" s="64" t="n">
        <v>164</v>
      </c>
      <c r="B166" s="65" t="n"/>
      <c r="C166" s="65" t="n"/>
      <c r="D166" s="65" t="n"/>
      <c r="E166" s="65" t="n"/>
      <c r="F166" s="66" t="n"/>
      <c r="G166" s="65" t="n"/>
      <c r="H166" s="74" t="n"/>
      <c r="I166" s="74" t="n"/>
      <c r="J166" s="67" t="n"/>
      <c r="K166" s="68">
        <f>IFERROR(VLOOKUP(G166,Stage_Lookup!$A$2:$B$8,2,0),"")</f>
        <v/>
      </c>
      <c r="L166" s="69" t="n"/>
      <c r="M166" s="69" t="n"/>
      <c r="N166" s="67" t="n"/>
      <c r="O166" s="65" t="n"/>
      <c r="P166" s="65" t="n"/>
      <c r="Q166" s="106" t="n"/>
      <c r="R166" s="106" t="n"/>
      <c r="S166" s="106" t="n"/>
      <c r="T166">
        <f>IF(OR(G166="Closed Lost",G166="",NOT(ISNUMBER(H166))),"",H166)</f>
        <v/>
      </c>
    </row>
    <row r="167" ht="18" customHeight="1" s="96">
      <c r="A167" s="57" t="n">
        <v>165</v>
      </c>
      <c r="B167" s="70" t="n"/>
      <c r="C167" s="70" t="n"/>
      <c r="D167" s="70" t="n"/>
      <c r="E167" s="70" t="n"/>
      <c r="F167" s="71" t="n"/>
      <c r="G167" s="70" t="n"/>
      <c r="H167" s="75" t="n"/>
      <c r="I167" s="75" t="n"/>
      <c r="J167" s="72" t="n"/>
      <c r="K167" s="73">
        <f>IFERROR(VLOOKUP(G167,Stage_Lookup!$A$2:$B$8,2,0),"")</f>
        <v/>
      </c>
      <c r="L167" s="69" t="n"/>
      <c r="M167" s="69" t="n"/>
      <c r="N167" s="72" t="n"/>
      <c r="O167" s="70" t="n"/>
      <c r="P167" s="70" t="n"/>
      <c r="Q167" s="106" t="n"/>
      <c r="R167" s="106" t="n"/>
      <c r="S167" s="106" t="n"/>
      <c r="T167">
        <f>IF(OR(G167="Closed Lost",G167="",NOT(ISNUMBER(H167))),"",H167)</f>
        <v/>
      </c>
    </row>
    <row r="168" ht="18" customHeight="1" s="96">
      <c r="A168" s="64" t="n">
        <v>166</v>
      </c>
      <c r="B168" s="65" t="n"/>
      <c r="C168" s="65" t="n"/>
      <c r="D168" s="65" t="n"/>
      <c r="E168" s="65" t="n"/>
      <c r="F168" s="66" t="n"/>
      <c r="G168" s="65" t="n"/>
      <c r="H168" s="74" t="n"/>
      <c r="I168" s="74" t="n"/>
      <c r="J168" s="67" t="n"/>
      <c r="K168" s="68">
        <f>IFERROR(VLOOKUP(G168,Stage_Lookup!$A$2:$B$8,2,0),"")</f>
        <v/>
      </c>
      <c r="L168" s="69" t="n"/>
      <c r="M168" s="69" t="n"/>
      <c r="N168" s="67" t="n"/>
      <c r="O168" s="65" t="n"/>
      <c r="P168" s="65" t="n"/>
      <c r="Q168" s="106" t="n"/>
      <c r="R168" s="106" t="n"/>
      <c r="S168" s="106" t="n"/>
      <c r="T168">
        <f>IF(OR(G168="Closed Lost",G168="",NOT(ISNUMBER(H168))),"",H168)</f>
        <v/>
      </c>
    </row>
    <row r="169" ht="18" customHeight="1" s="96">
      <c r="A169" s="57" t="n">
        <v>167</v>
      </c>
      <c r="B169" s="70" t="n"/>
      <c r="C169" s="70" t="n"/>
      <c r="D169" s="70" t="n"/>
      <c r="E169" s="70" t="n"/>
      <c r="F169" s="71" t="n"/>
      <c r="G169" s="70" t="n"/>
      <c r="H169" s="75" t="n"/>
      <c r="I169" s="75" t="n"/>
      <c r="J169" s="72" t="n"/>
      <c r="K169" s="73">
        <f>IFERROR(VLOOKUP(G169,Stage_Lookup!$A$2:$B$8,2,0),"")</f>
        <v/>
      </c>
      <c r="L169" s="69" t="n"/>
      <c r="M169" s="69" t="n"/>
      <c r="N169" s="72" t="n"/>
      <c r="O169" s="70" t="n"/>
      <c r="P169" s="70" t="n"/>
      <c r="Q169" s="106" t="n"/>
      <c r="R169" s="106" t="n"/>
      <c r="S169" s="106" t="n"/>
      <c r="T169">
        <f>IF(OR(G169="Closed Lost",G169="",NOT(ISNUMBER(H169))),"",H169)</f>
        <v/>
      </c>
    </row>
    <row r="170" ht="18" customHeight="1" s="96">
      <c r="A170" s="64" t="n">
        <v>168</v>
      </c>
      <c r="B170" s="65" t="n"/>
      <c r="C170" s="65" t="n"/>
      <c r="D170" s="65" t="n"/>
      <c r="E170" s="65" t="n"/>
      <c r="F170" s="66" t="n"/>
      <c r="G170" s="65" t="n"/>
      <c r="H170" s="74" t="n"/>
      <c r="I170" s="74" t="n"/>
      <c r="J170" s="67" t="n"/>
      <c r="K170" s="68">
        <f>IFERROR(VLOOKUP(G170,Stage_Lookup!$A$2:$B$8,2,0),"")</f>
        <v/>
      </c>
      <c r="L170" s="69" t="n"/>
      <c r="M170" s="69" t="n"/>
      <c r="N170" s="67" t="n"/>
      <c r="O170" s="65" t="n"/>
      <c r="P170" s="65" t="n"/>
      <c r="Q170" s="106" t="n"/>
      <c r="R170" s="106" t="n"/>
      <c r="S170" s="106" t="n"/>
      <c r="T170">
        <f>IF(OR(G170="Closed Lost",G170="",NOT(ISNUMBER(H170))),"",H170)</f>
        <v/>
      </c>
    </row>
    <row r="171" ht="18" customHeight="1" s="96">
      <c r="A171" s="57" t="n">
        <v>169</v>
      </c>
      <c r="B171" s="70" t="n"/>
      <c r="C171" s="70" t="n"/>
      <c r="D171" s="70" t="n"/>
      <c r="E171" s="70" t="n"/>
      <c r="F171" s="71" t="n"/>
      <c r="G171" s="70" t="n"/>
      <c r="H171" s="75" t="n"/>
      <c r="I171" s="75" t="n"/>
      <c r="J171" s="72" t="n"/>
      <c r="K171" s="73">
        <f>IFERROR(VLOOKUP(G171,Stage_Lookup!$A$2:$B$8,2,0),"")</f>
        <v/>
      </c>
      <c r="L171" s="69" t="n"/>
      <c r="M171" s="69" t="n"/>
      <c r="N171" s="72" t="n"/>
      <c r="O171" s="70" t="n"/>
      <c r="P171" s="70" t="n"/>
      <c r="Q171" s="106" t="n"/>
      <c r="R171" s="106" t="n"/>
      <c r="S171" s="106" t="n"/>
      <c r="T171">
        <f>IF(OR(G171="Closed Lost",G171="",NOT(ISNUMBER(H171))),"",H171)</f>
        <v/>
      </c>
    </row>
    <row r="172" ht="18" customHeight="1" s="96">
      <c r="A172" s="64" t="n">
        <v>170</v>
      </c>
      <c r="B172" s="65" t="n"/>
      <c r="C172" s="65" t="n"/>
      <c r="D172" s="65" t="n"/>
      <c r="E172" s="65" t="n"/>
      <c r="F172" s="66" t="n"/>
      <c r="G172" s="65" t="n"/>
      <c r="H172" s="74" t="n"/>
      <c r="I172" s="74" t="n"/>
      <c r="J172" s="67" t="n"/>
      <c r="K172" s="68">
        <f>IFERROR(VLOOKUP(G172,Stage_Lookup!$A$2:$B$8,2,0),"")</f>
        <v/>
      </c>
      <c r="L172" s="69" t="n"/>
      <c r="M172" s="69" t="n"/>
      <c r="N172" s="67" t="n"/>
      <c r="O172" s="65" t="n"/>
      <c r="P172" s="65" t="n"/>
      <c r="Q172" s="106" t="n"/>
      <c r="R172" s="106" t="n"/>
      <c r="S172" s="106" t="n"/>
      <c r="T172">
        <f>IF(OR(G172="Closed Lost",G172="",NOT(ISNUMBER(H172))),"",H172)</f>
        <v/>
      </c>
    </row>
    <row r="173" ht="18" customHeight="1" s="96">
      <c r="A173" s="57" t="n">
        <v>171</v>
      </c>
      <c r="B173" s="70" t="n"/>
      <c r="C173" s="70" t="n"/>
      <c r="D173" s="70" t="n"/>
      <c r="E173" s="70" t="n"/>
      <c r="F173" s="71" t="n"/>
      <c r="G173" s="70" t="n"/>
      <c r="H173" s="75" t="n"/>
      <c r="I173" s="75" t="n"/>
      <c r="J173" s="72" t="n"/>
      <c r="K173" s="73">
        <f>IFERROR(VLOOKUP(G173,Stage_Lookup!$A$2:$B$8,2,0),"")</f>
        <v/>
      </c>
      <c r="L173" s="69" t="n"/>
      <c r="M173" s="69" t="n"/>
      <c r="N173" s="72" t="n"/>
      <c r="O173" s="70" t="n"/>
      <c r="P173" s="70" t="n"/>
      <c r="Q173" s="106" t="n"/>
      <c r="R173" s="106" t="n"/>
      <c r="S173" s="106" t="n"/>
      <c r="T173">
        <f>IF(OR(G173="Closed Lost",G173="",NOT(ISNUMBER(H173))),"",H173)</f>
        <v/>
      </c>
    </row>
    <row r="174" ht="18" customHeight="1" s="96">
      <c r="A174" s="64" t="n">
        <v>172</v>
      </c>
      <c r="B174" s="65" t="n"/>
      <c r="C174" s="65" t="n"/>
      <c r="D174" s="65" t="n"/>
      <c r="E174" s="65" t="n"/>
      <c r="F174" s="66" t="n"/>
      <c r="G174" s="65" t="n"/>
      <c r="H174" s="74" t="n"/>
      <c r="I174" s="74" t="n"/>
      <c r="J174" s="67" t="n"/>
      <c r="K174" s="68">
        <f>IFERROR(VLOOKUP(G174,Stage_Lookup!$A$2:$B$8,2,0),"")</f>
        <v/>
      </c>
      <c r="L174" s="69" t="n"/>
      <c r="M174" s="69" t="n"/>
      <c r="N174" s="67" t="n"/>
      <c r="O174" s="65" t="n"/>
      <c r="P174" s="65" t="n"/>
      <c r="Q174" s="106" t="n"/>
      <c r="R174" s="106" t="n"/>
      <c r="S174" s="106" t="n"/>
      <c r="T174">
        <f>IF(OR(G174="Closed Lost",G174="",NOT(ISNUMBER(H174))),"",H174)</f>
        <v/>
      </c>
    </row>
    <row r="175" ht="18" customHeight="1" s="96">
      <c r="A175" s="57" t="n">
        <v>173</v>
      </c>
      <c r="B175" s="70" t="n"/>
      <c r="C175" s="70" t="n"/>
      <c r="D175" s="70" t="n"/>
      <c r="E175" s="70" t="n"/>
      <c r="F175" s="71" t="n"/>
      <c r="G175" s="70" t="n"/>
      <c r="H175" s="75" t="n"/>
      <c r="I175" s="75" t="n"/>
      <c r="J175" s="72" t="n"/>
      <c r="K175" s="73">
        <f>IFERROR(VLOOKUP(G175,Stage_Lookup!$A$2:$B$8,2,0),"")</f>
        <v/>
      </c>
      <c r="L175" s="69" t="n"/>
      <c r="M175" s="69" t="n"/>
      <c r="N175" s="72" t="n"/>
      <c r="O175" s="70" t="n"/>
      <c r="P175" s="70" t="n"/>
      <c r="Q175" s="106" t="n"/>
      <c r="R175" s="106" t="n"/>
      <c r="S175" s="106" t="n"/>
      <c r="T175">
        <f>IF(OR(G175="Closed Lost",G175="",NOT(ISNUMBER(H175))),"",H175)</f>
        <v/>
      </c>
    </row>
    <row r="176" ht="18" customHeight="1" s="96">
      <c r="A176" s="64" t="n">
        <v>174</v>
      </c>
      <c r="B176" s="65" t="n"/>
      <c r="C176" s="65" t="n"/>
      <c r="D176" s="65" t="n"/>
      <c r="E176" s="65" t="n"/>
      <c r="F176" s="66" t="n"/>
      <c r="G176" s="65" t="n"/>
      <c r="H176" s="74" t="n"/>
      <c r="I176" s="74" t="n"/>
      <c r="J176" s="67" t="n"/>
      <c r="K176" s="68">
        <f>IFERROR(VLOOKUP(G176,Stage_Lookup!$A$2:$B$8,2,0),"")</f>
        <v/>
      </c>
      <c r="L176" s="69" t="n"/>
      <c r="M176" s="69" t="n"/>
      <c r="N176" s="67" t="n"/>
      <c r="O176" s="65" t="n"/>
      <c r="P176" s="65" t="n"/>
      <c r="Q176" s="106" t="n"/>
      <c r="R176" s="106" t="n"/>
      <c r="S176" s="106" t="n"/>
      <c r="T176">
        <f>IF(OR(G176="Closed Lost",G176="",NOT(ISNUMBER(H176))),"",H176)</f>
        <v/>
      </c>
    </row>
    <row r="177" ht="18" customHeight="1" s="96">
      <c r="A177" s="57" t="n">
        <v>175</v>
      </c>
      <c r="B177" s="70" t="n"/>
      <c r="C177" s="70" t="n"/>
      <c r="D177" s="70" t="n"/>
      <c r="E177" s="70" t="n"/>
      <c r="F177" s="71" t="n"/>
      <c r="G177" s="70" t="n"/>
      <c r="H177" s="75" t="n"/>
      <c r="I177" s="75" t="n"/>
      <c r="J177" s="72" t="n"/>
      <c r="K177" s="73">
        <f>IFERROR(VLOOKUP(G177,Stage_Lookup!$A$2:$B$8,2,0),"")</f>
        <v/>
      </c>
      <c r="L177" s="69" t="n"/>
      <c r="M177" s="69" t="n"/>
      <c r="N177" s="72" t="n"/>
      <c r="O177" s="70" t="n"/>
      <c r="P177" s="70" t="n"/>
      <c r="Q177" s="106" t="n"/>
      <c r="R177" s="106" t="n"/>
      <c r="S177" s="106" t="n"/>
      <c r="T177">
        <f>IF(OR(G177="Closed Lost",G177="",NOT(ISNUMBER(H177))),"",H177)</f>
        <v/>
      </c>
    </row>
    <row r="178" ht="18" customHeight="1" s="96">
      <c r="A178" s="64" t="n">
        <v>176</v>
      </c>
      <c r="B178" s="65" t="n"/>
      <c r="C178" s="65" t="n"/>
      <c r="D178" s="65" t="n"/>
      <c r="E178" s="65" t="n"/>
      <c r="F178" s="66" t="n"/>
      <c r="G178" s="65" t="n"/>
      <c r="H178" s="74" t="n"/>
      <c r="I178" s="74" t="n"/>
      <c r="J178" s="67" t="n"/>
      <c r="K178" s="68">
        <f>IFERROR(VLOOKUP(G178,Stage_Lookup!$A$2:$B$8,2,0),"")</f>
        <v/>
      </c>
      <c r="L178" s="69" t="n"/>
      <c r="M178" s="69" t="n"/>
      <c r="N178" s="67" t="n"/>
      <c r="O178" s="65" t="n"/>
      <c r="P178" s="65" t="n"/>
      <c r="Q178" s="106" t="n"/>
      <c r="R178" s="106" t="n"/>
      <c r="S178" s="106" t="n"/>
      <c r="T178">
        <f>IF(OR(G178="Closed Lost",G178="",NOT(ISNUMBER(H178))),"",H178)</f>
        <v/>
      </c>
    </row>
    <row r="179" ht="18" customHeight="1" s="96">
      <c r="A179" s="57" t="n">
        <v>177</v>
      </c>
      <c r="B179" s="70" t="n"/>
      <c r="C179" s="70" t="n"/>
      <c r="D179" s="70" t="n"/>
      <c r="E179" s="70" t="n"/>
      <c r="F179" s="71" t="n"/>
      <c r="G179" s="70" t="n"/>
      <c r="H179" s="75" t="n"/>
      <c r="I179" s="75" t="n"/>
      <c r="J179" s="72" t="n"/>
      <c r="K179" s="73">
        <f>IFERROR(VLOOKUP(G179,Stage_Lookup!$A$2:$B$8,2,0),"")</f>
        <v/>
      </c>
      <c r="L179" s="69" t="n"/>
      <c r="M179" s="69" t="n"/>
      <c r="N179" s="72" t="n"/>
      <c r="O179" s="70" t="n"/>
      <c r="P179" s="70" t="n"/>
      <c r="Q179" s="106" t="n"/>
      <c r="R179" s="106" t="n"/>
      <c r="S179" s="106" t="n"/>
      <c r="T179">
        <f>IF(OR(G179="Closed Lost",G179="",NOT(ISNUMBER(H179))),"",H179)</f>
        <v/>
      </c>
    </row>
    <row r="180" ht="18" customHeight="1" s="96">
      <c r="A180" s="64" t="n">
        <v>178</v>
      </c>
      <c r="B180" s="65" t="n"/>
      <c r="C180" s="65" t="n"/>
      <c r="D180" s="65" t="n"/>
      <c r="E180" s="65" t="n"/>
      <c r="F180" s="66" t="n"/>
      <c r="G180" s="65" t="n"/>
      <c r="H180" s="74" t="n"/>
      <c r="I180" s="74" t="n"/>
      <c r="J180" s="67" t="n"/>
      <c r="K180" s="68">
        <f>IFERROR(VLOOKUP(G180,Stage_Lookup!$A$2:$B$8,2,0),"")</f>
        <v/>
      </c>
      <c r="L180" s="69" t="n"/>
      <c r="M180" s="69" t="n"/>
      <c r="N180" s="67" t="n"/>
      <c r="O180" s="65" t="n"/>
      <c r="P180" s="65" t="n"/>
      <c r="Q180" s="106" t="n"/>
      <c r="R180" s="106" t="n"/>
      <c r="S180" s="106" t="n"/>
      <c r="T180">
        <f>IF(OR(G180="Closed Lost",G180="",NOT(ISNUMBER(H180))),"",H180)</f>
        <v/>
      </c>
    </row>
    <row r="181" ht="18" customHeight="1" s="96">
      <c r="A181" s="57" t="n">
        <v>179</v>
      </c>
      <c r="B181" s="70" t="n"/>
      <c r="C181" s="70" t="n"/>
      <c r="D181" s="70" t="n"/>
      <c r="E181" s="70" t="n"/>
      <c r="F181" s="71" t="n"/>
      <c r="G181" s="70" t="n"/>
      <c r="H181" s="75" t="n"/>
      <c r="I181" s="75" t="n"/>
      <c r="J181" s="72" t="n"/>
      <c r="K181" s="73">
        <f>IFERROR(VLOOKUP(G181,Stage_Lookup!$A$2:$B$8,2,0),"")</f>
        <v/>
      </c>
      <c r="L181" s="69" t="n"/>
      <c r="M181" s="69" t="n"/>
      <c r="N181" s="72" t="n"/>
      <c r="O181" s="70" t="n"/>
      <c r="P181" s="70" t="n"/>
      <c r="Q181" s="106" t="n"/>
      <c r="R181" s="106" t="n"/>
      <c r="S181" s="106" t="n"/>
      <c r="T181">
        <f>IF(OR(G181="Closed Lost",G181="",NOT(ISNUMBER(H181))),"",H181)</f>
        <v/>
      </c>
    </row>
    <row r="182" ht="18" customHeight="1" s="96">
      <c r="A182" s="64" t="n">
        <v>180</v>
      </c>
      <c r="B182" s="65" t="n"/>
      <c r="C182" s="65" t="n"/>
      <c r="D182" s="65" t="n"/>
      <c r="E182" s="65" t="n"/>
      <c r="F182" s="66" t="n"/>
      <c r="G182" s="65" t="n"/>
      <c r="H182" s="74" t="n"/>
      <c r="I182" s="74" t="n"/>
      <c r="J182" s="67" t="n"/>
      <c r="K182" s="68">
        <f>IFERROR(VLOOKUP(G182,Stage_Lookup!$A$2:$B$8,2,0),"")</f>
        <v/>
      </c>
      <c r="L182" s="69" t="n"/>
      <c r="M182" s="69" t="n"/>
      <c r="N182" s="67" t="n"/>
      <c r="O182" s="65" t="n"/>
      <c r="P182" s="65" t="n"/>
      <c r="Q182" s="106" t="n"/>
      <c r="R182" s="106" t="n"/>
      <c r="S182" s="106" t="n"/>
      <c r="T182">
        <f>IF(OR(G182="Closed Lost",G182="",NOT(ISNUMBER(H182))),"",H182)</f>
        <v/>
      </c>
    </row>
    <row r="183" ht="18" customHeight="1" s="96">
      <c r="A183" s="57" t="n">
        <v>181</v>
      </c>
      <c r="B183" s="70" t="n"/>
      <c r="C183" s="70" t="n"/>
      <c r="D183" s="70" t="n"/>
      <c r="E183" s="70" t="n"/>
      <c r="F183" s="71" t="n"/>
      <c r="G183" s="70" t="n"/>
      <c r="H183" s="75" t="n"/>
      <c r="I183" s="75" t="n"/>
      <c r="J183" s="72" t="n"/>
      <c r="K183" s="73">
        <f>IFERROR(VLOOKUP(G183,Stage_Lookup!$A$2:$B$8,2,0),"")</f>
        <v/>
      </c>
      <c r="L183" s="69" t="n"/>
      <c r="M183" s="69" t="n"/>
      <c r="N183" s="72" t="n"/>
      <c r="O183" s="70" t="n"/>
      <c r="P183" s="70" t="n"/>
      <c r="Q183" s="106" t="n"/>
      <c r="R183" s="106" t="n"/>
      <c r="S183" s="106" t="n"/>
      <c r="T183">
        <f>IF(OR(G183="Closed Lost",G183="",NOT(ISNUMBER(H183))),"",H183)</f>
        <v/>
      </c>
    </row>
    <row r="184" ht="18" customHeight="1" s="96">
      <c r="A184" s="64" t="n">
        <v>182</v>
      </c>
      <c r="B184" s="65" t="n"/>
      <c r="C184" s="65" t="n"/>
      <c r="D184" s="65" t="n"/>
      <c r="E184" s="65" t="n"/>
      <c r="F184" s="66" t="n"/>
      <c r="G184" s="65" t="n"/>
      <c r="H184" s="74" t="n"/>
      <c r="I184" s="74" t="n"/>
      <c r="J184" s="67" t="n"/>
      <c r="K184" s="68">
        <f>IFERROR(VLOOKUP(G184,Stage_Lookup!$A$2:$B$8,2,0),"")</f>
        <v/>
      </c>
      <c r="L184" s="69" t="n"/>
      <c r="M184" s="69" t="n"/>
      <c r="N184" s="67" t="n"/>
      <c r="O184" s="65" t="n"/>
      <c r="P184" s="65" t="n"/>
      <c r="Q184" s="106" t="n"/>
      <c r="R184" s="106" t="n"/>
      <c r="S184" s="106" t="n"/>
      <c r="T184">
        <f>IF(OR(G184="Closed Lost",G184="",NOT(ISNUMBER(H184))),"",H184)</f>
        <v/>
      </c>
    </row>
    <row r="185" ht="18" customHeight="1" s="96">
      <c r="A185" s="57" t="n">
        <v>183</v>
      </c>
      <c r="B185" s="70" t="n"/>
      <c r="C185" s="70" t="n"/>
      <c r="D185" s="70" t="n"/>
      <c r="E185" s="70" t="n"/>
      <c r="F185" s="71" t="n"/>
      <c r="G185" s="70" t="n"/>
      <c r="H185" s="75" t="n"/>
      <c r="I185" s="75" t="n"/>
      <c r="J185" s="72" t="n"/>
      <c r="K185" s="73">
        <f>IFERROR(VLOOKUP(G185,Stage_Lookup!$A$2:$B$8,2,0),"")</f>
        <v/>
      </c>
      <c r="L185" s="69" t="n"/>
      <c r="M185" s="69" t="n"/>
      <c r="N185" s="72" t="n"/>
      <c r="O185" s="70" t="n"/>
      <c r="P185" s="70" t="n"/>
      <c r="Q185" s="106" t="n"/>
      <c r="R185" s="106" t="n"/>
      <c r="S185" s="106" t="n"/>
      <c r="T185">
        <f>IF(OR(G185="Closed Lost",G185="",NOT(ISNUMBER(H185))),"",H185)</f>
        <v/>
      </c>
    </row>
    <row r="186" ht="18" customHeight="1" s="96">
      <c r="A186" s="64" t="n">
        <v>184</v>
      </c>
      <c r="B186" s="65" t="n"/>
      <c r="C186" s="65" t="n"/>
      <c r="D186" s="65" t="n"/>
      <c r="E186" s="65" t="n"/>
      <c r="F186" s="66" t="n"/>
      <c r="G186" s="65" t="n"/>
      <c r="H186" s="74" t="n"/>
      <c r="I186" s="74" t="n"/>
      <c r="J186" s="67" t="n"/>
      <c r="K186" s="68">
        <f>IFERROR(VLOOKUP(G186,Stage_Lookup!$A$2:$B$8,2,0),"")</f>
        <v/>
      </c>
      <c r="L186" s="69" t="n"/>
      <c r="M186" s="69" t="n"/>
      <c r="N186" s="67" t="n"/>
      <c r="O186" s="65" t="n"/>
      <c r="P186" s="65" t="n"/>
      <c r="Q186" s="106" t="n"/>
      <c r="R186" s="106" t="n"/>
      <c r="S186" s="106" t="n"/>
      <c r="T186">
        <f>IF(OR(G186="Closed Lost",G186="",NOT(ISNUMBER(H186))),"",H186)</f>
        <v/>
      </c>
    </row>
    <row r="187" ht="18" customHeight="1" s="96">
      <c r="A187" s="57" t="n">
        <v>185</v>
      </c>
      <c r="B187" s="70" t="n"/>
      <c r="C187" s="70" t="n"/>
      <c r="D187" s="70" t="n"/>
      <c r="E187" s="70" t="n"/>
      <c r="F187" s="71" t="n"/>
      <c r="G187" s="70" t="n"/>
      <c r="H187" s="75" t="n"/>
      <c r="I187" s="75" t="n"/>
      <c r="J187" s="72" t="n"/>
      <c r="K187" s="73">
        <f>IFERROR(VLOOKUP(G187,Stage_Lookup!$A$2:$B$8,2,0),"")</f>
        <v/>
      </c>
      <c r="L187" s="69" t="n"/>
      <c r="M187" s="69" t="n"/>
      <c r="N187" s="72" t="n"/>
      <c r="O187" s="70" t="n"/>
      <c r="P187" s="70" t="n"/>
      <c r="Q187" s="106" t="n"/>
      <c r="R187" s="106" t="n"/>
      <c r="S187" s="106" t="n"/>
      <c r="T187">
        <f>IF(OR(G187="Closed Lost",G187="",NOT(ISNUMBER(H187))),"",H187)</f>
        <v/>
      </c>
    </row>
    <row r="188" ht="18" customHeight="1" s="96">
      <c r="A188" s="64" t="n">
        <v>186</v>
      </c>
      <c r="B188" s="65" t="n"/>
      <c r="C188" s="65" t="n"/>
      <c r="D188" s="65" t="n"/>
      <c r="E188" s="65" t="n"/>
      <c r="F188" s="66" t="n"/>
      <c r="G188" s="65" t="n"/>
      <c r="H188" s="74" t="n"/>
      <c r="I188" s="74" t="n"/>
      <c r="J188" s="67" t="n"/>
      <c r="K188" s="68">
        <f>IFERROR(VLOOKUP(G188,Stage_Lookup!$A$2:$B$8,2,0),"")</f>
        <v/>
      </c>
      <c r="L188" s="69" t="n"/>
      <c r="M188" s="69" t="n"/>
      <c r="N188" s="67" t="n"/>
      <c r="O188" s="65" t="n"/>
      <c r="P188" s="65" t="n"/>
      <c r="Q188" s="106" t="n"/>
      <c r="R188" s="106" t="n"/>
      <c r="S188" s="106" t="n"/>
      <c r="T188">
        <f>IF(OR(G188="Closed Lost",G188="",NOT(ISNUMBER(H188))),"",H188)</f>
        <v/>
      </c>
    </row>
    <row r="189" ht="18" customHeight="1" s="96">
      <c r="A189" s="57" t="n">
        <v>187</v>
      </c>
      <c r="B189" s="70" t="n"/>
      <c r="C189" s="70" t="n"/>
      <c r="D189" s="70" t="n"/>
      <c r="E189" s="70" t="n"/>
      <c r="F189" s="71" t="n"/>
      <c r="G189" s="70" t="n"/>
      <c r="H189" s="75" t="n"/>
      <c r="I189" s="75" t="n"/>
      <c r="J189" s="72" t="n"/>
      <c r="K189" s="73">
        <f>IFERROR(VLOOKUP(G189,Stage_Lookup!$A$2:$B$8,2,0),"")</f>
        <v/>
      </c>
      <c r="L189" s="69" t="n"/>
      <c r="M189" s="69" t="n"/>
      <c r="N189" s="72" t="n"/>
      <c r="O189" s="70" t="n"/>
      <c r="P189" s="70" t="n"/>
      <c r="Q189" s="106" t="n"/>
      <c r="R189" s="106" t="n"/>
      <c r="S189" s="106" t="n"/>
      <c r="T189">
        <f>IF(OR(G189="Closed Lost",G189="",NOT(ISNUMBER(H189))),"",H189)</f>
        <v/>
      </c>
    </row>
    <row r="190" ht="18" customHeight="1" s="96">
      <c r="A190" s="64" t="n">
        <v>188</v>
      </c>
      <c r="B190" s="65" t="n"/>
      <c r="C190" s="65" t="n"/>
      <c r="D190" s="65" t="n"/>
      <c r="E190" s="65" t="n"/>
      <c r="F190" s="66" t="n"/>
      <c r="G190" s="65" t="n"/>
      <c r="H190" s="74" t="n"/>
      <c r="I190" s="74" t="n"/>
      <c r="J190" s="67" t="n"/>
      <c r="K190" s="68">
        <f>IFERROR(VLOOKUP(G190,Stage_Lookup!$A$2:$B$8,2,0),"")</f>
        <v/>
      </c>
      <c r="L190" s="69" t="n"/>
      <c r="M190" s="69" t="n"/>
      <c r="N190" s="67" t="n"/>
      <c r="O190" s="65" t="n"/>
      <c r="P190" s="65" t="n"/>
      <c r="Q190" s="106" t="n"/>
      <c r="R190" s="106" t="n"/>
      <c r="S190" s="106" t="n"/>
      <c r="T190">
        <f>IF(OR(G190="Closed Lost",G190="",NOT(ISNUMBER(H190))),"",H190)</f>
        <v/>
      </c>
    </row>
    <row r="191" ht="18" customHeight="1" s="96">
      <c r="A191" s="57" t="n">
        <v>189</v>
      </c>
      <c r="B191" s="70" t="n"/>
      <c r="C191" s="70" t="n"/>
      <c r="D191" s="70" t="n"/>
      <c r="E191" s="70" t="n"/>
      <c r="F191" s="71" t="n"/>
      <c r="G191" s="70" t="n"/>
      <c r="H191" s="75" t="n"/>
      <c r="I191" s="75" t="n"/>
      <c r="J191" s="72" t="n"/>
      <c r="K191" s="73">
        <f>IFERROR(VLOOKUP(G191,Stage_Lookup!$A$2:$B$8,2,0),"")</f>
        <v/>
      </c>
      <c r="L191" s="69" t="n"/>
      <c r="M191" s="69" t="n"/>
      <c r="N191" s="72" t="n"/>
      <c r="O191" s="70" t="n"/>
      <c r="P191" s="70" t="n"/>
      <c r="Q191" s="106" t="n"/>
      <c r="R191" s="106" t="n"/>
      <c r="S191" s="106" t="n"/>
      <c r="T191">
        <f>IF(OR(G191="Closed Lost",G191="",NOT(ISNUMBER(H191))),"",H191)</f>
        <v/>
      </c>
    </row>
    <row r="192" ht="18" customHeight="1" s="96">
      <c r="A192" s="64" t="n">
        <v>190</v>
      </c>
      <c r="B192" s="65" t="n"/>
      <c r="C192" s="65" t="n"/>
      <c r="D192" s="65" t="n"/>
      <c r="E192" s="65" t="n"/>
      <c r="F192" s="66" t="n"/>
      <c r="G192" s="65" t="n"/>
      <c r="H192" s="74" t="n"/>
      <c r="I192" s="74" t="n"/>
      <c r="J192" s="67" t="n"/>
      <c r="K192" s="68">
        <f>IFERROR(VLOOKUP(G192,Stage_Lookup!$A$2:$B$8,2,0),"")</f>
        <v/>
      </c>
      <c r="L192" s="69" t="n"/>
      <c r="M192" s="69" t="n"/>
      <c r="N192" s="67" t="n"/>
      <c r="O192" s="65" t="n"/>
      <c r="P192" s="65" t="n"/>
      <c r="Q192" s="106" t="n"/>
      <c r="R192" s="106" t="n"/>
      <c r="S192" s="106" t="n"/>
      <c r="T192">
        <f>IF(OR(G192="Closed Lost",G192="",NOT(ISNUMBER(H192))),"",H192)</f>
        <v/>
      </c>
    </row>
    <row r="193" ht="18" customHeight="1" s="96">
      <c r="A193" s="57" t="n">
        <v>191</v>
      </c>
      <c r="B193" s="70" t="n"/>
      <c r="C193" s="70" t="n"/>
      <c r="D193" s="70" t="n"/>
      <c r="E193" s="70" t="n"/>
      <c r="F193" s="71" t="n"/>
      <c r="G193" s="70" t="n"/>
      <c r="H193" s="75" t="n"/>
      <c r="I193" s="75" t="n"/>
      <c r="J193" s="72" t="n"/>
      <c r="K193" s="73">
        <f>IFERROR(VLOOKUP(G193,Stage_Lookup!$A$2:$B$8,2,0),"")</f>
        <v/>
      </c>
      <c r="L193" s="69" t="n"/>
      <c r="M193" s="69" t="n"/>
      <c r="N193" s="72" t="n"/>
      <c r="O193" s="70" t="n"/>
      <c r="P193" s="70" t="n"/>
      <c r="Q193" s="106" t="n"/>
      <c r="R193" s="106" t="n"/>
      <c r="S193" s="106" t="n"/>
      <c r="T193">
        <f>IF(OR(G193="Closed Lost",G193="",NOT(ISNUMBER(H193))),"",H193)</f>
        <v/>
      </c>
    </row>
    <row r="194" ht="18" customHeight="1" s="96">
      <c r="A194" s="64" t="n">
        <v>192</v>
      </c>
      <c r="B194" s="65" t="n"/>
      <c r="C194" s="65" t="n"/>
      <c r="D194" s="65" t="n"/>
      <c r="E194" s="65" t="n"/>
      <c r="F194" s="66" t="n"/>
      <c r="G194" s="65" t="n"/>
      <c r="H194" s="74" t="n"/>
      <c r="I194" s="74" t="n"/>
      <c r="J194" s="67" t="n"/>
      <c r="K194" s="68">
        <f>IFERROR(VLOOKUP(G194,Stage_Lookup!$A$2:$B$8,2,0),"")</f>
        <v/>
      </c>
      <c r="L194" s="69" t="n"/>
      <c r="M194" s="69" t="n"/>
      <c r="N194" s="67" t="n"/>
      <c r="O194" s="65" t="n"/>
      <c r="P194" s="65" t="n"/>
      <c r="Q194" s="106" t="n"/>
      <c r="R194" s="106" t="n"/>
      <c r="S194" s="106" t="n"/>
      <c r="T194">
        <f>IF(OR(G194="Closed Lost",G194="",NOT(ISNUMBER(H194))),"",H194)</f>
        <v/>
      </c>
    </row>
    <row r="195" ht="18" customHeight="1" s="96">
      <c r="A195" s="57" t="n">
        <v>193</v>
      </c>
      <c r="B195" s="70" t="n"/>
      <c r="C195" s="70" t="n"/>
      <c r="D195" s="70" t="n"/>
      <c r="E195" s="70" t="n"/>
      <c r="F195" s="71" t="n"/>
      <c r="G195" s="70" t="n"/>
      <c r="H195" s="75" t="n"/>
      <c r="I195" s="75" t="n"/>
      <c r="J195" s="72" t="n"/>
      <c r="K195" s="73">
        <f>IFERROR(VLOOKUP(G195,Stage_Lookup!$A$2:$B$8,2,0),"")</f>
        <v/>
      </c>
      <c r="L195" s="69" t="n"/>
      <c r="M195" s="69" t="n"/>
      <c r="N195" s="72" t="n"/>
      <c r="O195" s="70" t="n"/>
      <c r="P195" s="70" t="n"/>
      <c r="Q195" s="106" t="n"/>
      <c r="R195" s="106" t="n"/>
      <c r="S195" s="106" t="n"/>
      <c r="T195">
        <f>IF(OR(G195="Closed Lost",G195="",NOT(ISNUMBER(H195))),"",H195)</f>
        <v/>
      </c>
    </row>
    <row r="196" ht="18" customHeight="1" s="96">
      <c r="A196" s="64" t="n">
        <v>194</v>
      </c>
      <c r="B196" s="65" t="n"/>
      <c r="C196" s="65" t="n"/>
      <c r="D196" s="65" t="n"/>
      <c r="E196" s="65" t="n"/>
      <c r="F196" s="66" t="n"/>
      <c r="G196" s="65" t="n"/>
      <c r="H196" s="74" t="n"/>
      <c r="I196" s="74" t="n"/>
      <c r="J196" s="67" t="n"/>
      <c r="K196" s="68">
        <f>IFERROR(VLOOKUP(G196,Stage_Lookup!$A$2:$B$8,2,0),"")</f>
        <v/>
      </c>
      <c r="L196" s="69" t="n"/>
      <c r="M196" s="69" t="n"/>
      <c r="N196" s="67" t="n"/>
      <c r="O196" s="65" t="n"/>
      <c r="P196" s="65" t="n"/>
      <c r="Q196" s="106" t="n"/>
      <c r="R196" s="106" t="n"/>
      <c r="S196" s="106" t="n"/>
      <c r="T196">
        <f>IF(OR(G196="Closed Lost",G196="",NOT(ISNUMBER(H196))),"",H196)</f>
        <v/>
      </c>
    </row>
    <row r="197" ht="18" customHeight="1" s="96">
      <c r="A197" s="57" t="n">
        <v>195</v>
      </c>
      <c r="B197" s="70" t="n"/>
      <c r="C197" s="70" t="n"/>
      <c r="D197" s="70" t="n"/>
      <c r="E197" s="70" t="n"/>
      <c r="F197" s="71" t="n"/>
      <c r="G197" s="70" t="n"/>
      <c r="H197" s="75" t="n"/>
      <c r="I197" s="75" t="n"/>
      <c r="J197" s="72" t="n"/>
      <c r="K197" s="73">
        <f>IFERROR(VLOOKUP(G197,Stage_Lookup!$A$2:$B$8,2,0),"")</f>
        <v/>
      </c>
      <c r="L197" s="69" t="n"/>
      <c r="M197" s="69" t="n"/>
      <c r="N197" s="72" t="n"/>
      <c r="O197" s="70" t="n"/>
      <c r="P197" s="70" t="n"/>
      <c r="Q197" s="106" t="n"/>
      <c r="R197" s="106" t="n"/>
      <c r="S197" s="106" t="n"/>
      <c r="T197">
        <f>IF(OR(G197="Closed Lost",G197="",NOT(ISNUMBER(H197))),"",H197)</f>
        <v/>
      </c>
    </row>
    <row r="198" ht="18" customHeight="1" s="96">
      <c r="A198" s="64" t="n">
        <v>196</v>
      </c>
      <c r="B198" s="65" t="n"/>
      <c r="C198" s="65" t="n"/>
      <c r="D198" s="65" t="n"/>
      <c r="E198" s="65" t="n"/>
      <c r="F198" s="66" t="n"/>
      <c r="G198" s="65" t="n"/>
      <c r="H198" s="74" t="n"/>
      <c r="I198" s="74" t="n"/>
      <c r="J198" s="67" t="n"/>
      <c r="K198" s="68">
        <f>IFERROR(VLOOKUP(G198,Stage_Lookup!$A$2:$B$8,2,0),"")</f>
        <v/>
      </c>
      <c r="L198" s="69" t="n"/>
      <c r="M198" s="69" t="n"/>
      <c r="N198" s="67" t="n"/>
      <c r="O198" s="65" t="n"/>
      <c r="P198" s="65" t="n"/>
      <c r="Q198" s="106" t="n"/>
      <c r="R198" s="106" t="n"/>
      <c r="S198" s="106" t="n"/>
      <c r="T198">
        <f>IF(OR(G198="Closed Lost",G198="",NOT(ISNUMBER(H198))),"",H198)</f>
        <v/>
      </c>
    </row>
    <row r="199" ht="18" customHeight="1" s="96">
      <c r="A199" s="57" t="n">
        <v>197</v>
      </c>
      <c r="B199" s="70" t="n"/>
      <c r="C199" s="70" t="n"/>
      <c r="D199" s="70" t="n"/>
      <c r="E199" s="70" t="n"/>
      <c r="F199" s="71" t="n"/>
      <c r="G199" s="70" t="n"/>
      <c r="H199" s="75" t="n"/>
      <c r="I199" s="75" t="n"/>
      <c r="J199" s="72" t="n"/>
      <c r="K199" s="73">
        <f>IFERROR(VLOOKUP(G199,Stage_Lookup!$A$2:$B$8,2,0),"")</f>
        <v/>
      </c>
      <c r="L199" s="69" t="n"/>
      <c r="M199" s="69" t="n"/>
      <c r="N199" s="72" t="n"/>
      <c r="O199" s="70" t="n"/>
      <c r="P199" s="70" t="n"/>
      <c r="Q199" s="106" t="n"/>
      <c r="R199" s="106" t="n"/>
      <c r="S199" s="106" t="n"/>
      <c r="T199">
        <f>IF(OR(G199="Closed Lost",G199="",NOT(ISNUMBER(H199))),"",H199)</f>
        <v/>
      </c>
    </row>
    <row r="200" ht="18" customHeight="1" s="96">
      <c r="A200" s="64" t="n">
        <v>198</v>
      </c>
      <c r="B200" s="65" t="n"/>
      <c r="C200" s="65" t="n"/>
      <c r="D200" s="65" t="n"/>
      <c r="E200" s="65" t="n"/>
      <c r="F200" s="66" t="n"/>
      <c r="G200" s="65" t="n"/>
      <c r="H200" s="74" t="n"/>
      <c r="I200" s="74" t="n"/>
      <c r="J200" s="67" t="n"/>
      <c r="K200" s="68">
        <f>IFERROR(VLOOKUP(G200,Stage_Lookup!$A$2:$B$8,2,0),"")</f>
        <v/>
      </c>
      <c r="L200" s="69" t="n"/>
      <c r="M200" s="69" t="n"/>
      <c r="N200" s="67" t="n"/>
      <c r="O200" s="65" t="n"/>
      <c r="P200" s="65" t="n"/>
      <c r="Q200" s="106" t="n"/>
      <c r="R200" s="106" t="n"/>
      <c r="S200" s="106" t="n"/>
      <c r="T200">
        <f>IF(OR(G200="Closed Lost",G200="",NOT(ISNUMBER(H200))),"",H200)</f>
        <v/>
      </c>
    </row>
    <row r="201" ht="18" customHeight="1" s="96">
      <c r="A201" s="57" t="n">
        <v>199</v>
      </c>
      <c r="B201" s="70" t="n"/>
      <c r="C201" s="70" t="n"/>
      <c r="D201" s="70" t="n"/>
      <c r="E201" s="70" t="n"/>
      <c r="F201" s="71" t="n"/>
      <c r="G201" s="70" t="n"/>
      <c r="H201" s="75" t="n"/>
      <c r="I201" s="75" t="n"/>
      <c r="J201" s="72" t="n"/>
      <c r="K201" s="73">
        <f>IFERROR(VLOOKUP(G201,Stage_Lookup!$A$2:$B$8,2,0),"")</f>
        <v/>
      </c>
      <c r="L201" s="69" t="n"/>
      <c r="M201" s="69" t="n"/>
      <c r="N201" s="72" t="n"/>
      <c r="O201" s="70" t="n"/>
      <c r="P201" s="70" t="n"/>
      <c r="Q201" s="106" t="n"/>
      <c r="R201" s="106" t="n"/>
      <c r="S201" s="106" t="n"/>
      <c r="T201">
        <f>IF(OR(G201="Closed Lost",G201="",NOT(ISNUMBER(H201))),"",H201)</f>
        <v/>
      </c>
    </row>
    <row r="202" ht="18" customHeight="1" s="96">
      <c r="A202" s="64" t="n">
        <v>200</v>
      </c>
      <c r="B202" s="65" t="n"/>
      <c r="C202" s="65" t="n"/>
      <c r="D202" s="65" t="n"/>
      <c r="E202" s="65" t="n"/>
      <c r="F202" s="66" t="n"/>
      <c r="G202" s="65" t="n"/>
      <c r="H202" s="74" t="n"/>
      <c r="I202" s="74" t="n"/>
      <c r="J202" s="67" t="n"/>
      <c r="K202" s="68">
        <f>IFERROR(VLOOKUP(G202,Stage_Lookup!$A$2:$B$8,2,0),"")</f>
        <v/>
      </c>
      <c r="L202" s="69" t="n"/>
      <c r="M202" s="69" t="n"/>
      <c r="N202" s="67" t="n"/>
      <c r="O202" s="65" t="n"/>
      <c r="P202" s="65" t="n"/>
      <c r="Q202" s="106" t="n"/>
      <c r="R202" s="106" t="n"/>
      <c r="S202" s="106" t="n"/>
      <c r="T202">
        <f>IF(OR(G202="Closed Lost",G202="",NOT(ISNUMBER(H202))),"",H202)</f>
        <v/>
      </c>
    </row>
    <row r="203" ht="24" customHeight="1" s="96">
      <c r="A203" s="76" t="inlineStr">
        <is>
          <t>TOTALS</t>
        </is>
      </c>
      <c r="B203" s="77" t="n"/>
      <c r="C203" s="78" t="inlineStr">
        <is>
          <t># DEALS:</t>
        </is>
      </c>
      <c r="D203" s="79">
        <f>COUNTA(D3:D202)</f>
        <v/>
      </c>
      <c r="E203" s="77" t="n"/>
      <c r="F203" s="80">
        <f>SUM(F3:F202)</f>
        <v/>
      </c>
      <c r="G203" s="77" t="n"/>
      <c r="H203" s="81">
        <f>SUM(H3:H202)</f>
        <v/>
      </c>
      <c r="I203" s="81">
        <f>SUM(I3:I202)</f>
        <v/>
      </c>
      <c r="J203" s="77" t="n"/>
      <c r="K203" s="77" t="n"/>
      <c r="L203" s="82" t="n"/>
      <c r="M203" s="82" t="n"/>
      <c r="N203" s="77" t="n"/>
      <c r="O203" s="77" t="n"/>
      <c r="P203" s="77" t="n"/>
      <c r="Q203" s="106" t="n"/>
      <c r="R203" s="106" t="n"/>
      <c r="S203" s="10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P1"/>
    <mergeCell ref="A2:P2"/>
  </mergeCells>
  <conditionalFormatting sqref="L4:M203">
    <cfRule type="expression" priority="1" dxfId="1">
      <formula>$K4=0.9</formula>
    </cfRule>
    <cfRule type="expression" priority="2" dxfId="0">
      <formula>$K4&lt;&gt;0.9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3"/>
  <sheetViews>
    <sheetView showGridLines="0" tabSelected="1" topLeftCell="D1" zoomScaleNormal="100" workbookViewId="0">
      <pane ySplit="3" topLeftCell="D12" activePane="bottomLeft" state="frozen"/>
      <selection activeCell="D1" sqref="D1"/>
      <selection pane="bottomLeft" activeCell="D2" sqref="D2"/>
    </sheetView>
  </sheetViews>
  <sheetFormatPr baseColWidth="8" defaultColWidth="8.7421875" defaultRowHeight="15"/>
  <cols>
    <col width="4.9765625" customWidth="1" style="96" min="1" max="1"/>
    <col width="16.0078125" customWidth="1" style="96" min="2" max="2"/>
    <col width="27.98046875" customWidth="1" style="96" min="3" max="3"/>
    <col width="22.05859375" customWidth="1" style="96" min="4" max="4"/>
    <col width="29.99609375" customWidth="1" style="96" min="5" max="5"/>
    <col width="13.98828125" customWidth="1" style="96" min="6" max="6"/>
    <col width="16.0078125" customWidth="1" style="96" min="7" max="8"/>
    <col width="13.98828125" customWidth="1" style="96" min="9" max="9"/>
    <col width="29.99609375" customWidth="1" style="96" min="10" max="10"/>
    <col width="13.046875" customWidth="1" style="96" min="11" max="11"/>
  </cols>
  <sheetData>
    <row r="1" ht="30" customHeight="1" s="96">
      <c r="A1" s="104" t="inlineStr">
        <is>
          <t>SALES COVERAGE — Person B</t>
        </is>
      </c>
    </row>
    <row r="2" ht="18" customHeight="1" s="96">
      <c r="A2" s="97" t="inlineStr">
        <is>
          <t>ℹ  Rows are unlimited. Add as many opportunities as needed. Totals row auto-updates.</t>
        </is>
      </c>
    </row>
    <row r="3" ht="24" customHeight="1" s="96">
      <c r="A3" s="2" t="n">
        <v>1</v>
      </c>
      <c r="B3" s="49" t="inlineStr">
        <is>
          <t>BDM</t>
        </is>
      </c>
      <c r="C3" s="49" t="inlineStr">
        <is>
          <t>ACCOUNT NAME</t>
        </is>
      </c>
      <c r="D3" s="49" t="inlineStr">
        <is>
          <t>OPPORTUNITY TYPE</t>
        </is>
      </c>
      <c r="E3" s="49" t="inlineStr">
        <is>
          <t>OPPORTUNITY DETAILS</t>
        </is>
      </c>
      <c r="F3" s="50" t="inlineStr">
        <is>
          <t>AREA (IN SQM)</t>
        </is>
      </c>
      <c r="G3" s="51" t="inlineStr">
        <is>
          <t>TCV</t>
        </is>
      </c>
      <c r="H3" s="51" t="inlineStr">
        <is>
          <t>GP</t>
        </is>
      </c>
      <c r="I3" s="52" t="inlineStr">
        <is>
          <t>CLOSING DATE</t>
        </is>
      </c>
      <c r="J3" s="49" t="inlineStr">
        <is>
          <t>REMARKS</t>
        </is>
      </c>
      <c r="K3" s="7" t="inlineStr">
        <is>
          <t>PROBABILITY</t>
        </is>
      </c>
    </row>
    <row r="4" ht="24" customHeight="1" s="96">
      <c r="A4" s="93" t="n">
        <v>2</v>
      </c>
      <c r="B4" s="8" t="inlineStr">
        <is>
          <t>Zarrah</t>
        </is>
      </c>
      <c r="C4" s="8" t="inlineStr">
        <is>
          <t xml:space="preserve">TDCX </t>
        </is>
      </c>
      <c r="D4" s="8" t="inlineStr">
        <is>
          <t>Office Fitout - D&amp;B CAPEX</t>
        </is>
      </c>
      <c r="E4" s="8" t="inlineStr">
        <is>
          <t>Expansion Octigas office</t>
        </is>
      </c>
      <c r="F4" s="9" t="n"/>
      <c r="G4" s="10" t="n"/>
      <c r="H4" s="10" t="n"/>
      <c r="I4" s="11" t="n"/>
      <c r="J4" s="8" t="inlineStr">
        <is>
          <t>Expansion was moved to Q1 2027</t>
        </is>
      </c>
      <c r="K4" s="12" t="n"/>
    </row>
    <row r="5" ht="24" customHeight="1" s="96">
      <c r="A5" s="2" t="n">
        <v>3</v>
      </c>
      <c r="B5" s="3" t="inlineStr">
        <is>
          <t>Zarrah</t>
        </is>
      </c>
      <c r="C5" s="3" t="inlineStr">
        <is>
          <t>BPI</t>
        </is>
      </c>
      <c r="D5" s="3" t="inlineStr">
        <is>
          <t>Office Fitout - D&amp;B CAPEX</t>
        </is>
      </c>
      <c r="E5" s="3" t="inlineStr">
        <is>
          <t>Expansion Alabang and BGC</t>
        </is>
      </c>
      <c r="F5" s="4" t="n"/>
      <c r="G5" s="5" t="n"/>
      <c r="H5" s="5" t="n"/>
      <c r="I5" s="6" t="n"/>
      <c r="J5" s="3" t="inlineStr">
        <is>
          <t>Awarded to Newcore</t>
        </is>
      </c>
      <c r="K5" s="13" t="n"/>
    </row>
    <row r="6" ht="24" customHeight="1" s="96">
      <c r="A6" s="93" t="n">
        <v>4</v>
      </c>
      <c r="B6" s="8" t="inlineStr">
        <is>
          <t>Zarrah</t>
        </is>
      </c>
      <c r="C6" s="8" t="inlineStr">
        <is>
          <t xml:space="preserve">HGS </t>
        </is>
      </c>
      <c r="D6" s="8" t="inlineStr">
        <is>
          <t>Office Fitout - D&amp;B OPEX</t>
        </is>
      </c>
      <c r="E6" s="8" t="inlineStr">
        <is>
          <t xml:space="preserve">Cebu or Bohol </t>
        </is>
      </c>
      <c r="F6" s="9" t="n"/>
      <c r="G6" s="10" t="n"/>
      <c r="H6" s="10" t="n"/>
      <c r="I6" s="11" t="n"/>
      <c r="J6" s="8" t="inlineStr">
        <is>
          <t xml:space="preserve">No movement yet accroding to the client </t>
        </is>
      </c>
      <c r="K6" s="12" t="n"/>
    </row>
    <row r="7" ht="24" customHeight="1" s="96">
      <c r="A7" s="2" t="n">
        <v>5</v>
      </c>
      <c r="B7" s="3" t="inlineStr">
        <is>
          <t>Zarrah</t>
        </is>
      </c>
      <c r="C7" s="3" t="inlineStr">
        <is>
          <t>Jewelmer/Karamar</t>
        </is>
      </c>
      <c r="D7" s="3" t="inlineStr">
        <is>
          <t>Office Fitout - D&amp;B CAPEX</t>
        </is>
      </c>
      <c r="E7" s="3" t="inlineStr">
        <is>
          <t xml:space="preserve">New site in Cebu </t>
        </is>
      </c>
      <c r="F7" s="4" t="n"/>
      <c r="G7" s="5" t="n"/>
      <c r="H7" s="5" t="n"/>
      <c r="I7" s="6" t="n"/>
      <c r="J7" s="3" t="inlineStr">
        <is>
          <t>Waiting for approval, as they are still negotiating with the landlord.</t>
        </is>
      </c>
      <c r="K7" s="13" t="n"/>
    </row>
    <row r="8" ht="24" customHeight="1" s="96">
      <c r="A8" s="93" t="n">
        <v>6</v>
      </c>
      <c r="B8" s="8" t="inlineStr">
        <is>
          <t>Zarrah</t>
        </is>
      </c>
      <c r="C8" s="8" t="inlineStr">
        <is>
          <t>EY</t>
        </is>
      </c>
      <c r="D8" s="8" t="inlineStr">
        <is>
          <t>Office Fitout - D&amp;B CAPEX</t>
        </is>
      </c>
      <c r="E8" s="8" t="n"/>
      <c r="F8" s="9" t="n"/>
      <c r="G8" s="10" t="n"/>
      <c r="H8" s="10" t="n"/>
      <c r="I8" s="11" t="n"/>
      <c r="J8" s="8" t="n"/>
      <c r="K8" s="12" t="n"/>
    </row>
    <row r="9" ht="24" customHeight="1" s="96">
      <c r="A9" s="2" t="n">
        <v>7</v>
      </c>
      <c r="B9" s="3" t="inlineStr">
        <is>
          <t>Zarrah</t>
        </is>
      </c>
      <c r="C9" s="3" t="inlineStr">
        <is>
          <t>Clock in</t>
        </is>
      </c>
      <c r="D9" s="3" t="inlineStr">
        <is>
          <t>Office Fitout - D&amp;B CAPEX</t>
        </is>
      </c>
      <c r="E9" s="3" t="inlineStr">
        <is>
          <t>3F One Ayala Bldg</t>
        </is>
      </c>
      <c r="F9" s="4" t="n"/>
      <c r="G9" s="5" t="n"/>
      <c r="H9" s="5" t="n"/>
      <c r="I9" s="6" t="n"/>
      <c r="J9" s="3" t="n"/>
      <c r="K9" s="13" t="n"/>
    </row>
    <row r="10" ht="24" customHeight="1" s="96">
      <c r="A10" s="93" t="n">
        <v>8</v>
      </c>
      <c r="B10" s="8" t="inlineStr">
        <is>
          <t>Zarrah</t>
        </is>
      </c>
      <c r="C10" s="8" t="inlineStr">
        <is>
          <t xml:space="preserve">Lexmark </t>
        </is>
      </c>
      <c r="D10" s="8" t="inlineStr">
        <is>
          <t>Office Fitout - D&amp;B CAPEX</t>
        </is>
      </c>
      <c r="E10" s="8" t="inlineStr">
        <is>
          <t>Cebu</t>
        </is>
      </c>
      <c r="F10" s="9" t="n"/>
      <c r="G10" s="10" t="n"/>
      <c r="H10" s="10" t="n"/>
      <c r="I10" s="11" t="n"/>
      <c r="J10" s="8" t="n"/>
      <c r="K10" s="12" t="n"/>
    </row>
    <row r="11" ht="24" customHeight="1" s="96">
      <c r="A11" s="2" t="n">
        <v>9</v>
      </c>
      <c r="B11" s="3" t="inlineStr">
        <is>
          <t>Zarrah</t>
        </is>
      </c>
      <c r="C11" s="3" t="inlineStr">
        <is>
          <t xml:space="preserve">AFNI </t>
        </is>
      </c>
      <c r="D11" s="3" t="inlineStr">
        <is>
          <t>Office Fitout - D&amp;B CAPEX</t>
        </is>
      </c>
      <c r="E11" s="3" t="inlineStr">
        <is>
          <t>OFC</t>
        </is>
      </c>
      <c r="F11" s="4" t="n"/>
      <c r="G11" s="5" t="n"/>
      <c r="H11" s="5" t="n"/>
      <c r="I11" s="6" t="n"/>
      <c r="J11" s="3" t="n"/>
      <c r="K11" s="13" t="n"/>
    </row>
    <row r="12" ht="24" customHeight="1" s="96">
      <c r="A12" s="93" t="n">
        <v>10</v>
      </c>
      <c r="B12" s="8" t="inlineStr">
        <is>
          <t>Zarrah</t>
        </is>
      </c>
      <c r="C12" s="8" t="inlineStr">
        <is>
          <t xml:space="preserve">AFNI </t>
        </is>
      </c>
      <c r="D12" s="8" t="inlineStr">
        <is>
          <t>Office Fitout - D&amp;B CAPEX</t>
        </is>
      </c>
      <c r="E12" s="8" t="inlineStr">
        <is>
          <t>7F, 8F&amp;9F Tower 3 SM STR</t>
        </is>
      </c>
      <c r="F12" s="9" t="n"/>
      <c r="G12" s="10" t="n"/>
      <c r="H12" s="10" t="n"/>
      <c r="I12" s="11" t="n"/>
      <c r="J12" s="8" t="n"/>
      <c r="K12" s="12" t="n"/>
    </row>
    <row r="13" ht="36" customHeight="1" s="96">
      <c r="A13" s="2" t="n">
        <v>11</v>
      </c>
      <c r="B13" s="3" t="inlineStr">
        <is>
          <t>Zarrah</t>
        </is>
      </c>
      <c r="C13" s="3" t="inlineStr">
        <is>
          <t xml:space="preserve">GC Services/Intelogix </t>
        </is>
      </c>
      <c r="D13" s="3" t="inlineStr">
        <is>
          <t>Office Fitout - D&amp;B CAPEX</t>
        </is>
      </c>
      <c r="E13" s="3" t="inlineStr">
        <is>
          <t xml:space="preserve">6F Cybergate Bacolod 2, Bacolod </t>
        </is>
      </c>
      <c r="F13" s="4" t="n"/>
      <c r="G13" s="5" t="n"/>
      <c r="H13" s="5" t="n"/>
      <c r="I13" s="6" t="n"/>
      <c r="J13" s="3" t="inlineStr">
        <is>
          <t>According to Wes, theres an onogoing negotitation with the new cleint</t>
        </is>
      </c>
      <c r="K13" s="13" t="n"/>
    </row>
    <row r="14" ht="24" customHeight="1" s="96">
      <c r="A14" s="93" t="n">
        <v>12</v>
      </c>
      <c r="B14" s="8" t="inlineStr">
        <is>
          <t>Zarrah</t>
        </is>
      </c>
      <c r="C14" s="8" t="inlineStr">
        <is>
          <t>Everise</t>
        </is>
      </c>
      <c r="D14" s="8" t="inlineStr">
        <is>
          <t>Office Fitout - D&amp;B CAPEX</t>
        </is>
      </c>
      <c r="E14" s="8" t="n"/>
      <c r="F14" s="9" t="n"/>
      <c r="G14" s="10" t="n"/>
      <c r="H14" s="10" t="n"/>
      <c r="I14" s="11" t="n"/>
      <c r="J14" s="8" t="inlineStr">
        <is>
          <t xml:space="preserve">For Follow up </t>
        </is>
      </c>
      <c r="K14" s="12" t="n"/>
    </row>
    <row r="15" ht="36" customHeight="1" s="96">
      <c r="A15" s="2" t="n">
        <v>13</v>
      </c>
      <c r="B15" s="3" t="inlineStr">
        <is>
          <t>Zarrah</t>
        </is>
      </c>
      <c r="C15" s="3" t="inlineStr">
        <is>
          <t xml:space="preserve">HGS </t>
        </is>
      </c>
      <c r="D15" s="3" t="inlineStr">
        <is>
          <t>Office Fitout - D&amp;B CAPEX</t>
        </is>
      </c>
      <c r="E15" s="3" t="inlineStr">
        <is>
          <t>10F The Enterprise Iloilo</t>
        </is>
      </c>
      <c r="F15" s="4" t="n"/>
      <c r="G15" s="5" t="n"/>
      <c r="H15" s="5" t="n"/>
      <c r="I15" s="6" t="n"/>
      <c r="J15" s="3" t="inlineStr">
        <is>
          <t>According to the client, they are still waiting for approval regarding the timing for the additional space.</t>
        </is>
      </c>
      <c r="K15" s="13" t="n"/>
    </row>
    <row r="16" ht="24" customHeight="1" s="96">
      <c r="A16" s="93" t="n">
        <v>14</v>
      </c>
      <c r="B16" s="8" t="inlineStr">
        <is>
          <t>Zarrah</t>
        </is>
      </c>
      <c r="C16" s="8" t="inlineStr">
        <is>
          <t>Accenture</t>
        </is>
      </c>
      <c r="D16" s="8" t="inlineStr">
        <is>
          <t>Office Fitout - D&amp;B CAPEX</t>
        </is>
      </c>
      <c r="E16" s="8" t="n"/>
      <c r="F16" s="9" t="n"/>
      <c r="G16" s="10" t="n"/>
      <c r="H16" s="10" t="n"/>
      <c r="I16" s="11" t="n"/>
      <c r="J16" s="8" t="inlineStr">
        <is>
          <t xml:space="preserve">Potential Bridgetown expansion, cover procurement team </t>
        </is>
      </c>
      <c r="K16" s="12" t="n"/>
    </row>
    <row r="17" ht="24" customHeight="1" s="96">
      <c r="A17" s="2" t="n">
        <v>15</v>
      </c>
      <c r="B17" s="3" t="inlineStr">
        <is>
          <t>Zarrah</t>
        </is>
      </c>
      <c r="C17" s="3" t="inlineStr">
        <is>
          <t>IQOR</t>
        </is>
      </c>
      <c r="D17" s="3" t="inlineStr">
        <is>
          <t>Office Fitout - D&amp;B CAPEX</t>
        </is>
      </c>
      <c r="E17" s="3" t="n"/>
      <c r="F17" s="4" t="n"/>
      <c r="G17" s="5" t="n"/>
      <c r="H17" s="5" t="n"/>
      <c r="I17" s="6" t="n"/>
      <c r="J17" s="3" t="inlineStr">
        <is>
          <t>Provincial expansion, cover new Country Head c/o Jon</t>
        </is>
      </c>
      <c r="K17" s="13" t="n"/>
    </row>
    <row r="18" ht="36" customHeight="1" s="96">
      <c r="A18" s="93" t="n">
        <v>16</v>
      </c>
      <c r="B18" s="8" t="inlineStr">
        <is>
          <t xml:space="preserve">Zarrah </t>
        </is>
      </c>
      <c r="C18" s="8" t="inlineStr">
        <is>
          <t>Solaire Resort and Casino</t>
        </is>
      </c>
      <c r="D18" s="8" t="inlineStr">
        <is>
          <t>Office Fitout - D&amp;B CAPEX</t>
        </is>
      </c>
      <c r="E18" s="8" t="n"/>
      <c r="F18" s="9" t="n"/>
      <c r="G18" s="10" t="n"/>
      <c r="H18" s="10" t="n"/>
      <c r="I18" s="11" t="n"/>
      <c r="J18" s="8" t="inlineStr">
        <is>
          <t>Requested a meeting with Procurement and Facilities week of March 2, 2026</t>
        </is>
      </c>
      <c r="K18" s="12" t="n"/>
    </row>
    <row r="19" ht="36" customHeight="1" s="96">
      <c r="A19" s="2" t="n">
        <v>17</v>
      </c>
      <c r="B19" s="3" t="inlineStr">
        <is>
          <t xml:space="preserve">Zarrah </t>
        </is>
      </c>
      <c r="C19" s="3" t="inlineStr">
        <is>
          <t>Ascott</t>
        </is>
      </c>
      <c r="D19" s="3" t="inlineStr">
        <is>
          <t>Office Fitout - D&amp;B CAPEX</t>
        </is>
      </c>
      <c r="E19" s="3" t="n"/>
      <c r="F19" s="4" t="n"/>
      <c r="G19" s="5" t="n"/>
      <c r="H19" s="5" t="n"/>
      <c r="I19" s="6" t="n"/>
      <c r="J19" s="3" t="inlineStr">
        <is>
          <t xml:space="preserve">Accrediation Process- ongoing , waiting for the OR and SI under C2 address </t>
        </is>
      </c>
      <c r="K19" s="13" t="n"/>
    </row>
    <row r="20" ht="24" customHeight="1" s="96">
      <c r="A20" s="93" t="n">
        <v>18</v>
      </c>
      <c r="B20" s="8" t="inlineStr">
        <is>
          <t xml:space="preserve">Zarrah </t>
        </is>
      </c>
      <c r="C20" s="8" t="inlineStr">
        <is>
          <t>The Beef Bar</t>
        </is>
      </c>
      <c r="D20" s="8" t="inlineStr">
        <is>
          <t>Office Fitout - D&amp;B CAPEX</t>
        </is>
      </c>
      <c r="E20" s="8" t="inlineStr">
        <is>
          <t>Design and Build high end restaurant in PSE makati</t>
        </is>
      </c>
      <c r="F20" s="9" t="inlineStr">
        <is>
          <t>583 sqm</t>
        </is>
      </c>
      <c r="G20" s="10" t="n"/>
      <c r="H20" s="10" t="n"/>
      <c r="I20" s="11" t="n"/>
      <c r="J20" s="8" t="inlineStr">
        <is>
          <t xml:space="preserve">For Follow up </t>
        </is>
      </c>
      <c r="K20" s="12" t="n"/>
    </row>
    <row r="21" ht="24" customHeight="1" s="96">
      <c r="A21" s="2" t="n">
        <v>19</v>
      </c>
      <c r="B21" s="3" t="inlineStr">
        <is>
          <t xml:space="preserve">Zarrah </t>
        </is>
      </c>
      <c r="C21" s="3" t="inlineStr">
        <is>
          <t>WNS</t>
        </is>
      </c>
      <c r="D21" s="3" t="inlineStr">
        <is>
          <t>Maintenance, Office Fit Out D&amp;B</t>
        </is>
      </c>
      <c r="E21" s="3" t="n"/>
      <c r="F21" s="4" t="n"/>
      <c r="G21" s="5" t="n"/>
      <c r="H21" s="5" t="n"/>
      <c r="I21" s="6" t="n"/>
      <c r="J21" s="3" t="inlineStr">
        <is>
          <t xml:space="preserve">For Follow up </t>
        </is>
      </c>
      <c r="K21" s="13" t="n"/>
    </row>
    <row r="22" ht="18" customHeight="1" s="96">
      <c r="A22" s="93" t="n">
        <v>20</v>
      </c>
      <c r="B22" s="8" t="n"/>
      <c r="C22" s="8" t="n"/>
      <c r="D22" s="8" t="n"/>
      <c r="E22" s="8" t="n"/>
      <c r="F22" s="9" t="n"/>
      <c r="G22" s="10" t="n"/>
      <c r="H22" s="10" t="n"/>
      <c r="I22" s="11" t="n"/>
      <c r="J22" s="8" t="n"/>
      <c r="K22" s="12" t="n"/>
    </row>
    <row r="23" ht="18" customHeight="1" s="96">
      <c r="A23" s="2" t="n">
        <v>21</v>
      </c>
      <c r="B23" s="3" t="n"/>
      <c r="C23" s="3" t="n"/>
      <c r="D23" s="3" t="n"/>
      <c r="E23" s="3" t="n"/>
      <c r="F23" s="4" t="n"/>
      <c r="G23" s="5" t="n"/>
      <c r="H23" s="5" t="n"/>
      <c r="I23" s="6" t="n"/>
      <c r="J23" s="3" t="n"/>
      <c r="K23" s="13" t="n"/>
    </row>
    <row r="24" ht="18" customHeight="1" s="96">
      <c r="A24" s="93" t="n">
        <v>22</v>
      </c>
      <c r="B24" s="8" t="n"/>
      <c r="C24" s="8" t="n"/>
      <c r="D24" s="8" t="n"/>
      <c r="E24" s="8" t="n"/>
      <c r="F24" s="9" t="n"/>
      <c r="G24" s="10" t="n"/>
      <c r="H24" s="10" t="n"/>
      <c r="I24" s="11" t="n"/>
      <c r="J24" s="8" t="n"/>
      <c r="K24" s="12" t="n"/>
    </row>
    <row r="25" ht="18" customHeight="1" s="96">
      <c r="A25" s="2" t="n">
        <v>23</v>
      </c>
      <c r="B25" s="3" t="n"/>
      <c r="C25" s="3" t="n"/>
      <c r="D25" s="3" t="n"/>
      <c r="E25" s="3" t="n"/>
      <c r="F25" s="4" t="n"/>
      <c r="G25" s="5" t="n"/>
      <c r="H25" s="5" t="n"/>
      <c r="I25" s="6" t="n"/>
      <c r="J25" s="3" t="n"/>
      <c r="K25" s="13" t="n"/>
    </row>
    <row r="26" ht="18" customHeight="1" s="96">
      <c r="A26" s="93" t="n">
        <v>24</v>
      </c>
      <c r="B26" s="8" t="n"/>
      <c r="C26" s="8" t="n"/>
      <c r="D26" s="8" t="n"/>
      <c r="E26" s="8" t="n"/>
      <c r="F26" s="9" t="n"/>
      <c r="G26" s="10" t="n"/>
      <c r="H26" s="10" t="n"/>
      <c r="I26" s="11" t="n"/>
      <c r="J26" s="8" t="n"/>
      <c r="K26" s="12" t="n"/>
    </row>
    <row r="27" ht="18" customHeight="1" s="96">
      <c r="A27" s="2" t="n">
        <v>25</v>
      </c>
      <c r="B27" s="3" t="n"/>
      <c r="C27" s="3" t="n"/>
      <c r="D27" s="3" t="n"/>
      <c r="E27" s="3" t="n"/>
      <c r="F27" s="4" t="n"/>
      <c r="G27" s="5" t="n"/>
      <c r="H27" s="5" t="n"/>
      <c r="I27" s="6" t="n"/>
      <c r="J27" s="3" t="n"/>
      <c r="K27" s="13" t="n"/>
    </row>
    <row r="28" ht="18" customHeight="1" s="96">
      <c r="A28" s="93" t="n">
        <v>26</v>
      </c>
      <c r="B28" s="8" t="n"/>
      <c r="C28" s="8" t="n"/>
      <c r="D28" s="8" t="n"/>
      <c r="E28" s="8" t="n"/>
      <c r="F28" s="9" t="n"/>
      <c r="G28" s="10" t="n"/>
      <c r="H28" s="10" t="n"/>
      <c r="I28" s="11" t="n"/>
      <c r="J28" s="8" t="n"/>
      <c r="K28" s="12" t="n"/>
    </row>
    <row r="29" ht="18" customHeight="1" s="96">
      <c r="A29" s="2" t="n">
        <v>27</v>
      </c>
      <c r="B29" s="3" t="n"/>
      <c r="C29" s="3" t="n"/>
      <c r="D29" s="3" t="n"/>
      <c r="E29" s="3" t="n"/>
      <c r="F29" s="4" t="n"/>
      <c r="G29" s="5" t="n"/>
      <c r="H29" s="5" t="n"/>
      <c r="I29" s="6" t="n"/>
      <c r="J29" s="3" t="n"/>
      <c r="K29" s="13" t="n"/>
    </row>
    <row r="30" ht="18" customHeight="1" s="96">
      <c r="A30" s="93" t="n">
        <v>28</v>
      </c>
      <c r="B30" s="8" t="n"/>
      <c r="C30" s="8" t="n"/>
      <c r="D30" s="8" t="n"/>
      <c r="E30" s="8" t="n"/>
      <c r="F30" s="9" t="n"/>
      <c r="G30" s="10" t="n"/>
      <c r="H30" s="10" t="n"/>
      <c r="I30" s="11" t="n"/>
      <c r="J30" s="8" t="n"/>
      <c r="K30" s="12" t="n"/>
    </row>
    <row r="31" ht="18" customHeight="1" s="96">
      <c r="A31" s="2" t="n">
        <v>29</v>
      </c>
      <c r="B31" s="3" t="n"/>
      <c r="C31" s="3" t="n"/>
      <c r="D31" s="3" t="n"/>
      <c r="E31" s="3" t="n"/>
      <c r="F31" s="4" t="n"/>
      <c r="G31" s="5" t="n"/>
      <c r="H31" s="5" t="n"/>
      <c r="I31" s="6" t="n"/>
      <c r="J31" s="3" t="n"/>
      <c r="K31" s="13" t="n"/>
    </row>
    <row r="32" ht="18" customHeight="1" s="96">
      <c r="A32" s="93" t="n">
        <v>30</v>
      </c>
      <c r="B32" s="8" t="n"/>
      <c r="C32" s="8" t="n"/>
      <c r="D32" s="8" t="n"/>
      <c r="E32" s="8" t="n"/>
      <c r="F32" s="9" t="n"/>
      <c r="G32" s="10" t="n"/>
      <c r="H32" s="10" t="n"/>
      <c r="I32" s="11" t="n"/>
      <c r="J32" s="8" t="n"/>
      <c r="K32" s="12" t="n"/>
    </row>
    <row r="33" ht="18" customHeight="1" s="96">
      <c r="A33" s="2" t="n">
        <v>31</v>
      </c>
      <c r="B33" s="3" t="n"/>
      <c r="C33" s="3" t="n"/>
      <c r="D33" s="3" t="n"/>
      <c r="E33" s="3" t="n"/>
      <c r="F33" s="4" t="n"/>
      <c r="G33" s="5" t="n"/>
      <c r="H33" s="5" t="n"/>
      <c r="I33" s="6" t="n"/>
      <c r="J33" s="3" t="n"/>
      <c r="K33" s="13" t="n"/>
    </row>
    <row r="34" ht="18" customHeight="1" s="96">
      <c r="A34" s="93" t="n">
        <v>32</v>
      </c>
      <c r="B34" s="8" t="n"/>
      <c r="C34" s="8" t="n"/>
      <c r="D34" s="8" t="n"/>
      <c r="E34" s="8" t="n"/>
      <c r="F34" s="9" t="n"/>
      <c r="G34" s="10" t="n"/>
      <c r="H34" s="10" t="n"/>
      <c r="I34" s="11" t="n"/>
      <c r="J34" s="8" t="n"/>
      <c r="K34" s="12" t="n"/>
    </row>
    <row r="35" ht="18" customHeight="1" s="96">
      <c r="A35" s="2" t="n">
        <v>33</v>
      </c>
      <c r="B35" s="3" t="n"/>
      <c r="C35" s="3" t="n"/>
      <c r="D35" s="3" t="n"/>
      <c r="E35" s="3" t="n"/>
      <c r="F35" s="4" t="n"/>
      <c r="G35" s="5" t="n"/>
      <c r="H35" s="5" t="n"/>
      <c r="I35" s="6" t="n"/>
      <c r="J35" s="3" t="n"/>
      <c r="K35" s="13" t="n"/>
    </row>
    <row r="36" ht="18" customHeight="1" s="96">
      <c r="A36" s="93" t="n">
        <v>34</v>
      </c>
      <c r="B36" s="8" t="n"/>
      <c r="C36" s="8" t="n"/>
      <c r="D36" s="8" t="n"/>
      <c r="E36" s="8" t="n"/>
      <c r="F36" s="9" t="n"/>
      <c r="G36" s="10" t="n"/>
      <c r="H36" s="10" t="n"/>
      <c r="I36" s="11" t="n"/>
      <c r="J36" s="8" t="n"/>
      <c r="K36" s="12" t="n"/>
    </row>
    <row r="37" ht="18" customHeight="1" s="96">
      <c r="A37" s="2" t="n">
        <v>35</v>
      </c>
      <c r="B37" s="3" t="n"/>
      <c r="C37" s="3" t="n"/>
      <c r="D37" s="3" t="n"/>
      <c r="E37" s="3" t="n"/>
      <c r="F37" s="4" t="n"/>
      <c r="G37" s="5" t="n"/>
      <c r="H37" s="5" t="n"/>
      <c r="I37" s="6" t="n"/>
      <c r="J37" s="3" t="n"/>
      <c r="K37" s="13" t="n"/>
    </row>
    <row r="38" ht="18" customHeight="1" s="96">
      <c r="A38" s="93" t="n">
        <v>36</v>
      </c>
      <c r="B38" s="8" t="n"/>
      <c r="C38" s="8" t="n"/>
      <c r="D38" s="8" t="n"/>
      <c r="E38" s="8" t="n"/>
      <c r="F38" s="9" t="n"/>
      <c r="G38" s="10" t="n"/>
      <c r="H38" s="10" t="n"/>
      <c r="I38" s="11" t="n"/>
      <c r="J38" s="8" t="n"/>
      <c r="K38" s="12" t="n"/>
    </row>
    <row r="39" ht="18" customHeight="1" s="96">
      <c r="A39" s="2" t="n">
        <v>37</v>
      </c>
      <c r="B39" s="3" t="n"/>
      <c r="C39" s="3" t="n"/>
      <c r="D39" s="3" t="n"/>
      <c r="E39" s="3" t="n"/>
      <c r="F39" s="4" t="n"/>
      <c r="G39" s="5" t="n"/>
      <c r="H39" s="5" t="n"/>
      <c r="I39" s="6" t="n"/>
      <c r="J39" s="3" t="n"/>
      <c r="K39" s="13" t="n"/>
    </row>
    <row r="40" ht="18" customHeight="1" s="96">
      <c r="A40" s="93" t="n">
        <v>38</v>
      </c>
      <c r="B40" s="8" t="n"/>
      <c r="C40" s="8" t="n"/>
      <c r="D40" s="8" t="n"/>
      <c r="E40" s="8" t="n"/>
      <c r="F40" s="9" t="n"/>
      <c r="G40" s="10" t="n"/>
      <c r="H40" s="10" t="n"/>
      <c r="I40" s="11" t="n"/>
      <c r="J40" s="8" t="n"/>
      <c r="K40" s="12" t="n"/>
    </row>
    <row r="41" ht="18" customHeight="1" s="96">
      <c r="A41" s="2" t="n">
        <v>39</v>
      </c>
      <c r="B41" s="3" t="n"/>
      <c r="C41" s="3" t="n"/>
      <c r="D41" s="3" t="n"/>
      <c r="E41" s="3" t="n"/>
      <c r="F41" s="4" t="n"/>
      <c r="G41" s="5" t="n"/>
      <c r="H41" s="5" t="n"/>
      <c r="I41" s="6" t="n"/>
      <c r="J41" s="3" t="n"/>
      <c r="K41" s="13" t="n"/>
    </row>
    <row r="42" ht="18" customHeight="1" s="96">
      <c r="A42" s="93" t="n">
        <v>40</v>
      </c>
      <c r="B42" s="8" t="n"/>
      <c r="C42" s="8" t="n"/>
      <c r="D42" s="8" t="n"/>
      <c r="E42" s="8" t="n"/>
      <c r="F42" s="9" t="n"/>
      <c r="G42" s="10" t="n"/>
      <c r="H42" s="10" t="n"/>
      <c r="I42" s="11" t="n"/>
      <c r="J42" s="8" t="n"/>
      <c r="K42" s="12" t="n"/>
    </row>
    <row r="43" ht="18" customHeight="1" s="96">
      <c r="A43" s="2" t="n">
        <v>41</v>
      </c>
      <c r="B43" s="3" t="n"/>
      <c r="C43" s="3" t="n"/>
      <c r="D43" s="3" t="n"/>
      <c r="E43" s="3" t="n"/>
      <c r="F43" s="4" t="n"/>
      <c r="G43" s="5" t="n"/>
      <c r="H43" s="5" t="n"/>
      <c r="I43" s="6" t="n"/>
      <c r="J43" s="3" t="n"/>
      <c r="K43" s="13" t="n"/>
    </row>
    <row r="44" ht="18" customHeight="1" s="96">
      <c r="A44" s="93" t="n">
        <v>42</v>
      </c>
      <c r="B44" s="8" t="n"/>
      <c r="C44" s="8" t="n"/>
      <c r="D44" s="8" t="n"/>
      <c r="E44" s="8" t="n"/>
      <c r="F44" s="9" t="n"/>
      <c r="G44" s="10" t="n"/>
      <c r="H44" s="10" t="n"/>
      <c r="I44" s="11" t="n"/>
      <c r="J44" s="8" t="n"/>
      <c r="K44" s="12" t="n"/>
    </row>
    <row r="45" ht="18" customHeight="1" s="96">
      <c r="A45" s="2" t="n">
        <v>43</v>
      </c>
      <c r="B45" s="3" t="n"/>
      <c r="C45" s="3" t="n"/>
      <c r="D45" s="3" t="n"/>
      <c r="E45" s="3" t="n"/>
      <c r="F45" s="4" t="n"/>
      <c r="G45" s="5" t="n"/>
      <c r="H45" s="5" t="n"/>
      <c r="I45" s="6" t="n"/>
      <c r="J45" s="3" t="n"/>
      <c r="K45" s="13" t="n"/>
    </row>
    <row r="46" ht="18" customHeight="1" s="96">
      <c r="A46" s="93" t="n">
        <v>44</v>
      </c>
      <c r="B46" s="8" t="n"/>
      <c r="C46" s="8" t="n"/>
      <c r="D46" s="8" t="n"/>
      <c r="E46" s="8" t="n"/>
      <c r="F46" s="9" t="n"/>
      <c r="G46" s="10" t="n"/>
      <c r="H46" s="10" t="n"/>
      <c r="I46" s="11" t="n"/>
      <c r="J46" s="8" t="n"/>
      <c r="K46" s="12" t="n"/>
    </row>
    <row r="47" ht="18" customHeight="1" s="96">
      <c r="A47" s="2" t="n">
        <v>45</v>
      </c>
      <c r="B47" s="3" t="n"/>
      <c r="C47" s="3" t="n"/>
      <c r="D47" s="3" t="n"/>
      <c r="E47" s="3" t="n"/>
      <c r="F47" s="4" t="n"/>
      <c r="G47" s="5" t="n"/>
      <c r="H47" s="5" t="n"/>
      <c r="I47" s="6" t="n"/>
      <c r="J47" s="3" t="n"/>
      <c r="K47" s="13" t="n"/>
    </row>
    <row r="48" ht="18" customHeight="1" s="96">
      <c r="A48" s="93" t="n">
        <v>46</v>
      </c>
      <c r="B48" s="8" t="n"/>
      <c r="C48" s="8" t="n"/>
      <c r="D48" s="8" t="n"/>
      <c r="E48" s="8" t="n"/>
      <c r="F48" s="9" t="n"/>
      <c r="G48" s="10" t="n"/>
      <c r="H48" s="10" t="n"/>
      <c r="I48" s="11" t="n"/>
      <c r="J48" s="8" t="n"/>
      <c r="K48" s="12" t="n"/>
    </row>
    <row r="49" ht="18" customHeight="1" s="96">
      <c r="A49" s="2" t="n">
        <v>47</v>
      </c>
      <c r="B49" s="3" t="n"/>
      <c r="C49" s="3" t="n"/>
      <c r="D49" s="3" t="n"/>
      <c r="E49" s="3" t="n"/>
      <c r="F49" s="4" t="n"/>
      <c r="G49" s="5" t="n"/>
      <c r="H49" s="5" t="n"/>
      <c r="I49" s="6" t="n"/>
      <c r="J49" s="3" t="n"/>
      <c r="K49" s="13" t="n"/>
    </row>
    <row r="50" ht="18" customHeight="1" s="96">
      <c r="A50" s="93" t="n">
        <v>48</v>
      </c>
      <c r="B50" s="8" t="n"/>
      <c r="C50" s="8" t="n"/>
      <c r="D50" s="8" t="n"/>
      <c r="E50" s="8" t="n"/>
      <c r="F50" s="9" t="n"/>
      <c r="G50" s="10" t="n"/>
      <c r="H50" s="10" t="n"/>
      <c r="I50" s="11" t="n"/>
      <c r="J50" s="8" t="n"/>
      <c r="K50" s="12" t="n"/>
    </row>
    <row r="51" ht="18" customHeight="1" s="96">
      <c r="A51" s="2" t="n">
        <v>49</v>
      </c>
      <c r="B51" s="3" t="n"/>
      <c r="C51" s="3" t="n"/>
      <c r="D51" s="3" t="n"/>
      <c r="E51" s="3" t="n"/>
      <c r="F51" s="4" t="n"/>
      <c r="G51" s="5" t="n"/>
      <c r="H51" s="5" t="n"/>
      <c r="I51" s="6" t="n"/>
      <c r="J51" s="3" t="n"/>
      <c r="K51" s="13" t="n"/>
    </row>
    <row r="52" ht="18" customHeight="1" s="96">
      <c r="A52" s="93" t="n">
        <v>50</v>
      </c>
      <c r="B52" s="8" t="n"/>
      <c r="C52" s="8" t="n"/>
      <c r="D52" s="8" t="n"/>
      <c r="E52" s="8" t="n"/>
      <c r="F52" s="9" t="n"/>
      <c r="G52" s="10" t="n"/>
      <c r="H52" s="10" t="n"/>
      <c r="I52" s="11" t="n"/>
      <c r="J52" s="8" t="n"/>
      <c r="K52" s="12" t="n"/>
    </row>
    <row r="53" ht="18" customHeight="1" s="96">
      <c r="A53" s="2" t="n">
        <v>51</v>
      </c>
      <c r="B53" s="3" t="n"/>
      <c r="C53" s="3" t="n"/>
      <c r="D53" s="3" t="n"/>
      <c r="E53" s="3" t="n"/>
      <c r="F53" s="4" t="n"/>
      <c r="G53" s="5" t="n"/>
      <c r="H53" s="5" t="n"/>
      <c r="I53" s="6" t="n"/>
      <c r="J53" s="3" t="n"/>
      <c r="K53" s="13" t="n"/>
    </row>
    <row r="54" ht="18" customHeight="1" s="96">
      <c r="A54" s="93" t="n">
        <v>52</v>
      </c>
      <c r="B54" s="8" t="n"/>
      <c r="C54" s="8" t="n"/>
      <c r="D54" s="8" t="n"/>
      <c r="E54" s="8" t="n"/>
      <c r="F54" s="9" t="n"/>
      <c r="G54" s="10" t="n"/>
      <c r="H54" s="10" t="n"/>
      <c r="I54" s="11" t="n"/>
      <c r="J54" s="8" t="n"/>
      <c r="K54" s="12" t="n"/>
    </row>
    <row r="55" ht="18" customHeight="1" s="96">
      <c r="A55" s="2" t="n">
        <v>53</v>
      </c>
      <c r="B55" s="3" t="n"/>
      <c r="C55" s="3" t="n"/>
      <c r="D55" s="3" t="n"/>
      <c r="E55" s="3" t="n"/>
      <c r="F55" s="4" t="n"/>
      <c r="G55" s="5" t="n"/>
      <c r="H55" s="5" t="n"/>
      <c r="I55" s="6" t="n"/>
      <c r="J55" s="3" t="n"/>
      <c r="K55" s="13" t="n"/>
    </row>
    <row r="56" ht="18" customHeight="1" s="96">
      <c r="A56" s="93" t="n">
        <v>54</v>
      </c>
      <c r="B56" s="8" t="n"/>
      <c r="C56" s="8" t="n"/>
      <c r="D56" s="8" t="n"/>
      <c r="E56" s="8" t="n"/>
      <c r="F56" s="9" t="n"/>
      <c r="G56" s="10" t="n"/>
      <c r="H56" s="10" t="n"/>
      <c r="I56" s="11" t="n"/>
      <c r="J56" s="8" t="n"/>
      <c r="K56" s="12" t="n"/>
    </row>
    <row r="57" ht="18" customHeight="1" s="96">
      <c r="A57" s="2" t="n">
        <v>55</v>
      </c>
      <c r="B57" s="3" t="n"/>
      <c r="C57" s="3" t="n"/>
      <c r="D57" s="3" t="n"/>
      <c r="E57" s="3" t="n"/>
      <c r="F57" s="4" t="n"/>
      <c r="G57" s="5" t="n"/>
      <c r="H57" s="5" t="n"/>
      <c r="I57" s="6" t="n"/>
      <c r="J57" s="3" t="n"/>
      <c r="K57" s="13" t="n"/>
    </row>
    <row r="58" ht="18" customHeight="1" s="96">
      <c r="A58" s="93" t="n">
        <v>56</v>
      </c>
      <c r="B58" s="8" t="n"/>
      <c r="C58" s="8" t="n"/>
      <c r="D58" s="8" t="n"/>
      <c r="E58" s="8" t="n"/>
      <c r="F58" s="9" t="n"/>
      <c r="G58" s="10" t="n"/>
      <c r="H58" s="10" t="n"/>
      <c r="I58" s="11" t="n"/>
      <c r="J58" s="8" t="n"/>
      <c r="K58" s="12" t="n"/>
    </row>
    <row r="59" ht="18" customHeight="1" s="96">
      <c r="A59" s="2" t="n">
        <v>57</v>
      </c>
      <c r="B59" s="3" t="n"/>
      <c r="C59" s="3" t="n"/>
      <c r="D59" s="3" t="n"/>
      <c r="E59" s="3" t="n"/>
      <c r="F59" s="4" t="n"/>
      <c r="G59" s="5" t="n"/>
      <c r="H59" s="5" t="n"/>
      <c r="I59" s="6" t="n"/>
      <c r="J59" s="3" t="n"/>
      <c r="K59" s="13" t="n"/>
    </row>
    <row r="60" ht="18" customHeight="1" s="96">
      <c r="A60" s="93" t="n">
        <v>58</v>
      </c>
      <c r="B60" s="8" t="n"/>
      <c r="C60" s="8" t="n"/>
      <c r="D60" s="8" t="n"/>
      <c r="E60" s="8" t="n"/>
      <c r="F60" s="9" t="n"/>
      <c r="G60" s="10" t="n"/>
      <c r="H60" s="10" t="n"/>
      <c r="I60" s="11" t="n"/>
      <c r="J60" s="8" t="n"/>
      <c r="K60" s="12" t="n"/>
    </row>
    <row r="61" ht="18" customHeight="1" s="96">
      <c r="A61" s="2" t="n">
        <v>59</v>
      </c>
      <c r="B61" s="3" t="n"/>
      <c r="C61" s="3" t="n"/>
      <c r="D61" s="3" t="n"/>
      <c r="E61" s="3" t="n"/>
      <c r="F61" s="4" t="n"/>
      <c r="G61" s="5" t="n"/>
      <c r="H61" s="5" t="n"/>
      <c r="I61" s="6" t="n"/>
      <c r="J61" s="3" t="n"/>
      <c r="K61" s="13" t="n"/>
    </row>
    <row r="62" ht="18" customHeight="1" s="96">
      <c r="A62" s="93" t="n">
        <v>60</v>
      </c>
      <c r="B62" s="8" t="n"/>
      <c r="C62" s="8" t="n"/>
      <c r="D62" s="8" t="n"/>
      <c r="E62" s="8" t="n"/>
      <c r="F62" s="9" t="n"/>
      <c r="G62" s="10" t="n"/>
      <c r="H62" s="10" t="n"/>
      <c r="I62" s="11" t="n"/>
      <c r="J62" s="8" t="n"/>
      <c r="K62" s="12" t="n"/>
    </row>
    <row r="63" ht="18" customHeight="1" s="96">
      <c r="A63" s="2" t="n">
        <v>61</v>
      </c>
      <c r="B63" s="3" t="n"/>
      <c r="C63" s="3" t="n"/>
      <c r="D63" s="3" t="n"/>
      <c r="E63" s="3" t="n"/>
      <c r="F63" s="4" t="n"/>
      <c r="G63" s="5" t="n"/>
      <c r="H63" s="5" t="n"/>
      <c r="I63" s="6" t="n"/>
      <c r="J63" s="3" t="n"/>
      <c r="K63" s="13" t="n"/>
    </row>
    <row r="64" ht="18" customHeight="1" s="96">
      <c r="A64" s="93" t="n">
        <v>62</v>
      </c>
      <c r="B64" s="8" t="n"/>
      <c r="C64" s="8" t="n"/>
      <c r="D64" s="8" t="n"/>
      <c r="E64" s="8" t="n"/>
      <c r="F64" s="9" t="n"/>
      <c r="G64" s="10" t="n"/>
      <c r="H64" s="10" t="n"/>
      <c r="I64" s="11" t="n"/>
      <c r="J64" s="8" t="n"/>
      <c r="K64" s="12" t="n"/>
    </row>
    <row r="65" ht="18" customHeight="1" s="96">
      <c r="A65" s="2" t="n">
        <v>63</v>
      </c>
      <c r="B65" s="3" t="n"/>
      <c r="C65" s="3" t="n"/>
      <c r="D65" s="3" t="n"/>
      <c r="E65" s="3" t="n"/>
      <c r="F65" s="4" t="n"/>
      <c r="G65" s="5" t="n"/>
      <c r="H65" s="5" t="n"/>
      <c r="I65" s="6" t="n"/>
      <c r="J65" s="3" t="n"/>
      <c r="K65" s="13" t="n"/>
    </row>
    <row r="66" ht="18" customHeight="1" s="96">
      <c r="A66" s="93" t="n">
        <v>64</v>
      </c>
      <c r="B66" s="8" t="n"/>
      <c r="C66" s="8" t="n"/>
      <c r="D66" s="8" t="n"/>
      <c r="E66" s="8" t="n"/>
      <c r="F66" s="9" t="n"/>
      <c r="G66" s="10" t="n"/>
      <c r="H66" s="10" t="n"/>
      <c r="I66" s="11" t="n"/>
      <c r="J66" s="8" t="n"/>
      <c r="K66" s="12" t="n"/>
    </row>
    <row r="67" ht="18" customHeight="1" s="96">
      <c r="A67" s="2" t="n">
        <v>65</v>
      </c>
      <c r="B67" s="3" t="n"/>
      <c r="C67" s="3" t="n"/>
      <c r="D67" s="3" t="n"/>
      <c r="E67" s="3" t="n"/>
      <c r="F67" s="4" t="n"/>
      <c r="G67" s="5" t="n"/>
      <c r="H67" s="5" t="n"/>
      <c r="I67" s="6" t="n"/>
      <c r="J67" s="3" t="n"/>
      <c r="K67" s="13" t="n"/>
    </row>
    <row r="68" ht="18" customHeight="1" s="96">
      <c r="A68" s="93" t="n">
        <v>66</v>
      </c>
      <c r="B68" s="8" t="n"/>
      <c r="C68" s="8" t="n"/>
      <c r="D68" s="8" t="n"/>
      <c r="E68" s="8" t="n"/>
      <c r="F68" s="9" t="n"/>
      <c r="G68" s="10" t="n"/>
      <c r="H68" s="10" t="n"/>
      <c r="I68" s="11" t="n"/>
      <c r="J68" s="8" t="n"/>
      <c r="K68" s="12" t="n"/>
    </row>
    <row r="69" ht="18" customHeight="1" s="96">
      <c r="A69" s="2" t="n">
        <v>67</v>
      </c>
      <c r="B69" s="3" t="n"/>
      <c r="C69" s="3" t="n"/>
      <c r="D69" s="3" t="n"/>
      <c r="E69" s="3" t="n"/>
      <c r="F69" s="4" t="n"/>
      <c r="G69" s="5" t="n"/>
      <c r="H69" s="5" t="n"/>
      <c r="I69" s="6" t="n"/>
      <c r="J69" s="3" t="n"/>
      <c r="K69" s="13" t="n"/>
    </row>
    <row r="70" ht="18" customHeight="1" s="96">
      <c r="A70" s="93" t="n">
        <v>68</v>
      </c>
      <c r="B70" s="8" t="n"/>
      <c r="C70" s="8" t="n"/>
      <c r="D70" s="8" t="n"/>
      <c r="E70" s="8" t="n"/>
      <c r="F70" s="9" t="n"/>
      <c r="G70" s="10" t="n"/>
      <c r="H70" s="10" t="n"/>
      <c r="I70" s="11" t="n"/>
      <c r="J70" s="8" t="n"/>
      <c r="K70" s="12" t="n"/>
    </row>
    <row r="71" ht="18" customHeight="1" s="96">
      <c r="A71" s="2" t="n">
        <v>69</v>
      </c>
      <c r="B71" s="3" t="n"/>
      <c r="C71" s="3" t="n"/>
      <c r="D71" s="3" t="n"/>
      <c r="E71" s="3" t="n"/>
      <c r="F71" s="4" t="n"/>
      <c r="G71" s="5" t="n"/>
      <c r="H71" s="5" t="n"/>
      <c r="I71" s="6" t="n"/>
      <c r="J71" s="3" t="n"/>
      <c r="K71" s="13" t="n"/>
    </row>
    <row r="72" ht="18" customHeight="1" s="96">
      <c r="A72" s="93" t="n">
        <v>70</v>
      </c>
      <c r="B72" s="8" t="n"/>
      <c r="C72" s="8" t="n"/>
      <c r="D72" s="8" t="n"/>
      <c r="E72" s="8" t="n"/>
      <c r="F72" s="9" t="n"/>
      <c r="G72" s="10" t="n"/>
      <c r="H72" s="10" t="n"/>
      <c r="I72" s="11" t="n"/>
      <c r="J72" s="8" t="n"/>
      <c r="K72" s="12" t="n"/>
    </row>
    <row r="73" ht="18" customHeight="1" s="96">
      <c r="A73" s="2" t="n">
        <v>71</v>
      </c>
      <c r="B73" s="3" t="n"/>
      <c r="C73" s="3" t="n"/>
      <c r="D73" s="3" t="n"/>
      <c r="E73" s="3" t="n"/>
      <c r="F73" s="4" t="n"/>
      <c r="G73" s="5" t="n"/>
      <c r="H73" s="5" t="n"/>
      <c r="I73" s="6" t="n"/>
      <c r="J73" s="3" t="n"/>
      <c r="K73" s="13" t="n"/>
    </row>
    <row r="74" ht="18" customHeight="1" s="96">
      <c r="A74" s="93" t="n">
        <v>72</v>
      </c>
      <c r="B74" s="8" t="n"/>
      <c r="C74" s="8" t="n"/>
      <c r="D74" s="8" t="n"/>
      <c r="E74" s="8" t="n"/>
      <c r="F74" s="9" t="n"/>
      <c r="G74" s="10" t="n"/>
      <c r="H74" s="10" t="n"/>
      <c r="I74" s="11" t="n"/>
      <c r="J74" s="8" t="n"/>
      <c r="K74" s="12" t="n"/>
    </row>
    <row r="75" ht="18" customHeight="1" s="96">
      <c r="A75" s="2" t="n">
        <v>73</v>
      </c>
      <c r="B75" s="3" t="n"/>
      <c r="C75" s="3" t="n"/>
      <c r="D75" s="3" t="n"/>
      <c r="E75" s="3" t="n"/>
      <c r="F75" s="4" t="n"/>
      <c r="G75" s="5" t="n"/>
      <c r="H75" s="5" t="n"/>
      <c r="I75" s="6" t="n"/>
      <c r="J75" s="3" t="n"/>
      <c r="K75" s="13" t="n"/>
    </row>
    <row r="76" ht="18" customHeight="1" s="96">
      <c r="A76" s="93" t="n">
        <v>74</v>
      </c>
      <c r="B76" s="8" t="n"/>
      <c r="C76" s="8" t="n"/>
      <c r="D76" s="8" t="n"/>
      <c r="E76" s="8" t="n"/>
      <c r="F76" s="9" t="n"/>
      <c r="G76" s="10" t="n"/>
      <c r="H76" s="10" t="n"/>
      <c r="I76" s="11" t="n"/>
      <c r="J76" s="8" t="n"/>
      <c r="K76" s="12" t="n"/>
    </row>
    <row r="77" ht="18" customHeight="1" s="96">
      <c r="A77" s="2" t="n">
        <v>75</v>
      </c>
      <c r="B77" s="3" t="n"/>
      <c r="C77" s="3" t="n"/>
      <c r="D77" s="3" t="n"/>
      <c r="E77" s="3" t="n"/>
      <c r="F77" s="4" t="n"/>
      <c r="G77" s="5" t="n"/>
      <c r="H77" s="5" t="n"/>
      <c r="I77" s="6" t="n"/>
      <c r="J77" s="3" t="n"/>
      <c r="K77" s="13" t="n"/>
    </row>
    <row r="78" ht="18" customHeight="1" s="96">
      <c r="A78" s="93" t="n">
        <v>76</v>
      </c>
      <c r="B78" s="8" t="n"/>
      <c r="C78" s="8" t="n"/>
      <c r="D78" s="8" t="n"/>
      <c r="E78" s="8" t="n"/>
      <c r="F78" s="9" t="n"/>
      <c r="G78" s="10" t="n"/>
      <c r="H78" s="10" t="n"/>
      <c r="I78" s="11" t="n"/>
      <c r="J78" s="8" t="n"/>
      <c r="K78" s="12" t="n"/>
    </row>
    <row r="79" ht="18" customHeight="1" s="96">
      <c r="A79" s="2" t="n">
        <v>77</v>
      </c>
      <c r="B79" s="3" t="n"/>
      <c r="C79" s="3" t="n"/>
      <c r="D79" s="3" t="n"/>
      <c r="E79" s="3" t="n"/>
      <c r="F79" s="4" t="n"/>
      <c r="G79" s="5" t="n"/>
      <c r="H79" s="5" t="n"/>
      <c r="I79" s="6" t="n"/>
      <c r="J79" s="3" t="n"/>
      <c r="K79" s="13" t="n"/>
    </row>
    <row r="80" ht="18" customHeight="1" s="96">
      <c r="A80" s="93" t="n">
        <v>78</v>
      </c>
      <c r="B80" s="8" t="n"/>
      <c r="C80" s="8" t="n"/>
      <c r="D80" s="8" t="n"/>
      <c r="E80" s="8" t="n"/>
      <c r="F80" s="9" t="n"/>
      <c r="G80" s="10" t="n"/>
      <c r="H80" s="10" t="n"/>
      <c r="I80" s="11" t="n"/>
      <c r="J80" s="8" t="n"/>
      <c r="K80" s="12" t="n"/>
    </row>
    <row r="81" ht="18" customHeight="1" s="96">
      <c r="A81" s="2" t="n">
        <v>79</v>
      </c>
      <c r="B81" s="3" t="n"/>
      <c r="C81" s="3" t="n"/>
      <c r="D81" s="3" t="n"/>
      <c r="E81" s="3" t="n"/>
      <c r="F81" s="4" t="n"/>
      <c r="G81" s="5" t="n"/>
      <c r="H81" s="5" t="n"/>
      <c r="I81" s="6" t="n"/>
      <c r="J81" s="3" t="n"/>
      <c r="K81" s="13" t="n"/>
    </row>
    <row r="82" ht="18" customHeight="1" s="96">
      <c r="A82" s="93" t="n">
        <v>80</v>
      </c>
      <c r="B82" s="8" t="n"/>
      <c r="C82" s="8" t="n"/>
      <c r="D82" s="8" t="n"/>
      <c r="E82" s="8" t="n"/>
      <c r="F82" s="9" t="n"/>
      <c r="G82" s="10" t="n"/>
      <c r="H82" s="10" t="n"/>
      <c r="I82" s="11" t="n"/>
      <c r="J82" s="8" t="n"/>
      <c r="K82" s="12" t="n"/>
    </row>
    <row r="83" ht="18" customHeight="1" s="96">
      <c r="A83" s="2" t="n">
        <v>81</v>
      </c>
      <c r="B83" s="3" t="n"/>
      <c r="C83" s="3" t="n"/>
      <c r="D83" s="3" t="n"/>
      <c r="E83" s="3" t="n"/>
      <c r="F83" s="4" t="n"/>
      <c r="G83" s="5" t="n"/>
      <c r="H83" s="5" t="n"/>
      <c r="I83" s="6" t="n"/>
      <c r="J83" s="3" t="n"/>
      <c r="K83" s="13" t="n"/>
    </row>
    <row r="84" ht="18" customHeight="1" s="96">
      <c r="A84" s="93" t="n">
        <v>82</v>
      </c>
      <c r="B84" s="8" t="n"/>
      <c r="C84" s="8" t="n"/>
      <c r="D84" s="8" t="n"/>
      <c r="E84" s="8" t="n"/>
      <c r="F84" s="9" t="n"/>
      <c r="G84" s="10" t="n"/>
      <c r="H84" s="10" t="n"/>
      <c r="I84" s="11" t="n"/>
      <c r="J84" s="8" t="n"/>
      <c r="K84" s="12" t="n"/>
    </row>
    <row r="85" ht="18" customHeight="1" s="96">
      <c r="A85" s="2" t="n">
        <v>83</v>
      </c>
      <c r="B85" s="3" t="n"/>
      <c r="C85" s="3" t="n"/>
      <c r="D85" s="3" t="n"/>
      <c r="E85" s="3" t="n"/>
      <c r="F85" s="4" t="n"/>
      <c r="G85" s="5" t="n"/>
      <c r="H85" s="5" t="n"/>
      <c r="I85" s="6" t="n"/>
      <c r="J85" s="3" t="n"/>
      <c r="K85" s="13" t="n"/>
    </row>
    <row r="86" ht="18" customHeight="1" s="96">
      <c r="A86" s="93" t="n">
        <v>84</v>
      </c>
      <c r="B86" s="8" t="n"/>
      <c r="C86" s="8" t="n"/>
      <c r="D86" s="8" t="n"/>
      <c r="E86" s="8" t="n"/>
      <c r="F86" s="9" t="n"/>
      <c r="G86" s="10" t="n"/>
      <c r="H86" s="10" t="n"/>
      <c r="I86" s="11" t="n"/>
      <c r="J86" s="8" t="n"/>
      <c r="K86" s="12" t="n"/>
    </row>
    <row r="87" ht="18" customHeight="1" s="96">
      <c r="A87" s="2" t="n">
        <v>85</v>
      </c>
      <c r="B87" s="3" t="n"/>
      <c r="C87" s="3" t="n"/>
      <c r="D87" s="3" t="n"/>
      <c r="E87" s="3" t="n"/>
      <c r="F87" s="4" t="n"/>
      <c r="G87" s="5" t="n"/>
      <c r="H87" s="5" t="n"/>
      <c r="I87" s="6" t="n"/>
      <c r="J87" s="3" t="n"/>
      <c r="K87" s="13" t="n"/>
    </row>
    <row r="88" ht="18" customHeight="1" s="96">
      <c r="A88" s="93" t="n">
        <v>86</v>
      </c>
      <c r="B88" s="8" t="n"/>
      <c r="C88" s="8" t="n"/>
      <c r="D88" s="8" t="n"/>
      <c r="E88" s="8" t="n"/>
      <c r="F88" s="9" t="n"/>
      <c r="G88" s="10" t="n"/>
      <c r="H88" s="10" t="n"/>
      <c r="I88" s="11" t="n"/>
      <c r="J88" s="8" t="n"/>
      <c r="K88" s="12" t="n"/>
    </row>
    <row r="89" ht="18" customHeight="1" s="96">
      <c r="A89" s="2" t="n">
        <v>87</v>
      </c>
      <c r="B89" s="3" t="n"/>
      <c r="C89" s="3" t="n"/>
      <c r="D89" s="3" t="n"/>
      <c r="E89" s="3" t="n"/>
      <c r="F89" s="4" t="n"/>
      <c r="G89" s="5" t="n"/>
      <c r="H89" s="5" t="n"/>
      <c r="I89" s="6" t="n"/>
      <c r="J89" s="3" t="n"/>
      <c r="K89" s="13" t="n"/>
    </row>
    <row r="90" ht="18" customHeight="1" s="96">
      <c r="A90" s="93" t="n">
        <v>88</v>
      </c>
      <c r="B90" s="8" t="n"/>
      <c r="C90" s="8" t="n"/>
      <c r="D90" s="8" t="n"/>
      <c r="E90" s="8" t="n"/>
      <c r="F90" s="9" t="n"/>
      <c r="G90" s="10" t="n"/>
      <c r="H90" s="10" t="n"/>
      <c r="I90" s="11" t="n"/>
      <c r="J90" s="8" t="n"/>
      <c r="K90" s="12" t="n"/>
    </row>
    <row r="91" ht="18" customHeight="1" s="96">
      <c r="A91" s="2" t="n">
        <v>89</v>
      </c>
      <c r="B91" s="3" t="n"/>
      <c r="C91" s="3" t="n"/>
      <c r="D91" s="3" t="n"/>
      <c r="E91" s="3" t="n"/>
      <c r="F91" s="4" t="n"/>
      <c r="G91" s="5" t="n"/>
      <c r="H91" s="5" t="n"/>
      <c r="I91" s="6" t="n"/>
      <c r="J91" s="3" t="n"/>
      <c r="K91" s="13" t="n"/>
    </row>
    <row r="92" ht="18" customHeight="1" s="96">
      <c r="A92" s="93" t="n">
        <v>90</v>
      </c>
      <c r="B92" s="8" t="n"/>
      <c r="C92" s="8" t="n"/>
      <c r="D92" s="8" t="n"/>
      <c r="E92" s="8" t="n"/>
      <c r="F92" s="9" t="n"/>
      <c r="G92" s="10" t="n"/>
      <c r="H92" s="10" t="n"/>
      <c r="I92" s="11" t="n"/>
      <c r="J92" s="8" t="n"/>
      <c r="K92" s="12" t="n"/>
    </row>
    <row r="93" ht="18" customHeight="1" s="96">
      <c r="A93" s="2" t="n">
        <v>91</v>
      </c>
      <c r="B93" s="3" t="n"/>
      <c r="C93" s="3" t="n"/>
      <c r="D93" s="3" t="n"/>
      <c r="E93" s="3" t="n"/>
      <c r="F93" s="4" t="n"/>
      <c r="G93" s="5" t="n"/>
      <c r="H93" s="5" t="n"/>
      <c r="I93" s="6" t="n"/>
      <c r="J93" s="3" t="n"/>
      <c r="K93" s="13" t="n"/>
    </row>
    <row r="94" ht="18" customHeight="1" s="96">
      <c r="A94" s="93" t="n">
        <v>92</v>
      </c>
      <c r="B94" s="8" t="n"/>
      <c r="C94" s="8" t="n"/>
      <c r="D94" s="8" t="n"/>
      <c r="E94" s="8" t="n"/>
      <c r="F94" s="9" t="n"/>
      <c r="G94" s="10" t="n"/>
      <c r="H94" s="10" t="n"/>
      <c r="I94" s="11" t="n"/>
      <c r="J94" s="8" t="n"/>
      <c r="K94" s="12" t="n"/>
    </row>
    <row r="95" ht="18" customHeight="1" s="96">
      <c r="A95" s="2" t="n">
        <v>93</v>
      </c>
      <c r="B95" s="3" t="n"/>
      <c r="C95" s="3" t="n"/>
      <c r="D95" s="3" t="n"/>
      <c r="E95" s="3" t="n"/>
      <c r="F95" s="4" t="n"/>
      <c r="G95" s="5" t="n"/>
      <c r="H95" s="5" t="n"/>
      <c r="I95" s="6" t="n"/>
      <c r="J95" s="3" t="n"/>
      <c r="K95" s="13" t="n"/>
    </row>
    <row r="96" ht="18" customHeight="1" s="96">
      <c r="A96" s="93" t="n">
        <v>94</v>
      </c>
      <c r="B96" s="8" t="n"/>
      <c r="C96" s="8" t="n"/>
      <c r="D96" s="8" t="n"/>
      <c r="E96" s="8" t="n"/>
      <c r="F96" s="9" t="n"/>
      <c r="G96" s="10" t="n"/>
      <c r="H96" s="10" t="n"/>
      <c r="I96" s="11" t="n"/>
      <c r="J96" s="8" t="n"/>
      <c r="K96" s="12" t="n"/>
    </row>
    <row r="97" ht="18" customHeight="1" s="96">
      <c r="A97" s="2" t="n">
        <v>95</v>
      </c>
      <c r="B97" s="3" t="n"/>
      <c r="C97" s="3" t="n"/>
      <c r="D97" s="3" t="n"/>
      <c r="E97" s="3" t="n"/>
      <c r="F97" s="4" t="n"/>
      <c r="G97" s="5" t="n"/>
      <c r="H97" s="5" t="n"/>
      <c r="I97" s="6" t="n"/>
      <c r="J97" s="3" t="n"/>
      <c r="K97" s="13" t="n"/>
    </row>
    <row r="98" ht="18" customHeight="1" s="96">
      <c r="A98" s="93" t="n">
        <v>96</v>
      </c>
      <c r="B98" s="8" t="n"/>
      <c r="C98" s="8" t="n"/>
      <c r="D98" s="8" t="n"/>
      <c r="E98" s="8" t="n"/>
      <c r="F98" s="9" t="n"/>
      <c r="G98" s="10" t="n"/>
      <c r="H98" s="10" t="n"/>
      <c r="I98" s="11" t="n"/>
      <c r="J98" s="8" t="n"/>
      <c r="K98" s="12" t="n"/>
    </row>
    <row r="99" ht="18" customHeight="1" s="96">
      <c r="A99" s="2" t="n">
        <v>97</v>
      </c>
      <c r="B99" s="3" t="n"/>
      <c r="C99" s="3" t="n"/>
      <c r="D99" s="3" t="n"/>
      <c r="E99" s="3" t="n"/>
      <c r="F99" s="4" t="n"/>
      <c r="G99" s="5" t="n"/>
      <c r="H99" s="5" t="n"/>
      <c r="I99" s="6" t="n"/>
      <c r="J99" s="3" t="n"/>
      <c r="K99" s="13" t="n"/>
    </row>
    <row r="100" ht="18" customHeight="1" s="96">
      <c r="A100" s="93" t="n">
        <v>98</v>
      </c>
      <c r="B100" s="8" t="n"/>
      <c r="C100" s="8" t="n"/>
      <c r="D100" s="8" t="n"/>
      <c r="E100" s="8" t="n"/>
      <c r="F100" s="9" t="n"/>
      <c r="G100" s="10" t="n"/>
      <c r="H100" s="10" t="n"/>
      <c r="I100" s="11" t="n"/>
      <c r="J100" s="8" t="n"/>
      <c r="K100" s="12" t="n"/>
    </row>
    <row r="101" ht="18" customHeight="1" s="96">
      <c r="A101" s="2" t="n">
        <v>99</v>
      </c>
      <c r="B101" s="3" t="n"/>
      <c r="C101" s="3" t="n"/>
      <c r="D101" s="3" t="n"/>
      <c r="E101" s="3" t="n"/>
      <c r="F101" s="4" t="n"/>
      <c r="G101" s="5" t="n"/>
      <c r="H101" s="5" t="n"/>
      <c r="I101" s="6" t="n"/>
      <c r="J101" s="3" t="n"/>
      <c r="K101" s="13" t="n"/>
    </row>
    <row r="102" ht="18" customHeight="1" s="96">
      <c r="A102" s="93" t="n">
        <v>100</v>
      </c>
      <c r="B102" s="8" t="n"/>
      <c r="C102" s="8" t="n"/>
      <c r="D102" s="8" t="n"/>
      <c r="E102" s="8" t="n"/>
      <c r="F102" s="9" t="n"/>
      <c r="G102" s="10" t="n"/>
      <c r="H102" s="10" t="n"/>
      <c r="I102" s="11" t="n"/>
      <c r="J102" s="8" t="n"/>
      <c r="K102" s="12" t="n"/>
    </row>
    <row r="103" ht="18" customHeight="1" s="96">
      <c r="A103" s="2" t="n">
        <v>101</v>
      </c>
      <c r="B103" s="3" t="n"/>
      <c r="C103" s="3" t="n"/>
      <c r="D103" s="3" t="n"/>
      <c r="E103" s="3" t="n"/>
      <c r="F103" s="4" t="n"/>
      <c r="G103" s="5" t="n"/>
      <c r="H103" s="5" t="n"/>
      <c r="I103" s="6" t="n"/>
      <c r="J103" s="3" t="n"/>
      <c r="K103" s="13" t="n"/>
    </row>
    <row r="104" ht="18" customHeight="1" s="96">
      <c r="A104" s="93" t="n">
        <v>102</v>
      </c>
      <c r="B104" s="8" t="n"/>
      <c r="C104" s="8" t="n"/>
      <c r="D104" s="8" t="n"/>
      <c r="E104" s="8" t="n"/>
      <c r="F104" s="9" t="n"/>
      <c r="G104" s="10" t="n"/>
      <c r="H104" s="10" t="n"/>
      <c r="I104" s="11" t="n"/>
      <c r="J104" s="8" t="n"/>
      <c r="K104" s="12" t="n"/>
    </row>
    <row r="105" ht="18" customHeight="1" s="96">
      <c r="A105" s="2" t="n">
        <v>103</v>
      </c>
      <c r="B105" s="3" t="n"/>
      <c r="C105" s="3" t="n"/>
      <c r="D105" s="3" t="n"/>
      <c r="E105" s="3" t="n"/>
      <c r="F105" s="4" t="n"/>
      <c r="G105" s="5" t="n"/>
      <c r="H105" s="5" t="n"/>
      <c r="I105" s="6" t="n"/>
      <c r="J105" s="3" t="n"/>
      <c r="K105" s="13" t="n"/>
    </row>
    <row r="106" ht="18" customHeight="1" s="96">
      <c r="A106" s="93" t="n">
        <v>104</v>
      </c>
      <c r="B106" s="8" t="n"/>
      <c r="C106" s="8" t="n"/>
      <c r="D106" s="8" t="n"/>
      <c r="E106" s="8" t="n"/>
      <c r="F106" s="9" t="n"/>
      <c r="G106" s="10" t="n"/>
      <c r="H106" s="10" t="n"/>
      <c r="I106" s="11" t="n"/>
      <c r="J106" s="8" t="n"/>
      <c r="K106" s="12" t="n"/>
    </row>
    <row r="107" ht="18" customHeight="1" s="96">
      <c r="A107" s="2" t="n">
        <v>105</v>
      </c>
      <c r="B107" s="3" t="n"/>
      <c r="C107" s="3" t="n"/>
      <c r="D107" s="3" t="n"/>
      <c r="E107" s="3" t="n"/>
      <c r="F107" s="4" t="n"/>
      <c r="G107" s="5" t="n"/>
      <c r="H107" s="5" t="n"/>
      <c r="I107" s="6" t="n"/>
      <c r="J107" s="3" t="n"/>
      <c r="K107" s="13" t="n"/>
    </row>
    <row r="108" ht="18" customHeight="1" s="96">
      <c r="A108" s="93" t="n">
        <v>106</v>
      </c>
      <c r="B108" s="8" t="n"/>
      <c r="C108" s="8" t="n"/>
      <c r="D108" s="8" t="n"/>
      <c r="E108" s="8" t="n"/>
      <c r="F108" s="9" t="n"/>
      <c r="G108" s="10" t="n"/>
      <c r="H108" s="10" t="n"/>
      <c r="I108" s="11" t="n"/>
      <c r="J108" s="8" t="n"/>
      <c r="K108" s="12" t="n"/>
    </row>
    <row r="109" ht="18" customHeight="1" s="96">
      <c r="A109" s="2" t="n">
        <v>107</v>
      </c>
      <c r="B109" s="3" t="n"/>
      <c r="C109" s="3" t="n"/>
      <c r="D109" s="3" t="n"/>
      <c r="E109" s="3" t="n"/>
      <c r="F109" s="4" t="n"/>
      <c r="G109" s="5" t="n"/>
      <c r="H109" s="5" t="n"/>
      <c r="I109" s="6" t="n"/>
      <c r="J109" s="3" t="n"/>
      <c r="K109" s="13" t="n"/>
    </row>
    <row r="110" ht="18" customHeight="1" s="96">
      <c r="A110" s="93" t="n">
        <v>108</v>
      </c>
      <c r="B110" s="8" t="n"/>
      <c r="C110" s="8" t="n"/>
      <c r="D110" s="8" t="n"/>
      <c r="E110" s="8" t="n"/>
      <c r="F110" s="9" t="n"/>
      <c r="G110" s="10" t="n"/>
      <c r="H110" s="10" t="n"/>
      <c r="I110" s="11" t="n"/>
      <c r="J110" s="8" t="n"/>
      <c r="K110" s="12" t="n"/>
    </row>
    <row r="111" ht="18" customHeight="1" s="96">
      <c r="A111" s="2" t="n">
        <v>109</v>
      </c>
      <c r="B111" s="3" t="n"/>
      <c r="C111" s="3" t="n"/>
      <c r="D111" s="3" t="n"/>
      <c r="E111" s="3" t="n"/>
      <c r="F111" s="4" t="n"/>
      <c r="G111" s="5" t="n"/>
      <c r="H111" s="5" t="n"/>
      <c r="I111" s="6" t="n"/>
      <c r="J111" s="3" t="n"/>
      <c r="K111" s="13" t="n"/>
    </row>
    <row r="112" ht="18" customHeight="1" s="96">
      <c r="A112" s="93" t="n">
        <v>110</v>
      </c>
      <c r="B112" s="8" t="n"/>
      <c r="C112" s="8" t="n"/>
      <c r="D112" s="8" t="n"/>
      <c r="E112" s="8" t="n"/>
      <c r="F112" s="9" t="n"/>
      <c r="G112" s="10" t="n"/>
      <c r="H112" s="10" t="n"/>
      <c r="I112" s="11" t="n"/>
      <c r="J112" s="8" t="n"/>
      <c r="K112" s="12" t="n"/>
    </row>
    <row r="113" ht="18" customHeight="1" s="96">
      <c r="A113" s="2" t="n">
        <v>111</v>
      </c>
      <c r="B113" s="3" t="n"/>
      <c r="C113" s="3" t="n"/>
      <c r="D113" s="3" t="n"/>
      <c r="E113" s="3" t="n"/>
      <c r="F113" s="4" t="n"/>
      <c r="G113" s="5" t="n"/>
      <c r="H113" s="5" t="n"/>
      <c r="I113" s="6" t="n"/>
      <c r="J113" s="3" t="n"/>
      <c r="K113" s="13" t="n"/>
    </row>
    <row r="114" ht="18" customHeight="1" s="96">
      <c r="A114" s="93" t="n">
        <v>112</v>
      </c>
      <c r="B114" s="8" t="n"/>
      <c r="C114" s="8" t="n"/>
      <c r="D114" s="8" t="n"/>
      <c r="E114" s="8" t="n"/>
      <c r="F114" s="9" t="n"/>
      <c r="G114" s="10" t="n"/>
      <c r="H114" s="10" t="n"/>
      <c r="I114" s="11" t="n"/>
      <c r="J114" s="8" t="n"/>
      <c r="K114" s="12" t="n"/>
    </row>
    <row r="115" ht="18" customHeight="1" s="96">
      <c r="A115" s="2" t="n">
        <v>113</v>
      </c>
      <c r="B115" s="3" t="n"/>
      <c r="C115" s="3" t="n"/>
      <c r="D115" s="3" t="n"/>
      <c r="E115" s="3" t="n"/>
      <c r="F115" s="4" t="n"/>
      <c r="G115" s="5" t="n"/>
      <c r="H115" s="5" t="n"/>
      <c r="I115" s="6" t="n"/>
      <c r="J115" s="3" t="n"/>
      <c r="K115" s="13" t="n"/>
    </row>
    <row r="116" ht="18" customHeight="1" s="96">
      <c r="A116" s="93" t="n">
        <v>114</v>
      </c>
      <c r="B116" s="8" t="n"/>
      <c r="C116" s="8" t="n"/>
      <c r="D116" s="8" t="n"/>
      <c r="E116" s="8" t="n"/>
      <c r="F116" s="9" t="n"/>
      <c r="G116" s="10" t="n"/>
      <c r="H116" s="10" t="n"/>
      <c r="I116" s="11" t="n"/>
      <c r="J116" s="8" t="n"/>
      <c r="K116" s="12" t="n"/>
    </row>
    <row r="117" ht="18" customHeight="1" s="96">
      <c r="A117" s="2" t="n">
        <v>115</v>
      </c>
      <c r="B117" s="3" t="n"/>
      <c r="C117" s="3" t="n"/>
      <c r="D117" s="3" t="n"/>
      <c r="E117" s="3" t="n"/>
      <c r="F117" s="4" t="n"/>
      <c r="G117" s="5" t="n"/>
      <c r="H117" s="5" t="n"/>
      <c r="I117" s="6" t="n"/>
      <c r="J117" s="3" t="n"/>
      <c r="K117" s="13" t="n"/>
    </row>
    <row r="118" ht="18" customHeight="1" s="96">
      <c r="A118" s="93" t="n">
        <v>116</v>
      </c>
      <c r="B118" s="8" t="n"/>
      <c r="C118" s="8" t="n"/>
      <c r="D118" s="8" t="n"/>
      <c r="E118" s="8" t="n"/>
      <c r="F118" s="9" t="n"/>
      <c r="G118" s="10" t="n"/>
      <c r="H118" s="10" t="n"/>
      <c r="I118" s="11" t="n"/>
      <c r="J118" s="8" t="n"/>
      <c r="K118" s="12" t="n"/>
    </row>
    <row r="119" ht="18" customHeight="1" s="96">
      <c r="A119" s="2" t="n">
        <v>117</v>
      </c>
      <c r="B119" s="3" t="n"/>
      <c r="C119" s="3" t="n"/>
      <c r="D119" s="3" t="n"/>
      <c r="E119" s="3" t="n"/>
      <c r="F119" s="4" t="n"/>
      <c r="G119" s="5" t="n"/>
      <c r="H119" s="5" t="n"/>
      <c r="I119" s="6" t="n"/>
      <c r="J119" s="3" t="n"/>
      <c r="K119" s="13" t="n"/>
    </row>
    <row r="120" ht="18" customHeight="1" s="96">
      <c r="A120" s="93" t="n">
        <v>118</v>
      </c>
      <c r="B120" s="8" t="n"/>
      <c r="C120" s="8" t="n"/>
      <c r="D120" s="8" t="n"/>
      <c r="E120" s="8" t="n"/>
      <c r="F120" s="9" t="n"/>
      <c r="G120" s="10" t="n"/>
      <c r="H120" s="10" t="n"/>
      <c r="I120" s="11" t="n"/>
      <c r="J120" s="8" t="n"/>
      <c r="K120" s="12" t="n"/>
    </row>
    <row r="121" ht="18" customHeight="1" s="96">
      <c r="A121" s="2" t="n">
        <v>119</v>
      </c>
      <c r="B121" s="3" t="n"/>
      <c r="C121" s="3" t="n"/>
      <c r="D121" s="3" t="n"/>
      <c r="E121" s="3" t="n"/>
      <c r="F121" s="4" t="n"/>
      <c r="G121" s="5" t="n"/>
      <c r="H121" s="5" t="n"/>
      <c r="I121" s="6" t="n"/>
      <c r="J121" s="3" t="n"/>
      <c r="K121" s="13" t="n"/>
    </row>
    <row r="122" ht="18" customHeight="1" s="96">
      <c r="A122" s="93" t="n">
        <v>120</v>
      </c>
      <c r="B122" s="8" t="n"/>
      <c r="C122" s="8" t="n"/>
      <c r="D122" s="8" t="n"/>
      <c r="E122" s="8" t="n"/>
      <c r="F122" s="9" t="n"/>
      <c r="G122" s="10" t="n"/>
      <c r="H122" s="10" t="n"/>
      <c r="I122" s="11" t="n"/>
      <c r="J122" s="8" t="n"/>
      <c r="K122" s="12" t="n"/>
    </row>
    <row r="123" ht="18" customHeight="1" s="96">
      <c r="A123" s="2" t="n">
        <v>121</v>
      </c>
      <c r="B123" s="3" t="n"/>
      <c r="C123" s="3" t="n"/>
      <c r="D123" s="3" t="n"/>
      <c r="E123" s="3" t="n"/>
      <c r="F123" s="4" t="n"/>
      <c r="G123" s="5" t="n"/>
      <c r="H123" s="5" t="n"/>
      <c r="I123" s="6" t="n"/>
      <c r="J123" s="3" t="n"/>
      <c r="K123" s="13" t="n"/>
    </row>
    <row r="124" ht="18" customHeight="1" s="96">
      <c r="A124" s="93" t="n">
        <v>122</v>
      </c>
      <c r="B124" s="8" t="n"/>
      <c r="C124" s="8" t="n"/>
      <c r="D124" s="8" t="n"/>
      <c r="E124" s="8" t="n"/>
      <c r="F124" s="9" t="n"/>
      <c r="G124" s="10" t="n"/>
      <c r="H124" s="10" t="n"/>
      <c r="I124" s="11" t="n"/>
      <c r="J124" s="8" t="n"/>
      <c r="K124" s="12" t="n"/>
    </row>
    <row r="125" ht="18" customHeight="1" s="96">
      <c r="A125" s="2" t="n">
        <v>123</v>
      </c>
      <c r="B125" s="3" t="n"/>
      <c r="C125" s="3" t="n"/>
      <c r="D125" s="3" t="n"/>
      <c r="E125" s="3" t="n"/>
      <c r="F125" s="4" t="n"/>
      <c r="G125" s="5" t="n"/>
      <c r="H125" s="5" t="n"/>
      <c r="I125" s="6" t="n"/>
      <c r="J125" s="3" t="n"/>
      <c r="K125" s="13" t="n"/>
    </row>
    <row r="126" ht="18" customHeight="1" s="96">
      <c r="A126" s="93" t="n">
        <v>124</v>
      </c>
      <c r="B126" s="8" t="n"/>
      <c r="C126" s="8" t="n"/>
      <c r="D126" s="8" t="n"/>
      <c r="E126" s="8" t="n"/>
      <c r="F126" s="9" t="n"/>
      <c r="G126" s="10" t="n"/>
      <c r="H126" s="10" t="n"/>
      <c r="I126" s="11" t="n"/>
      <c r="J126" s="8" t="n"/>
      <c r="K126" s="12" t="n"/>
    </row>
    <row r="127" ht="18" customHeight="1" s="96">
      <c r="A127" s="2" t="n">
        <v>125</v>
      </c>
      <c r="B127" s="3" t="n"/>
      <c r="C127" s="3" t="n"/>
      <c r="D127" s="3" t="n"/>
      <c r="E127" s="3" t="n"/>
      <c r="F127" s="4" t="n"/>
      <c r="G127" s="5" t="n"/>
      <c r="H127" s="5" t="n"/>
      <c r="I127" s="6" t="n"/>
      <c r="J127" s="3" t="n"/>
      <c r="K127" s="13" t="n"/>
    </row>
    <row r="128" ht="18" customHeight="1" s="96">
      <c r="A128" s="93" t="n">
        <v>126</v>
      </c>
      <c r="B128" s="8" t="n"/>
      <c r="C128" s="8" t="n"/>
      <c r="D128" s="8" t="n"/>
      <c r="E128" s="8" t="n"/>
      <c r="F128" s="9" t="n"/>
      <c r="G128" s="10" t="n"/>
      <c r="H128" s="10" t="n"/>
      <c r="I128" s="11" t="n"/>
      <c r="J128" s="8" t="n"/>
      <c r="K128" s="12" t="n"/>
    </row>
    <row r="129" ht="18" customHeight="1" s="96">
      <c r="A129" s="2" t="n">
        <v>127</v>
      </c>
      <c r="B129" s="3" t="n"/>
      <c r="C129" s="3" t="n"/>
      <c r="D129" s="3" t="n"/>
      <c r="E129" s="3" t="n"/>
      <c r="F129" s="4" t="n"/>
      <c r="G129" s="5" t="n"/>
      <c r="H129" s="5" t="n"/>
      <c r="I129" s="6" t="n"/>
      <c r="J129" s="3" t="n"/>
      <c r="K129" s="13" t="n"/>
    </row>
    <row r="130" ht="18" customHeight="1" s="96">
      <c r="A130" s="93" t="n">
        <v>128</v>
      </c>
      <c r="B130" s="8" t="n"/>
      <c r="C130" s="8" t="n"/>
      <c r="D130" s="8" t="n"/>
      <c r="E130" s="8" t="n"/>
      <c r="F130" s="9" t="n"/>
      <c r="G130" s="10" t="n"/>
      <c r="H130" s="10" t="n"/>
      <c r="I130" s="11" t="n"/>
      <c r="J130" s="8" t="n"/>
      <c r="K130" s="12" t="n"/>
    </row>
    <row r="131" ht="18" customHeight="1" s="96">
      <c r="A131" s="2" t="n">
        <v>129</v>
      </c>
      <c r="B131" s="3" t="n"/>
      <c r="C131" s="3" t="n"/>
      <c r="D131" s="3" t="n"/>
      <c r="E131" s="3" t="n"/>
      <c r="F131" s="4" t="n"/>
      <c r="G131" s="5" t="n"/>
      <c r="H131" s="5" t="n"/>
      <c r="I131" s="6" t="n"/>
      <c r="J131" s="3" t="n"/>
      <c r="K131" s="13" t="n"/>
    </row>
    <row r="132" ht="18" customHeight="1" s="96">
      <c r="A132" s="93" t="n">
        <v>130</v>
      </c>
      <c r="B132" s="8" t="n"/>
      <c r="C132" s="8" t="n"/>
      <c r="D132" s="8" t="n"/>
      <c r="E132" s="8" t="n"/>
      <c r="F132" s="9" t="n"/>
      <c r="G132" s="10" t="n"/>
      <c r="H132" s="10" t="n"/>
      <c r="I132" s="11" t="n"/>
      <c r="J132" s="8" t="n"/>
      <c r="K132" s="12" t="n"/>
    </row>
    <row r="133" ht="18" customHeight="1" s="96">
      <c r="A133" s="2" t="n">
        <v>131</v>
      </c>
      <c r="B133" s="3" t="n"/>
      <c r="C133" s="3" t="n"/>
      <c r="D133" s="3" t="n"/>
      <c r="E133" s="3" t="n"/>
      <c r="F133" s="4" t="n"/>
      <c r="G133" s="5" t="n"/>
      <c r="H133" s="5" t="n"/>
      <c r="I133" s="6" t="n"/>
      <c r="J133" s="3" t="n"/>
      <c r="K133" s="13" t="n"/>
    </row>
    <row r="134" ht="18" customHeight="1" s="96">
      <c r="A134" s="93" t="n">
        <v>132</v>
      </c>
      <c r="B134" s="8" t="n"/>
      <c r="C134" s="8" t="n"/>
      <c r="D134" s="8" t="n"/>
      <c r="E134" s="8" t="n"/>
      <c r="F134" s="9" t="n"/>
      <c r="G134" s="10" t="n"/>
      <c r="H134" s="10" t="n"/>
      <c r="I134" s="11" t="n"/>
      <c r="J134" s="8" t="n"/>
      <c r="K134" s="12" t="n"/>
    </row>
    <row r="135" ht="18" customHeight="1" s="96">
      <c r="A135" s="2" t="n">
        <v>133</v>
      </c>
      <c r="B135" s="3" t="n"/>
      <c r="C135" s="3" t="n"/>
      <c r="D135" s="3" t="n"/>
      <c r="E135" s="3" t="n"/>
      <c r="F135" s="4" t="n"/>
      <c r="G135" s="5" t="n"/>
      <c r="H135" s="5" t="n"/>
      <c r="I135" s="6" t="n"/>
      <c r="J135" s="3" t="n"/>
      <c r="K135" s="13" t="n"/>
    </row>
    <row r="136" ht="18" customHeight="1" s="96">
      <c r="A136" s="93" t="n">
        <v>134</v>
      </c>
      <c r="B136" s="8" t="n"/>
      <c r="C136" s="8" t="n"/>
      <c r="D136" s="8" t="n"/>
      <c r="E136" s="8" t="n"/>
      <c r="F136" s="9" t="n"/>
      <c r="G136" s="10" t="n"/>
      <c r="H136" s="10" t="n"/>
      <c r="I136" s="11" t="n"/>
      <c r="J136" s="8" t="n"/>
      <c r="K136" s="12" t="n"/>
    </row>
    <row r="137" ht="18" customHeight="1" s="96">
      <c r="A137" s="2" t="n">
        <v>135</v>
      </c>
      <c r="B137" s="3" t="n"/>
      <c r="C137" s="3" t="n"/>
      <c r="D137" s="3" t="n"/>
      <c r="E137" s="3" t="n"/>
      <c r="F137" s="4" t="n"/>
      <c r="G137" s="5" t="n"/>
      <c r="H137" s="5" t="n"/>
      <c r="I137" s="6" t="n"/>
      <c r="J137" s="3" t="n"/>
      <c r="K137" s="13" t="n"/>
    </row>
    <row r="138" ht="18" customHeight="1" s="96">
      <c r="A138" s="93" t="n">
        <v>136</v>
      </c>
      <c r="B138" s="8" t="n"/>
      <c r="C138" s="8" t="n"/>
      <c r="D138" s="8" t="n"/>
      <c r="E138" s="8" t="n"/>
      <c r="F138" s="9" t="n"/>
      <c r="G138" s="10" t="n"/>
      <c r="H138" s="10" t="n"/>
      <c r="I138" s="11" t="n"/>
      <c r="J138" s="8" t="n"/>
      <c r="K138" s="12" t="n"/>
    </row>
    <row r="139" ht="18" customHeight="1" s="96">
      <c r="A139" s="2" t="n">
        <v>137</v>
      </c>
      <c r="B139" s="3" t="n"/>
      <c r="C139" s="3" t="n"/>
      <c r="D139" s="3" t="n"/>
      <c r="E139" s="3" t="n"/>
      <c r="F139" s="4" t="n"/>
      <c r="G139" s="5" t="n"/>
      <c r="H139" s="5" t="n"/>
      <c r="I139" s="6" t="n"/>
      <c r="J139" s="3" t="n"/>
      <c r="K139" s="13" t="n"/>
    </row>
    <row r="140" ht="18" customHeight="1" s="96">
      <c r="A140" s="93" t="n">
        <v>138</v>
      </c>
      <c r="B140" s="8" t="n"/>
      <c r="C140" s="8" t="n"/>
      <c r="D140" s="8" t="n"/>
      <c r="E140" s="8" t="n"/>
      <c r="F140" s="9" t="n"/>
      <c r="G140" s="10" t="n"/>
      <c r="H140" s="10" t="n"/>
      <c r="I140" s="11" t="n"/>
      <c r="J140" s="8" t="n"/>
      <c r="K140" s="12" t="n"/>
    </row>
    <row r="141" ht="18" customHeight="1" s="96">
      <c r="A141" s="2" t="n">
        <v>139</v>
      </c>
      <c r="B141" s="3" t="n"/>
      <c r="C141" s="3" t="n"/>
      <c r="D141" s="3" t="n"/>
      <c r="E141" s="3" t="n"/>
      <c r="F141" s="4" t="n"/>
      <c r="G141" s="5" t="n"/>
      <c r="H141" s="5" t="n"/>
      <c r="I141" s="6" t="n"/>
      <c r="J141" s="3" t="n"/>
      <c r="K141" s="13" t="n"/>
    </row>
    <row r="142" ht="18" customHeight="1" s="96">
      <c r="A142" s="93" t="n">
        <v>140</v>
      </c>
      <c r="B142" s="8" t="n"/>
      <c r="C142" s="8" t="n"/>
      <c r="D142" s="8" t="n"/>
      <c r="E142" s="8" t="n"/>
      <c r="F142" s="9" t="n"/>
      <c r="G142" s="10" t="n"/>
      <c r="H142" s="10" t="n"/>
      <c r="I142" s="11" t="n"/>
      <c r="J142" s="8" t="n"/>
      <c r="K142" s="12" t="n"/>
    </row>
    <row r="143" ht="18" customHeight="1" s="96">
      <c r="A143" s="2" t="n">
        <v>141</v>
      </c>
      <c r="B143" s="3" t="n"/>
      <c r="C143" s="3" t="n"/>
      <c r="D143" s="3" t="n"/>
      <c r="E143" s="3" t="n"/>
      <c r="F143" s="4" t="n"/>
      <c r="G143" s="5" t="n"/>
      <c r="H143" s="5" t="n"/>
      <c r="I143" s="6" t="n"/>
      <c r="J143" s="3" t="n"/>
      <c r="K143" s="13" t="n"/>
    </row>
    <row r="144" ht="18" customHeight="1" s="96">
      <c r="A144" s="93" t="n">
        <v>142</v>
      </c>
      <c r="B144" s="8" t="n"/>
      <c r="C144" s="8" t="n"/>
      <c r="D144" s="8" t="n"/>
      <c r="E144" s="8" t="n"/>
      <c r="F144" s="9" t="n"/>
      <c r="G144" s="10" t="n"/>
      <c r="H144" s="10" t="n"/>
      <c r="I144" s="11" t="n"/>
      <c r="J144" s="8" t="n"/>
      <c r="K144" s="12" t="n"/>
    </row>
    <row r="145" ht="18" customHeight="1" s="96">
      <c r="A145" s="2" t="n">
        <v>143</v>
      </c>
      <c r="B145" s="3" t="n"/>
      <c r="C145" s="3" t="n"/>
      <c r="D145" s="3" t="n"/>
      <c r="E145" s="3" t="n"/>
      <c r="F145" s="4" t="n"/>
      <c r="G145" s="5" t="n"/>
      <c r="H145" s="5" t="n"/>
      <c r="I145" s="6" t="n"/>
      <c r="J145" s="3" t="n"/>
      <c r="K145" s="13" t="n"/>
    </row>
    <row r="146" ht="18" customHeight="1" s="96">
      <c r="A146" s="93" t="n">
        <v>144</v>
      </c>
      <c r="B146" s="8" t="n"/>
      <c r="C146" s="8" t="n"/>
      <c r="D146" s="8" t="n"/>
      <c r="E146" s="8" t="n"/>
      <c r="F146" s="9" t="n"/>
      <c r="G146" s="10" t="n"/>
      <c r="H146" s="10" t="n"/>
      <c r="I146" s="11" t="n"/>
      <c r="J146" s="8" t="n"/>
      <c r="K146" s="12" t="n"/>
    </row>
    <row r="147" ht="18" customHeight="1" s="96">
      <c r="A147" s="2" t="n">
        <v>145</v>
      </c>
      <c r="B147" s="3" t="n"/>
      <c r="C147" s="3" t="n"/>
      <c r="D147" s="3" t="n"/>
      <c r="E147" s="3" t="n"/>
      <c r="F147" s="4" t="n"/>
      <c r="G147" s="5" t="n"/>
      <c r="H147" s="5" t="n"/>
      <c r="I147" s="6" t="n"/>
      <c r="J147" s="3" t="n"/>
      <c r="K147" s="13" t="n"/>
    </row>
    <row r="148" ht="18" customHeight="1" s="96">
      <c r="A148" s="93" t="n">
        <v>146</v>
      </c>
      <c r="B148" s="8" t="n"/>
      <c r="C148" s="8" t="n"/>
      <c r="D148" s="8" t="n"/>
      <c r="E148" s="8" t="n"/>
      <c r="F148" s="9" t="n"/>
      <c r="G148" s="10" t="n"/>
      <c r="H148" s="10" t="n"/>
      <c r="I148" s="11" t="n"/>
      <c r="J148" s="8" t="n"/>
      <c r="K148" s="12" t="n"/>
    </row>
    <row r="149" ht="18" customHeight="1" s="96">
      <c r="A149" s="2" t="n">
        <v>147</v>
      </c>
      <c r="B149" s="3" t="n"/>
      <c r="C149" s="3" t="n"/>
      <c r="D149" s="3" t="n"/>
      <c r="E149" s="3" t="n"/>
      <c r="F149" s="4" t="n"/>
      <c r="G149" s="5" t="n"/>
      <c r="H149" s="5" t="n"/>
      <c r="I149" s="6" t="n"/>
      <c r="J149" s="3" t="n"/>
      <c r="K149" s="13" t="n"/>
    </row>
    <row r="150" ht="18" customHeight="1" s="96">
      <c r="A150" s="93" t="n">
        <v>148</v>
      </c>
      <c r="B150" s="8" t="n"/>
      <c r="C150" s="8" t="n"/>
      <c r="D150" s="8" t="n"/>
      <c r="E150" s="8" t="n"/>
      <c r="F150" s="9" t="n"/>
      <c r="G150" s="10" t="n"/>
      <c r="H150" s="10" t="n"/>
      <c r="I150" s="11" t="n"/>
      <c r="J150" s="8" t="n"/>
      <c r="K150" s="12" t="n"/>
    </row>
    <row r="151" ht="18" customHeight="1" s="96">
      <c r="A151" s="2" t="n">
        <v>149</v>
      </c>
      <c r="B151" s="3" t="n"/>
      <c r="C151" s="3" t="n"/>
      <c r="D151" s="3" t="n"/>
      <c r="E151" s="3" t="n"/>
      <c r="F151" s="4" t="n"/>
      <c r="G151" s="5" t="n"/>
      <c r="H151" s="5" t="n"/>
      <c r="I151" s="6" t="n"/>
      <c r="J151" s="3" t="n"/>
      <c r="K151" s="13" t="n"/>
    </row>
    <row r="152" ht="18" customHeight="1" s="96">
      <c r="A152" s="93" t="n">
        <v>150</v>
      </c>
      <c r="B152" s="8" t="n"/>
      <c r="C152" s="8" t="n"/>
      <c r="D152" s="8" t="n"/>
      <c r="E152" s="8" t="n"/>
      <c r="F152" s="9" t="n"/>
      <c r="G152" s="10" t="n"/>
      <c r="H152" s="10" t="n"/>
      <c r="I152" s="11" t="n"/>
      <c r="J152" s="8" t="n"/>
      <c r="K152" s="12" t="n"/>
    </row>
    <row r="153" ht="18" customHeight="1" s="96">
      <c r="A153" s="2" t="n">
        <v>151</v>
      </c>
      <c r="B153" s="3" t="n"/>
      <c r="C153" s="3" t="n"/>
      <c r="D153" s="3" t="n"/>
      <c r="E153" s="3" t="n"/>
      <c r="F153" s="4" t="n"/>
      <c r="G153" s="5" t="n"/>
      <c r="H153" s="5" t="n"/>
      <c r="I153" s="6" t="n"/>
      <c r="J153" s="3" t="n"/>
      <c r="K153" s="13" t="n"/>
    </row>
    <row r="154" ht="18" customHeight="1" s="96">
      <c r="A154" s="93" t="n">
        <v>152</v>
      </c>
      <c r="B154" s="8" t="n"/>
      <c r="C154" s="8" t="n"/>
      <c r="D154" s="8" t="n"/>
      <c r="E154" s="8" t="n"/>
      <c r="F154" s="9" t="n"/>
      <c r="G154" s="10" t="n"/>
      <c r="H154" s="10" t="n"/>
      <c r="I154" s="11" t="n"/>
      <c r="J154" s="8" t="n"/>
      <c r="K154" s="12" t="n"/>
    </row>
    <row r="155" ht="18" customHeight="1" s="96">
      <c r="A155" s="2" t="n">
        <v>153</v>
      </c>
      <c r="B155" s="3" t="n"/>
      <c r="C155" s="3" t="n"/>
      <c r="D155" s="3" t="n"/>
      <c r="E155" s="3" t="n"/>
      <c r="F155" s="4" t="n"/>
      <c r="G155" s="5" t="n"/>
      <c r="H155" s="5" t="n"/>
      <c r="I155" s="6" t="n"/>
      <c r="J155" s="3" t="n"/>
      <c r="K155" s="13" t="n"/>
    </row>
    <row r="156" ht="18" customHeight="1" s="96">
      <c r="A156" s="93" t="n">
        <v>154</v>
      </c>
      <c r="B156" s="8" t="n"/>
      <c r="C156" s="8" t="n"/>
      <c r="D156" s="8" t="n"/>
      <c r="E156" s="8" t="n"/>
      <c r="F156" s="9" t="n"/>
      <c r="G156" s="10" t="n"/>
      <c r="H156" s="10" t="n"/>
      <c r="I156" s="11" t="n"/>
      <c r="J156" s="8" t="n"/>
      <c r="K156" s="12" t="n"/>
    </row>
    <row r="157" ht="18" customHeight="1" s="96">
      <c r="A157" s="2" t="n">
        <v>155</v>
      </c>
      <c r="B157" s="3" t="n"/>
      <c r="C157" s="3" t="n"/>
      <c r="D157" s="3" t="n"/>
      <c r="E157" s="3" t="n"/>
      <c r="F157" s="4" t="n"/>
      <c r="G157" s="5" t="n"/>
      <c r="H157" s="5" t="n"/>
      <c r="I157" s="6" t="n"/>
      <c r="J157" s="3" t="n"/>
      <c r="K157" s="13" t="n"/>
    </row>
    <row r="158" ht="18" customHeight="1" s="96">
      <c r="A158" s="93" t="n">
        <v>156</v>
      </c>
      <c r="B158" s="8" t="n"/>
      <c r="C158" s="8" t="n"/>
      <c r="D158" s="8" t="n"/>
      <c r="E158" s="8" t="n"/>
      <c r="F158" s="9" t="n"/>
      <c r="G158" s="10" t="n"/>
      <c r="H158" s="10" t="n"/>
      <c r="I158" s="11" t="n"/>
      <c r="J158" s="8" t="n"/>
      <c r="K158" s="12" t="n"/>
    </row>
    <row r="159" ht="18" customHeight="1" s="96">
      <c r="A159" s="2" t="n">
        <v>157</v>
      </c>
      <c r="B159" s="3" t="n"/>
      <c r="C159" s="3" t="n"/>
      <c r="D159" s="3" t="n"/>
      <c r="E159" s="3" t="n"/>
      <c r="F159" s="4" t="n"/>
      <c r="G159" s="5" t="n"/>
      <c r="H159" s="5" t="n"/>
      <c r="I159" s="6" t="n"/>
      <c r="J159" s="3" t="n"/>
      <c r="K159" s="13" t="n"/>
    </row>
    <row r="160" ht="18" customHeight="1" s="96">
      <c r="A160" s="93" t="n">
        <v>158</v>
      </c>
      <c r="B160" s="8" t="n"/>
      <c r="C160" s="8" t="n"/>
      <c r="D160" s="8" t="n"/>
      <c r="E160" s="8" t="n"/>
      <c r="F160" s="9" t="n"/>
      <c r="G160" s="10" t="n"/>
      <c r="H160" s="10" t="n"/>
      <c r="I160" s="11" t="n"/>
      <c r="J160" s="8" t="n"/>
      <c r="K160" s="12" t="n"/>
    </row>
    <row r="161" ht="18" customHeight="1" s="96">
      <c r="A161" s="2" t="n">
        <v>159</v>
      </c>
      <c r="B161" s="3" t="n"/>
      <c r="C161" s="3" t="n"/>
      <c r="D161" s="3" t="n"/>
      <c r="E161" s="3" t="n"/>
      <c r="F161" s="4" t="n"/>
      <c r="G161" s="5" t="n"/>
      <c r="H161" s="5" t="n"/>
      <c r="I161" s="6" t="n"/>
      <c r="J161" s="3" t="n"/>
      <c r="K161" s="13" t="n"/>
    </row>
    <row r="162" ht="18" customHeight="1" s="96">
      <c r="A162" s="93" t="n">
        <v>160</v>
      </c>
      <c r="B162" s="8" t="n"/>
      <c r="C162" s="8" t="n"/>
      <c r="D162" s="8" t="n"/>
      <c r="E162" s="8" t="n"/>
      <c r="F162" s="9" t="n"/>
      <c r="G162" s="10" t="n"/>
      <c r="H162" s="10" t="n"/>
      <c r="I162" s="11" t="n"/>
      <c r="J162" s="8" t="n"/>
      <c r="K162" s="12" t="n"/>
    </row>
    <row r="163" ht="18" customHeight="1" s="96">
      <c r="A163" s="2" t="n">
        <v>161</v>
      </c>
      <c r="B163" s="3" t="n"/>
      <c r="C163" s="3" t="n"/>
      <c r="D163" s="3" t="n"/>
      <c r="E163" s="3" t="n"/>
      <c r="F163" s="4" t="n"/>
      <c r="G163" s="5" t="n"/>
      <c r="H163" s="5" t="n"/>
      <c r="I163" s="6" t="n"/>
      <c r="J163" s="3" t="n"/>
      <c r="K163" s="13" t="n"/>
    </row>
    <row r="164" ht="18" customHeight="1" s="96">
      <c r="A164" s="93" t="n">
        <v>162</v>
      </c>
      <c r="B164" s="8" t="n"/>
      <c r="C164" s="8" t="n"/>
      <c r="D164" s="8" t="n"/>
      <c r="E164" s="8" t="n"/>
      <c r="F164" s="9" t="n"/>
      <c r="G164" s="10" t="n"/>
      <c r="H164" s="10" t="n"/>
      <c r="I164" s="11" t="n"/>
      <c r="J164" s="8" t="n"/>
      <c r="K164" s="12" t="n"/>
    </row>
    <row r="165" ht="18" customHeight="1" s="96">
      <c r="A165" s="2" t="n">
        <v>163</v>
      </c>
      <c r="B165" s="3" t="n"/>
      <c r="C165" s="3" t="n"/>
      <c r="D165" s="3" t="n"/>
      <c r="E165" s="3" t="n"/>
      <c r="F165" s="4" t="n"/>
      <c r="G165" s="5" t="n"/>
      <c r="H165" s="5" t="n"/>
      <c r="I165" s="6" t="n"/>
      <c r="J165" s="3" t="n"/>
      <c r="K165" s="13" t="n"/>
    </row>
    <row r="166" ht="18" customHeight="1" s="96">
      <c r="A166" s="93" t="n">
        <v>164</v>
      </c>
      <c r="B166" s="8" t="n"/>
      <c r="C166" s="8" t="n"/>
      <c r="D166" s="8" t="n"/>
      <c r="E166" s="8" t="n"/>
      <c r="F166" s="9" t="n"/>
      <c r="G166" s="10" t="n"/>
      <c r="H166" s="10" t="n"/>
      <c r="I166" s="11" t="n"/>
      <c r="J166" s="8" t="n"/>
      <c r="K166" s="12" t="n"/>
    </row>
    <row r="167" ht="18" customHeight="1" s="96">
      <c r="A167" s="2" t="n">
        <v>165</v>
      </c>
      <c r="B167" s="3" t="n"/>
      <c r="C167" s="3" t="n"/>
      <c r="D167" s="3" t="n"/>
      <c r="E167" s="3" t="n"/>
      <c r="F167" s="4" t="n"/>
      <c r="G167" s="5" t="n"/>
      <c r="H167" s="5" t="n"/>
      <c r="I167" s="6" t="n"/>
      <c r="J167" s="3" t="n"/>
      <c r="K167" s="13" t="n"/>
    </row>
    <row r="168" ht="18" customHeight="1" s="96">
      <c r="A168" s="93" t="n">
        <v>166</v>
      </c>
      <c r="B168" s="8" t="n"/>
      <c r="C168" s="8" t="n"/>
      <c r="D168" s="8" t="n"/>
      <c r="E168" s="8" t="n"/>
      <c r="F168" s="9" t="n"/>
      <c r="G168" s="10" t="n"/>
      <c r="H168" s="10" t="n"/>
      <c r="I168" s="11" t="n"/>
      <c r="J168" s="8" t="n"/>
      <c r="K168" s="12" t="n"/>
    </row>
    <row r="169" ht="18" customHeight="1" s="96">
      <c r="A169" s="2" t="n">
        <v>167</v>
      </c>
      <c r="B169" s="3" t="n"/>
      <c r="C169" s="3" t="n"/>
      <c r="D169" s="3" t="n"/>
      <c r="E169" s="3" t="n"/>
      <c r="F169" s="4" t="n"/>
      <c r="G169" s="5" t="n"/>
      <c r="H169" s="5" t="n"/>
      <c r="I169" s="6" t="n"/>
      <c r="J169" s="3" t="n"/>
      <c r="K169" s="13" t="n"/>
    </row>
    <row r="170" ht="18" customHeight="1" s="96">
      <c r="A170" s="93" t="n">
        <v>168</v>
      </c>
      <c r="B170" s="8" t="n"/>
      <c r="C170" s="8" t="n"/>
      <c r="D170" s="8" t="n"/>
      <c r="E170" s="8" t="n"/>
      <c r="F170" s="9" t="n"/>
      <c r="G170" s="10" t="n"/>
      <c r="H170" s="10" t="n"/>
      <c r="I170" s="11" t="n"/>
      <c r="J170" s="8" t="n"/>
      <c r="K170" s="12" t="n"/>
    </row>
    <row r="171" ht="18" customHeight="1" s="96">
      <c r="A171" s="2" t="n">
        <v>169</v>
      </c>
      <c r="B171" s="3" t="n"/>
      <c r="C171" s="3" t="n"/>
      <c r="D171" s="3" t="n"/>
      <c r="E171" s="3" t="n"/>
      <c r="F171" s="4" t="n"/>
      <c r="G171" s="5" t="n"/>
      <c r="H171" s="5" t="n"/>
      <c r="I171" s="6" t="n"/>
      <c r="J171" s="3" t="n"/>
      <c r="K171" s="13" t="n"/>
    </row>
    <row r="172" ht="18" customHeight="1" s="96">
      <c r="A172" s="93" t="n">
        <v>170</v>
      </c>
      <c r="B172" s="8" t="n"/>
      <c r="C172" s="8" t="n"/>
      <c r="D172" s="8" t="n"/>
      <c r="E172" s="8" t="n"/>
      <c r="F172" s="9" t="n"/>
      <c r="G172" s="10" t="n"/>
      <c r="H172" s="10" t="n"/>
      <c r="I172" s="11" t="n"/>
      <c r="J172" s="8" t="n"/>
      <c r="K172" s="12" t="n"/>
    </row>
    <row r="173" ht="18" customHeight="1" s="96">
      <c r="A173" s="2" t="n">
        <v>171</v>
      </c>
      <c r="B173" s="3" t="n"/>
      <c r="C173" s="3" t="n"/>
      <c r="D173" s="3" t="n"/>
      <c r="E173" s="3" t="n"/>
      <c r="F173" s="4" t="n"/>
      <c r="G173" s="5" t="n"/>
      <c r="H173" s="5" t="n"/>
      <c r="I173" s="6" t="n"/>
      <c r="J173" s="3" t="n"/>
      <c r="K173" s="13" t="n"/>
    </row>
    <row r="174" ht="18" customHeight="1" s="96">
      <c r="A174" s="93" t="n">
        <v>172</v>
      </c>
      <c r="B174" s="8" t="n"/>
      <c r="C174" s="8" t="n"/>
      <c r="D174" s="8" t="n"/>
      <c r="E174" s="8" t="n"/>
      <c r="F174" s="9" t="n"/>
      <c r="G174" s="10" t="n"/>
      <c r="H174" s="10" t="n"/>
      <c r="I174" s="11" t="n"/>
      <c r="J174" s="8" t="n"/>
      <c r="K174" s="12" t="n"/>
    </row>
    <row r="175" ht="18" customHeight="1" s="96">
      <c r="A175" s="2" t="n">
        <v>173</v>
      </c>
      <c r="B175" s="3" t="n"/>
      <c r="C175" s="3" t="n"/>
      <c r="D175" s="3" t="n"/>
      <c r="E175" s="3" t="n"/>
      <c r="F175" s="4" t="n"/>
      <c r="G175" s="5" t="n"/>
      <c r="H175" s="5" t="n"/>
      <c r="I175" s="6" t="n"/>
      <c r="J175" s="3" t="n"/>
      <c r="K175" s="13" t="n"/>
    </row>
    <row r="176" ht="18" customHeight="1" s="96">
      <c r="A176" s="93" t="n">
        <v>174</v>
      </c>
      <c r="B176" s="8" t="n"/>
      <c r="C176" s="8" t="n"/>
      <c r="D176" s="8" t="n"/>
      <c r="E176" s="8" t="n"/>
      <c r="F176" s="9" t="n"/>
      <c r="G176" s="10" t="n"/>
      <c r="H176" s="10" t="n"/>
      <c r="I176" s="11" t="n"/>
      <c r="J176" s="8" t="n"/>
      <c r="K176" s="12" t="n"/>
    </row>
    <row r="177" ht="18" customHeight="1" s="96">
      <c r="A177" s="2" t="n">
        <v>175</v>
      </c>
      <c r="B177" s="3" t="n"/>
      <c r="C177" s="3" t="n"/>
      <c r="D177" s="3" t="n"/>
      <c r="E177" s="3" t="n"/>
      <c r="F177" s="4" t="n"/>
      <c r="G177" s="5" t="n"/>
      <c r="H177" s="5" t="n"/>
      <c r="I177" s="6" t="n"/>
      <c r="J177" s="3" t="n"/>
      <c r="K177" s="13" t="n"/>
    </row>
    <row r="178" ht="18" customHeight="1" s="96">
      <c r="A178" s="93" t="n">
        <v>176</v>
      </c>
      <c r="B178" s="8" t="n"/>
      <c r="C178" s="8" t="n"/>
      <c r="D178" s="8" t="n"/>
      <c r="E178" s="8" t="n"/>
      <c r="F178" s="9" t="n"/>
      <c r="G178" s="10" t="n"/>
      <c r="H178" s="10" t="n"/>
      <c r="I178" s="11" t="n"/>
      <c r="J178" s="8" t="n"/>
      <c r="K178" s="12" t="n"/>
    </row>
    <row r="179" ht="18" customHeight="1" s="96">
      <c r="A179" s="2" t="n">
        <v>177</v>
      </c>
      <c r="B179" s="3" t="n"/>
      <c r="C179" s="3" t="n"/>
      <c r="D179" s="3" t="n"/>
      <c r="E179" s="3" t="n"/>
      <c r="F179" s="4" t="n"/>
      <c r="G179" s="5" t="n"/>
      <c r="H179" s="5" t="n"/>
      <c r="I179" s="6" t="n"/>
      <c r="J179" s="3" t="n"/>
      <c r="K179" s="13" t="n"/>
    </row>
    <row r="180" ht="18" customHeight="1" s="96">
      <c r="A180" s="93" t="n">
        <v>178</v>
      </c>
      <c r="B180" s="8" t="n"/>
      <c r="C180" s="8" t="n"/>
      <c r="D180" s="8" t="n"/>
      <c r="E180" s="8" t="n"/>
      <c r="F180" s="9" t="n"/>
      <c r="G180" s="10" t="n"/>
      <c r="H180" s="10" t="n"/>
      <c r="I180" s="11" t="n"/>
      <c r="J180" s="8" t="n"/>
      <c r="K180" s="12" t="n"/>
    </row>
    <row r="181" ht="18" customHeight="1" s="96">
      <c r="A181" s="2" t="n">
        <v>179</v>
      </c>
      <c r="B181" s="3" t="n"/>
      <c r="C181" s="3" t="n"/>
      <c r="D181" s="3" t="n"/>
      <c r="E181" s="3" t="n"/>
      <c r="F181" s="4" t="n"/>
      <c r="G181" s="5" t="n"/>
      <c r="H181" s="5" t="n"/>
      <c r="I181" s="6" t="n"/>
      <c r="J181" s="3" t="n"/>
      <c r="K181" s="13" t="n"/>
    </row>
    <row r="182" ht="18" customHeight="1" s="96">
      <c r="A182" s="93" t="n">
        <v>180</v>
      </c>
      <c r="B182" s="8" t="n"/>
      <c r="C182" s="8" t="n"/>
      <c r="D182" s="8" t="n"/>
      <c r="E182" s="8" t="n"/>
      <c r="F182" s="9" t="n"/>
      <c r="G182" s="10" t="n"/>
      <c r="H182" s="10" t="n"/>
      <c r="I182" s="11" t="n"/>
      <c r="J182" s="8" t="n"/>
      <c r="K182" s="12" t="n"/>
    </row>
    <row r="183" ht="18" customHeight="1" s="96">
      <c r="A183" s="2" t="n">
        <v>181</v>
      </c>
      <c r="B183" s="3" t="n"/>
      <c r="C183" s="3" t="n"/>
      <c r="D183" s="3" t="n"/>
      <c r="E183" s="3" t="n"/>
      <c r="F183" s="4" t="n"/>
      <c r="G183" s="5" t="n"/>
      <c r="H183" s="5" t="n"/>
      <c r="I183" s="6" t="n"/>
      <c r="J183" s="3" t="n"/>
      <c r="K183" s="13" t="n"/>
    </row>
    <row r="184" ht="18" customHeight="1" s="96">
      <c r="A184" s="93" t="n">
        <v>182</v>
      </c>
      <c r="B184" s="8" t="n"/>
      <c r="C184" s="8" t="n"/>
      <c r="D184" s="8" t="n"/>
      <c r="E184" s="8" t="n"/>
      <c r="F184" s="9" t="n"/>
      <c r="G184" s="10" t="n"/>
      <c r="H184" s="10" t="n"/>
      <c r="I184" s="11" t="n"/>
      <c r="J184" s="8" t="n"/>
      <c r="K184" s="12" t="n"/>
    </row>
    <row r="185" ht="18" customHeight="1" s="96">
      <c r="A185" s="2" t="n">
        <v>183</v>
      </c>
      <c r="B185" s="3" t="n"/>
      <c r="C185" s="3" t="n"/>
      <c r="D185" s="3" t="n"/>
      <c r="E185" s="3" t="n"/>
      <c r="F185" s="4" t="n"/>
      <c r="G185" s="5" t="n"/>
      <c r="H185" s="5" t="n"/>
      <c r="I185" s="6" t="n"/>
      <c r="J185" s="3" t="n"/>
      <c r="K185" s="13" t="n"/>
    </row>
    <row r="186" ht="18" customHeight="1" s="96">
      <c r="A186" s="93" t="n">
        <v>184</v>
      </c>
      <c r="B186" s="8" t="n"/>
      <c r="C186" s="8" t="n"/>
      <c r="D186" s="8" t="n"/>
      <c r="E186" s="8" t="n"/>
      <c r="F186" s="9" t="n"/>
      <c r="G186" s="10" t="n"/>
      <c r="H186" s="10" t="n"/>
      <c r="I186" s="11" t="n"/>
      <c r="J186" s="8" t="n"/>
      <c r="K186" s="12" t="n"/>
    </row>
    <row r="187" ht="18" customHeight="1" s="96">
      <c r="A187" s="2" t="n">
        <v>185</v>
      </c>
      <c r="B187" s="3" t="n"/>
      <c r="C187" s="3" t="n"/>
      <c r="D187" s="3" t="n"/>
      <c r="E187" s="3" t="n"/>
      <c r="F187" s="4" t="n"/>
      <c r="G187" s="5" t="n"/>
      <c r="H187" s="5" t="n"/>
      <c r="I187" s="6" t="n"/>
      <c r="J187" s="3" t="n"/>
      <c r="K187" s="13" t="n"/>
    </row>
    <row r="188" ht="18" customHeight="1" s="96">
      <c r="A188" s="93" t="n">
        <v>186</v>
      </c>
      <c r="B188" s="8" t="n"/>
      <c r="C188" s="8" t="n"/>
      <c r="D188" s="8" t="n"/>
      <c r="E188" s="8" t="n"/>
      <c r="F188" s="9" t="n"/>
      <c r="G188" s="10" t="n"/>
      <c r="H188" s="10" t="n"/>
      <c r="I188" s="11" t="n"/>
      <c r="J188" s="8" t="n"/>
      <c r="K188" s="12" t="n"/>
    </row>
    <row r="189" ht="18" customHeight="1" s="96">
      <c r="A189" s="2" t="n">
        <v>187</v>
      </c>
      <c r="B189" s="3" t="n"/>
      <c r="C189" s="3" t="n"/>
      <c r="D189" s="3" t="n"/>
      <c r="E189" s="3" t="n"/>
      <c r="F189" s="4" t="n"/>
      <c r="G189" s="5" t="n"/>
      <c r="H189" s="5" t="n"/>
      <c r="I189" s="6" t="n"/>
      <c r="J189" s="3" t="n"/>
      <c r="K189" s="13" t="n"/>
    </row>
    <row r="190" ht="18" customHeight="1" s="96">
      <c r="A190" s="93" t="n">
        <v>188</v>
      </c>
      <c r="B190" s="8" t="n"/>
      <c r="C190" s="8" t="n"/>
      <c r="D190" s="8" t="n"/>
      <c r="E190" s="8" t="n"/>
      <c r="F190" s="9" t="n"/>
      <c r="G190" s="10" t="n"/>
      <c r="H190" s="10" t="n"/>
      <c r="I190" s="11" t="n"/>
      <c r="J190" s="8" t="n"/>
      <c r="K190" s="12" t="n"/>
    </row>
    <row r="191" ht="18" customHeight="1" s="96">
      <c r="A191" s="2" t="n">
        <v>189</v>
      </c>
      <c r="B191" s="3" t="n"/>
      <c r="C191" s="3" t="n"/>
      <c r="D191" s="3" t="n"/>
      <c r="E191" s="3" t="n"/>
      <c r="F191" s="4" t="n"/>
      <c r="G191" s="5" t="n"/>
      <c r="H191" s="5" t="n"/>
      <c r="I191" s="6" t="n"/>
      <c r="J191" s="3" t="n"/>
      <c r="K191" s="13" t="n"/>
    </row>
    <row r="192" ht="18" customHeight="1" s="96">
      <c r="A192" s="93" t="n">
        <v>190</v>
      </c>
      <c r="B192" s="8" t="n"/>
      <c r="C192" s="8" t="n"/>
      <c r="D192" s="8" t="n"/>
      <c r="E192" s="8" t="n"/>
      <c r="F192" s="9" t="n"/>
      <c r="G192" s="10" t="n"/>
      <c r="H192" s="10" t="n"/>
      <c r="I192" s="11" t="n"/>
      <c r="J192" s="8" t="n"/>
      <c r="K192" s="12" t="n"/>
    </row>
    <row r="193" ht="18" customHeight="1" s="96">
      <c r="A193" s="2" t="n">
        <v>191</v>
      </c>
      <c r="B193" s="3" t="n"/>
      <c r="C193" s="3" t="n"/>
      <c r="D193" s="3" t="n"/>
      <c r="E193" s="3" t="n"/>
      <c r="F193" s="4" t="n"/>
      <c r="G193" s="5" t="n"/>
      <c r="H193" s="5" t="n"/>
      <c r="I193" s="6" t="n"/>
      <c r="J193" s="3" t="n"/>
      <c r="K193" s="13" t="n"/>
    </row>
    <row r="194" ht="18" customHeight="1" s="96">
      <c r="A194" s="93" t="n">
        <v>192</v>
      </c>
      <c r="B194" s="8" t="n"/>
      <c r="C194" s="8" t="n"/>
      <c r="D194" s="8" t="n"/>
      <c r="E194" s="8" t="n"/>
      <c r="F194" s="9" t="n"/>
      <c r="G194" s="10" t="n"/>
      <c r="H194" s="10" t="n"/>
      <c r="I194" s="11" t="n"/>
      <c r="J194" s="8" t="n"/>
      <c r="K194" s="12" t="n"/>
    </row>
    <row r="195" ht="18" customHeight="1" s="96">
      <c r="A195" s="2" t="n">
        <v>193</v>
      </c>
      <c r="B195" s="3" t="n"/>
      <c r="C195" s="3" t="n"/>
      <c r="D195" s="3" t="n"/>
      <c r="E195" s="3" t="n"/>
      <c r="F195" s="4" t="n"/>
      <c r="G195" s="5" t="n"/>
      <c r="H195" s="5" t="n"/>
      <c r="I195" s="6" t="n"/>
      <c r="J195" s="3" t="n"/>
      <c r="K195" s="13" t="n"/>
    </row>
    <row r="196" ht="18" customHeight="1" s="96">
      <c r="A196" s="93" t="n">
        <v>194</v>
      </c>
      <c r="B196" s="8" t="n"/>
      <c r="C196" s="8" t="n"/>
      <c r="D196" s="8" t="n"/>
      <c r="E196" s="8" t="n"/>
      <c r="F196" s="9" t="n"/>
      <c r="G196" s="10" t="n"/>
      <c r="H196" s="10" t="n"/>
      <c r="I196" s="11" t="n"/>
      <c r="J196" s="8" t="n"/>
      <c r="K196" s="12" t="n"/>
    </row>
    <row r="197" ht="18" customHeight="1" s="96">
      <c r="A197" s="2" t="n">
        <v>195</v>
      </c>
      <c r="B197" s="3" t="n"/>
      <c r="C197" s="3" t="n"/>
      <c r="D197" s="3" t="n"/>
      <c r="E197" s="3" t="n"/>
      <c r="F197" s="4" t="n"/>
      <c r="G197" s="5" t="n"/>
      <c r="H197" s="5" t="n"/>
      <c r="I197" s="6" t="n"/>
      <c r="J197" s="3" t="n"/>
      <c r="K197" s="13" t="n"/>
    </row>
    <row r="198" ht="18" customHeight="1" s="96">
      <c r="A198" s="93" t="n">
        <v>196</v>
      </c>
      <c r="B198" s="8" t="n"/>
      <c r="C198" s="8" t="n"/>
      <c r="D198" s="8" t="n"/>
      <c r="E198" s="8" t="n"/>
      <c r="F198" s="9" t="n"/>
      <c r="G198" s="10" t="n"/>
      <c r="H198" s="10" t="n"/>
      <c r="I198" s="11" t="n"/>
      <c r="J198" s="8" t="n"/>
      <c r="K198" s="12" t="n"/>
    </row>
    <row r="199" ht="18" customHeight="1" s="96">
      <c r="A199" s="2" t="n">
        <v>197</v>
      </c>
      <c r="B199" s="3" t="n"/>
      <c r="C199" s="3" t="n"/>
      <c r="D199" s="3" t="n"/>
      <c r="E199" s="3" t="n"/>
      <c r="F199" s="4" t="n"/>
      <c r="G199" s="5" t="n"/>
      <c r="H199" s="5" t="n"/>
      <c r="I199" s="6" t="n"/>
      <c r="J199" s="3" t="n"/>
      <c r="K199" s="13" t="n"/>
    </row>
    <row r="200" ht="18" customHeight="1" s="96">
      <c r="A200" s="93" t="n">
        <v>198</v>
      </c>
      <c r="B200" s="8" t="n"/>
      <c r="C200" s="8" t="n"/>
      <c r="D200" s="8" t="n"/>
      <c r="E200" s="8" t="n"/>
      <c r="F200" s="9" t="n"/>
      <c r="G200" s="10" t="n"/>
      <c r="H200" s="10" t="n"/>
      <c r="I200" s="11" t="n"/>
      <c r="J200" s="8" t="n"/>
      <c r="K200" s="12" t="n"/>
    </row>
    <row r="201" ht="18" customHeight="1" s="96">
      <c r="A201" s="2" t="n">
        <v>199</v>
      </c>
      <c r="B201" s="3" t="n"/>
      <c r="C201" s="3" t="n"/>
      <c r="D201" s="3" t="n"/>
      <c r="E201" s="3" t="n"/>
      <c r="F201" s="4" t="n"/>
      <c r="G201" s="5" t="n"/>
      <c r="H201" s="5" t="n"/>
      <c r="I201" s="6" t="n"/>
      <c r="J201" s="3" t="n"/>
      <c r="K201" s="13" t="n"/>
    </row>
    <row r="202" ht="18" customHeight="1" s="96">
      <c r="A202" s="93" t="n">
        <v>200</v>
      </c>
      <c r="B202" s="8" t="n"/>
      <c r="C202" s="8" t="n"/>
      <c r="D202" s="8" t="n"/>
      <c r="E202" s="8" t="n"/>
      <c r="F202" s="9" t="n"/>
      <c r="G202" s="10" t="n"/>
      <c r="H202" s="10" t="n"/>
      <c r="I202" s="11" t="n"/>
      <c r="J202" s="8" t="n"/>
      <c r="K202" s="12" t="n"/>
    </row>
    <row r="203" ht="24" customHeight="1" s="96">
      <c r="A203" s="14" t="inlineStr">
        <is>
          <t>TOTALS</t>
        </is>
      </c>
      <c r="B203" s="15" t="inlineStr">
        <is>
          <t># DEALS:</t>
        </is>
      </c>
      <c r="C203" s="16">
        <f>COUNTA(C3:C202)</f>
        <v/>
      </c>
      <c r="D203" s="17" t="n"/>
      <c r="E203" s="17" t="n"/>
      <c r="F203" s="18">
        <f>SUM(F3:F202)</f>
        <v/>
      </c>
      <c r="G203" s="19">
        <f>SUM(G3:G202)</f>
        <v/>
      </c>
      <c r="H203" s="19">
        <f>SUM(H3:H202)</f>
        <v/>
      </c>
      <c r="I203" s="17" t="n"/>
      <c r="J203" s="17" t="n"/>
      <c r="K203" s="17" t="n"/>
    </row>
  </sheetData>
  <mergeCells count="2">
    <mergeCell ref="A2:K2"/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02"/>
  <sheetViews>
    <sheetView showGridLines="0" zoomScaleNormal="100" workbookViewId="0">
      <pane ySplit="2" topLeftCell="A18" activePane="bottomLeft" state="frozen"/>
      <selection pane="bottomLeft" activeCell="O39" sqref="O39"/>
    </sheetView>
  </sheetViews>
  <sheetFormatPr baseColWidth="8" defaultColWidth="8.7421875" defaultRowHeight="15" customHeight="1"/>
  <cols>
    <col width="4.9765625" customWidth="1" style="96" min="1" max="1"/>
    <col width="18.0234375" customWidth="1" style="96" min="2" max="3"/>
    <col width="27.98046875" customWidth="1" style="96" min="4" max="4"/>
    <col width="22.05859375" customWidth="1" style="96" min="5" max="5"/>
    <col width="13.98828125" customWidth="1" style="96" min="6" max="6"/>
    <col width="20.04296875" customWidth="1" style="96" min="7" max="7"/>
    <col width="16.0078125" customWidth="1" style="96" min="8" max="9"/>
    <col width="13.98828125" customWidth="1" style="96" min="10" max="10"/>
    <col width="13.046875" customWidth="1" style="96" min="11" max="13"/>
    <col width="16.0078125" customWidth="1" style="96" min="14" max="14"/>
    <col width="34.97265625" customWidth="1" style="96" min="15" max="16"/>
    <col width="22.05859375" customWidth="1" style="96" min="18" max="18"/>
    <col width="11.97265625" customWidth="1" style="96" min="19" max="19"/>
    <col hidden="1" width="13" customWidth="1" style="96" min="20" max="20"/>
  </cols>
  <sheetData>
    <row r="1" ht="18" customHeight="1" s="96">
      <c r="A1" s="107" t="inlineStr">
        <is>
          <t>ℹ  Rows are unlimited. Add as many opportunities as needed. Totals row auto-updates.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6" t="n"/>
      <c r="L1" s="106" t="n"/>
      <c r="M1" s="106" t="n"/>
      <c r="N1" s="106" t="n"/>
      <c r="O1" s="106" t="n"/>
      <c r="P1" s="106" t="n"/>
      <c r="Q1" s="106" t="n"/>
      <c r="R1" s="55" t="inlineStr">
        <is>
          <t>Closed Lost</t>
        </is>
      </c>
      <c r="S1" s="56" t="n">
        <v>0</v>
      </c>
    </row>
    <row r="2" ht="36" customHeight="1" s="96">
      <c r="A2" s="57" t="n">
        <v>1</v>
      </c>
      <c r="B2" s="70" t="inlineStr">
        <is>
          <t>Industry Segment</t>
        </is>
      </c>
      <c r="C2" s="70" t="inlineStr">
        <is>
          <t>Coverage</t>
        </is>
      </c>
      <c r="D2" s="70" t="inlineStr">
        <is>
          <t>ACCOUNT NAME</t>
        </is>
      </c>
      <c r="E2" s="58" t="inlineStr">
        <is>
          <t>OPPORTUNITY TYPE</t>
        </is>
      </c>
      <c r="F2" s="59" t="inlineStr">
        <is>
          <t>AREA (IN SQM)</t>
        </is>
      </c>
      <c r="G2" s="60" t="inlineStr">
        <is>
          <t>OPPORTUNITY STAGE</t>
        </is>
      </c>
      <c r="H2" s="61" t="inlineStr">
        <is>
          <t>TCV (VAT EX)</t>
        </is>
      </c>
      <c r="I2" s="61" t="inlineStr">
        <is>
          <t>GP (VAT EX)</t>
        </is>
      </c>
      <c r="J2" s="62" t="inlineStr">
        <is>
          <t>CLOSING DATE</t>
        </is>
      </c>
      <c r="K2" s="63" t="inlineStr">
        <is>
          <t>PROBABILITY
(Auto)</t>
        </is>
      </c>
      <c r="L2" s="63" t="inlineStr">
        <is>
          <t>Project Start Date</t>
        </is>
      </c>
      <c r="M2" s="63" t="inlineStr">
        <is>
          <t>Project Completion</t>
        </is>
      </c>
      <c r="N2" s="62" t="inlineStr">
        <is>
          <t>BOM SUBMISSION</t>
        </is>
      </c>
      <c r="O2" s="58" t="inlineStr">
        <is>
          <t>REMARKS TO BE UPDATED BY SALES WEEKLY</t>
        </is>
      </c>
      <c r="P2" s="58" t="inlineStr">
        <is>
          <t>REMARKS TO BE UPDATED BY COMMERCIAL</t>
        </is>
      </c>
      <c r="Q2" s="106" t="n"/>
      <c r="R2" s="55" t="inlineStr">
        <is>
          <t>Opportunity Creation</t>
        </is>
      </c>
      <c r="S2" s="56" t="n">
        <v>0.1</v>
      </c>
      <c r="T2" s="192" t="inlineStr">
        <is>
          <t>Eligible TCV (helper)</t>
        </is>
      </c>
    </row>
    <row r="3" ht="18" customHeight="1" s="96">
      <c r="A3" s="64" t="n">
        <v>2</v>
      </c>
      <c r="B3" s="65" t="inlineStr">
        <is>
          <t>BPO Third Party</t>
        </is>
      </c>
      <c r="C3" s="65" t="inlineStr">
        <is>
          <t>Zarrah</t>
        </is>
      </c>
      <c r="D3" s="65" t="inlineStr">
        <is>
          <t>DHL Global Business Services</t>
        </is>
      </c>
      <c r="E3" s="65" t="inlineStr">
        <is>
          <t>Design &amp; Build-renovation works</t>
        </is>
      </c>
      <c r="F3" s="66" t="n">
        <v>1500</v>
      </c>
      <c r="G3" s="65" t="inlineStr">
        <is>
          <t>Resubmission</t>
        </is>
      </c>
      <c r="H3" s="74" t="n">
        <v>11211945.65</v>
      </c>
      <c r="I3" s="74" t="n">
        <v>2242389.13</v>
      </c>
      <c r="J3" s="67" t="n">
        <v>46173</v>
      </c>
      <c r="K3" s="68">
        <f>IFERROR(VLOOKUP(G3,Stage_Lookup!$A$2:$B$8,2,0),"")</f>
        <v/>
      </c>
      <c r="L3" s="69" t="n"/>
      <c r="M3" s="69" t="n"/>
      <c r="N3" s="67" t="n"/>
      <c r="O3" s="83" t="inlineStr">
        <is>
          <t>Resubmission of proposal-April 10,2026, based on the additional requirements and meetign with the client last March 31,2026</t>
        </is>
      </c>
      <c r="P3" s="65" t="n"/>
      <c r="Q3" s="106" t="n"/>
      <c r="R3" s="55" t="inlineStr">
        <is>
          <t>Scoping</t>
        </is>
      </c>
      <c r="S3" s="56" t="n">
        <v>0.3</v>
      </c>
      <c r="T3">
        <f>IF(OR(G3="Closed Lost",G3="",NOT(ISNUMBER(H3))),"",H3)</f>
        <v/>
      </c>
    </row>
    <row r="4" ht="18" customHeight="1" s="96">
      <c r="A4" s="57" t="n">
        <v>3</v>
      </c>
      <c r="B4" s="70" t="inlineStr">
        <is>
          <t>Captive Shared Services</t>
        </is>
      </c>
      <c r="C4" s="70" t="inlineStr">
        <is>
          <t>Zarrah</t>
        </is>
      </c>
      <c r="D4" s="70" t="inlineStr">
        <is>
          <t>JC Pinon Construction Inc</t>
        </is>
      </c>
      <c r="E4" s="70" t="inlineStr">
        <is>
          <t>D&amp;B and renovation project</t>
        </is>
      </c>
      <c r="F4" s="71" t="n"/>
      <c r="G4" s="70" t="inlineStr">
        <is>
          <t>BOM Submission</t>
        </is>
      </c>
      <c r="H4" s="75" t="n">
        <v>15071815.36</v>
      </c>
      <c r="I4" s="75" t="n">
        <v>3014363.072</v>
      </c>
      <c r="J4" s="72" t="n">
        <v>46172</v>
      </c>
      <c r="K4" s="73">
        <f>IFERROR(VLOOKUP(G4,Stage_Lookup!$A$2:$B$8,2,0),"")</f>
        <v/>
      </c>
      <c r="L4" s="69" t="n"/>
      <c r="M4" s="69" t="n"/>
      <c r="N4" s="72" t="n"/>
      <c r="O4" s="83" t="inlineStr">
        <is>
          <t xml:space="preserve"> Based on the last touchpoint with the client, March 26,2026 , proposal is still for evaluation </t>
        </is>
      </c>
      <c r="P4" s="70" t="n"/>
      <c r="Q4" s="106" t="n"/>
      <c r="R4" s="55" t="inlineStr">
        <is>
          <t>BOM Submission</t>
        </is>
      </c>
      <c r="S4" s="56" t="n">
        <v>0.5</v>
      </c>
      <c r="T4">
        <f>IF(OR(G4="Closed Lost",G4="",NOT(ISNUMBER(H4))),"",H4)</f>
        <v/>
      </c>
    </row>
    <row r="5" ht="18" customHeight="1" s="96">
      <c r="A5" s="64" t="n">
        <v>4</v>
      </c>
      <c r="B5" s="65" t="inlineStr">
        <is>
          <t>Captive Shared Services</t>
        </is>
      </c>
      <c r="C5" s="65" t="inlineStr">
        <is>
          <t>Zarrah</t>
        </is>
      </c>
      <c r="D5" s="65" t="inlineStr">
        <is>
          <t>Regus-Savya</t>
        </is>
      </c>
      <c r="E5" s="65" t="inlineStr">
        <is>
          <t>7F Savya Financial Center -VO#1</t>
        </is>
      </c>
      <c r="F5" s="66" t="n"/>
      <c r="G5" s="65" t="inlineStr">
        <is>
          <t>BOM Submission</t>
        </is>
      </c>
      <c r="H5" s="74" t="n">
        <v>5523182.76</v>
      </c>
      <c r="I5" s="74" t="n">
        <v>828477.414</v>
      </c>
      <c r="J5" s="67" t="n">
        <v>46172</v>
      </c>
      <c r="K5" s="68">
        <f>IFERROR(VLOOKUP(G5,Stage_Lookup!$A$2:$B$8,2,0),"")</f>
        <v/>
      </c>
      <c r="L5" s="69" t="n"/>
      <c r="M5" s="69" t="n"/>
      <c r="N5" s="67" t="n"/>
      <c r="O5" s="84" t="inlineStr">
        <is>
          <t xml:space="preserve"> Proposal for approval </t>
        </is>
      </c>
      <c r="P5" s="65" t="n"/>
      <c r="Q5" s="106" t="n"/>
      <c r="R5" s="55" t="inlineStr">
        <is>
          <t>Resubmission</t>
        </is>
      </c>
      <c r="S5" s="56" t="n">
        <v>0.7</v>
      </c>
      <c r="T5">
        <f>IF(OR(G5="Closed Lost",G5="",NOT(ISNUMBER(H5))),"",H5)</f>
        <v/>
      </c>
    </row>
    <row r="6" ht="18" customHeight="1" s="96">
      <c r="A6" s="57" t="n">
        <v>5</v>
      </c>
      <c r="B6" s="70" t="inlineStr">
        <is>
          <t>Captive Shared Services</t>
        </is>
      </c>
      <c r="C6" s="70" t="inlineStr">
        <is>
          <t>Zarrah</t>
        </is>
      </c>
      <c r="D6" s="70" t="inlineStr">
        <is>
          <t>Unilab</t>
        </is>
      </c>
      <c r="E6" s="70" t="inlineStr">
        <is>
          <t>FPDI Electrical upgrade and Structural works</t>
        </is>
      </c>
      <c r="F6" s="71" t="n"/>
      <c r="G6" s="70" t="inlineStr">
        <is>
          <t>Closed Lost</t>
        </is>
      </c>
      <c r="H6" s="75" t="n">
        <v>34000000</v>
      </c>
      <c r="I6" s="75" t="n">
        <v>3400000</v>
      </c>
      <c r="J6" s="72" t="n">
        <v>46142</v>
      </c>
      <c r="K6" s="73">
        <f>IFERROR(VLOOKUP(G6,Stage_Lookup!$A$2:$B$8,2,0),"")</f>
        <v/>
      </c>
      <c r="L6" s="69" t="n"/>
      <c r="M6" s="69" t="n"/>
      <c r="N6" s="72" t="n"/>
      <c r="O6" s="70" t="n"/>
      <c r="P6" s="70" t="n"/>
      <c r="Q6" s="106" t="n"/>
      <c r="R6" s="55" t="inlineStr">
        <is>
          <t>Negotiation</t>
        </is>
      </c>
      <c r="S6" s="56" t="n">
        <v>0.9</v>
      </c>
      <c r="T6">
        <f>IF(OR(G6="Closed Lost",G6="",NOT(ISNUMBER(H6))),"",H6)</f>
        <v/>
      </c>
    </row>
    <row r="7" ht="18" customHeight="1" s="96">
      <c r="A7" s="64" t="n">
        <v>6</v>
      </c>
      <c r="B7" s="65" t="inlineStr">
        <is>
          <t>Captive Shared Services</t>
        </is>
      </c>
      <c r="C7" s="65" t="inlineStr">
        <is>
          <t>Zarrah</t>
        </is>
      </c>
      <c r="D7" s="65" t="inlineStr">
        <is>
          <t>Unilab</t>
        </is>
      </c>
      <c r="E7" s="65" t="inlineStr">
        <is>
          <t>VO23 &amp; 24</t>
        </is>
      </c>
      <c r="F7" s="66" t="n"/>
      <c r="G7" s="65" t="inlineStr">
        <is>
          <t>Closed Won</t>
        </is>
      </c>
      <c r="H7" s="74" t="n">
        <v>16631367.67</v>
      </c>
      <c r="I7" s="74" t="n">
        <v>4197757.199907999</v>
      </c>
      <c r="J7" s="67" t="n">
        <v>46142</v>
      </c>
      <c r="K7" s="68">
        <f>IFERROR(VLOOKUP(G7,Stage_Lookup!$A$2:$B$8,2,0),"")</f>
        <v/>
      </c>
      <c r="L7" s="69" t="n"/>
      <c r="M7" s="69" t="n"/>
      <c r="N7" s="67" t="n"/>
      <c r="O7" s="85" t="inlineStr">
        <is>
          <t xml:space="preserve">waiting for PO </t>
        </is>
      </c>
      <c r="P7" s="65" t="n"/>
      <c r="Q7" s="106" t="n"/>
      <c r="R7" s="55" t="inlineStr">
        <is>
          <t>Closed Won</t>
        </is>
      </c>
      <c r="S7" s="56" t="n">
        <v>1</v>
      </c>
      <c r="T7">
        <f>IF(OR(G7="Closed Lost",G7="",NOT(ISNUMBER(H7))),"",H7)</f>
        <v/>
      </c>
    </row>
    <row r="8" ht="18" customHeight="1" s="96">
      <c r="A8" s="57" t="n">
        <v>7</v>
      </c>
      <c r="B8" s="70" t="inlineStr">
        <is>
          <t>Captive Shared Services</t>
        </is>
      </c>
      <c r="C8" s="70" t="inlineStr">
        <is>
          <t>Zarrah</t>
        </is>
      </c>
      <c r="D8" s="70" t="inlineStr">
        <is>
          <t xml:space="preserve">Unilab </t>
        </is>
      </c>
      <c r="E8" s="70" t="inlineStr">
        <is>
          <t>VO 25</t>
        </is>
      </c>
      <c r="F8" s="71" t="n"/>
      <c r="G8" s="70" t="inlineStr">
        <is>
          <t>BOM Submission</t>
        </is>
      </c>
      <c r="H8" s="75" t="n">
        <v>3418026.02</v>
      </c>
      <c r="I8" s="75" t="n">
        <v>683605.204</v>
      </c>
      <c r="J8" s="72" t="n">
        <v>46142</v>
      </c>
      <c r="K8" s="73">
        <f>IFERROR(VLOOKUP(G8,Stage_Lookup!$A$2:$B$8,2,0),"")</f>
        <v/>
      </c>
      <c r="L8" s="69" t="n"/>
      <c r="M8" s="69" t="n"/>
      <c r="N8" s="72" t="n"/>
      <c r="O8" s="70" t="n"/>
      <c r="P8" s="70" t="n"/>
      <c r="Q8" s="106" t="n"/>
      <c r="R8" s="106" t="n"/>
      <c r="S8" s="106" t="n"/>
      <c r="T8">
        <f>IF(OR(G8="Closed Lost",G8="",NOT(ISNUMBER(H8))),"",H8)</f>
        <v/>
      </c>
    </row>
    <row r="9" ht="18" customHeight="1" s="96">
      <c r="A9" s="64" t="n">
        <v>8</v>
      </c>
      <c r="B9" s="65" t="inlineStr">
        <is>
          <t>Government - Large Scale</t>
        </is>
      </c>
      <c r="C9" s="65" t="inlineStr">
        <is>
          <t>Zarrah</t>
        </is>
      </c>
      <c r="D9" s="65" t="inlineStr">
        <is>
          <t xml:space="preserve">HGS Iloilo </t>
        </is>
      </c>
      <c r="E9" s="65" t="inlineStr">
        <is>
          <t>Interior Fit-out_D&amp;B-OPEX</t>
        </is>
      </c>
      <c r="F9" s="66" t="n"/>
      <c r="G9" s="65" t="inlineStr">
        <is>
          <t>Closed Won</t>
        </is>
      </c>
      <c r="H9" s="74" t="n">
        <v>136462707</v>
      </c>
      <c r="I9" s="74" t="n">
        <v>21834033.12</v>
      </c>
      <c r="J9" s="67" t="n">
        <v>45877</v>
      </c>
      <c r="K9" s="68">
        <f>IFERROR(VLOOKUP(G9,Stage_Lookup!$A$2:$B$8,2,0),"")</f>
        <v/>
      </c>
      <c r="L9" s="69" t="n"/>
      <c r="M9" s="69" t="n"/>
      <c r="N9" s="67" t="n"/>
      <c r="O9" s="65" t="n"/>
      <c r="P9" s="65" t="n"/>
      <c r="Q9" s="106" t="n"/>
      <c r="R9" s="106" t="n"/>
      <c r="S9" s="106" t="n"/>
      <c r="T9">
        <f>IF(OR(G9="Closed Lost",G9="",NOT(ISNUMBER(H9))),"",H9)</f>
        <v/>
      </c>
    </row>
    <row r="10" ht="18" customHeight="1" s="96">
      <c r="A10" s="57" t="n">
        <v>9</v>
      </c>
      <c r="B10" s="70" t="inlineStr">
        <is>
          <t>Government - Large Scale</t>
        </is>
      </c>
      <c r="C10" s="70" t="inlineStr">
        <is>
          <t>Zarrah</t>
        </is>
      </c>
      <c r="D10" s="70" t="inlineStr">
        <is>
          <t>Regus-Savya</t>
        </is>
      </c>
      <c r="E10" s="70" t="inlineStr">
        <is>
          <t>7F Savya Financial Center</t>
        </is>
      </c>
      <c r="F10" s="71" t="n"/>
      <c r="G10" s="70" t="inlineStr">
        <is>
          <t>Closed Won</t>
        </is>
      </c>
      <c r="H10" s="75" t="n">
        <v>70000000</v>
      </c>
      <c r="I10" s="75" t="n">
        <v>7080892.47887322</v>
      </c>
      <c r="J10" s="72" t="n">
        <v>46053</v>
      </c>
      <c r="K10" s="73">
        <f>IFERROR(VLOOKUP(G10,Stage_Lookup!$A$2:$B$8,2,0),"")</f>
        <v/>
      </c>
      <c r="L10" s="69" t="n"/>
      <c r="M10" s="69" t="n"/>
      <c r="N10" s="72" t="n"/>
      <c r="O10" s="70" t="n"/>
      <c r="P10" s="70" t="n"/>
      <c r="Q10" s="106" t="n"/>
      <c r="R10" s="106" t="n"/>
      <c r="S10" s="106" t="n"/>
      <c r="T10">
        <f>IF(OR(G10="Closed Lost",G10="",NOT(ISNUMBER(H10))),"",H10)</f>
        <v/>
      </c>
    </row>
    <row r="11" ht="18" customHeight="1" s="96">
      <c r="A11" s="64" t="n">
        <v>10</v>
      </c>
      <c r="B11" s="65" t="inlineStr">
        <is>
          <t>Enterprise</t>
        </is>
      </c>
      <c r="C11" s="65" t="inlineStr">
        <is>
          <t>Zarrah</t>
        </is>
      </c>
      <c r="D11" s="65" t="inlineStr">
        <is>
          <t xml:space="preserve">Unilab </t>
        </is>
      </c>
      <c r="E11" s="65" t="inlineStr">
        <is>
          <t>2F Executive Lounge Punan, Laguna</t>
        </is>
      </c>
      <c r="F11" s="66" t="n"/>
      <c r="G11" s="65" t="inlineStr">
        <is>
          <t>Closed Won</t>
        </is>
      </c>
      <c r="H11" s="74" t="n">
        <v>53248565.86</v>
      </c>
      <c r="I11" s="74" t="n">
        <v>9584741.854799999</v>
      </c>
      <c r="J11" s="67" t="n">
        <v>46112</v>
      </c>
      <c r="K11" s="68">
        <f>IFERROR(VLOOKUP(G11,Stage_Lookup!$A$2:$B$8,2,0),"")</f>
        <v/>
      </c>
      <c r="L11" s="69" t="n"/>
      <c r="M11" s="69" t="n"/>
      <c r="N11" s="67" t="n"/>
      <c r="O11" s="65" t="n"/>
      <c r="P11" s="65" t="n"/>
      <c r="Q11" s="106" t="n"/>
      <c r="R11" s="106" t="n"/>
      <c r="S11" s="106" t="n"/>
      <c r="T11">
        <f>IF(OR(G11="Closed Lost",G11="",NOT(ISNUMBER(H11))),"",H11)</f>
        <v/>
      </c>
    </row>
    <row r="12" ht="18" customHeight="1" s="96">
      <c r="A12" s="57" t="n">
        <v>11</v>
      </c>
      <c r="B12" s="70" t="inlineStr">
        <is>
          <t>Enterprise</t>
        </is>
      </c>
      <c r="C12" s="70" t="inlineStr">
        <is>
          <t>Zarrah</t>
        </is>
      </c>
      <c r="D12" s="70" t="inlineStr">
        <is>
          <t xml:space="preserve">Unilab </t>
        </is>
      </c>
      <c r="E12" s="70" t="inlineStr">
        <is>
          <t>Executive Office VOs 18,19,20&amp;21</t>
        </is>
      </c>
      <c r="F12" s="71" t="n"/>
      <c r="G12" s="70" t="inlineStr">
        <is>
          <t>Closed Won</t>
        </is>
      </c>
      <c r="H12" s="75" t="n">
        <v>34319675.3</v>
      </c>
      <c r="I12" s="75" t="n">
        <v>5147951.294999999</v>
      </c>
      <c r="J12" s="72" t="n">
        <v>45838</v>
      </c>
      <c r="K12" s="73">
        <f>IFERROR(VLOOKUP(G12,Stage_Lookup!$A$2:$B$8,2,0),"")</f>
        <v/>
      </c>
      <c r="L12" s="69" t="n"/>
      <c r="M12" s="69" t="n"/>
      <c r="N12" s="72" t="n"/>
      <c r="O12" s="70" t="n"/>
      <c r="P12" s="70" t="n"/>
      <c r="Q12" s="106" t="n"/>
      <c r="R12" s="106" t="n"/>
      <c r="S12" s="106" t="n"/>
      <c r="T12">
        <f>IF(OR(G12="Closed Lost",G12="",NOT(ISNUMBER(H12))),"",H12)</f>
        <v/>
      </c>
    </row>
    <row r="13" ht="18" customHeight="1" s="96">
      <c r="A13" s="64" t="n">
        <v>12</v>
      </c>
      <c r="B13" s="65" t="inlineStr">
        <is>
          <t>Enterprise</t>
        </is>
      </c>
      <c r="C13" s="65" t="inlineStr">
        <is>
          <t>Zarrah</t>
        </is>
      </c>
      <c r="D13" s="65" t="inlineStr">
        <is>
          <t>Unilab</t>
        </is>
      </c>
      <c r="E13" s="65" t="inlineStr">
        <is>
          <t>Executive office VOs 21-22</t>
        </is>
      </c>
      <c r="F13" s="66" t="n"/>
      <c r="G13" s="65" t="inlineStr">
        <is>
          <t>Closed Won</t>
        </is>
      </c>
      <c r="H13" s="74" t="n">
        <v>18788932.8</v>
      </c>
      <c r="I13" s="74" t="n">
        <v>3757786.560000001</v>
      </c>
      <c r="J13" s="67" t="n">
        <v>45899</v>
      </c>
      <c r="K13" s="68">
        <f>IFERROR(VLOOKUP(G13,Stage_Lookup!$A$2:$B$8,2,0),"")</f>
        <v/>
      </c>
      <c r="L13" s="69" t="n"/>
      <c r="M13" s="69" t="n"/>
      <c r="N13" s="67" t="n"/>
      <c r="O13" s="65" t="n"/>
      <c r="P13" s="65" t="n"/>
      <c r="Q13" s="106" t="n"/>
      <c r="R13" s="106" t="n"/>
      <c r="S13" s="106" t="n"/>
      <c r="T13">
        <f>IF(OR(G13="Closed Lost",G13="",NOT(ISNUMBER(H13))),"",H13)</f>
        <v/>
      </c>
    </row>
    <row r="14" ht="18" customHeight="1" s="96">
      <c r="A14" s="57" t="n">
        <v>13</v>
      </c>
      <c r="B14" s="70" t="inlineStr">
        <is>
          <t>Enterprise</t>
        </is>
      </c>
      <c r="C14" s="70" t="inlineStr">
        <is>
          <t>Zarrah</t>
        </is>
      </c>
      <c r="D14" s="70" t="inlineStr">
        <is>
          <t xml:space="preserve">Unilab </t>
        </is>
      </c>
      <c r="E14" s="70" t="inlineStr">
        <is>
          <t>VOs 21-22</t>
        </is>
      </c>
      <c r="F14" s="71" t="n"/>
      <c r="G14" s="70" t="inlineStr">
        <is>
          <t>Closed Won</t>
        </is>
      </c>
      <c r="H14" s="75" t="n">
        <v>18788932.77</v>
      </c>
      <c r="I14" s="75" t="n">
        <v>3757786.554</v>
      </c>
      <c r="J14" s="72" t="n">
        <v>45900</v>
      </c>
      <c r="K14" s="73">
        <f>IFERROR(VLOOKUP(G14,Stage_Lookup!$A$2:$B$8,2,0),"")</f>
        <v/>
      </c>
      <c r="L14" s="69" t="n"/>
      <c r="M14" s="69" t="n"/>
      <c r="N14" s="72" t="n"/>
      <c r="O14" s="70" t="n"/>
      <c r="P14" s="70" t="n"/>
      <c r="Q14" s="106" t="n"/>
      <c r="R14" s="106" t="n"/>
      <c r="S14" s="106" t="n"/>
      <c r="T14">
        <f>IF(OR(G14="Closed Lost",G14="",NOT(ISNUMBER(H14))),"",H14)</f>
        <v/>
      </c>
    </row>
    <row r="15" ht="18" customHeight="1" s="96">
      <c r="A15" s="64" t="n">
        <v>14</v>
      </c>
      <c r="B15" s="65" t="inlineStr">
        <is>
          <t>BPO Third Party</t>
        </is>
      </c>
      <c r="C15" s="65" t="inlineStr">
        <is>
          <t>Zarrah</t>
        </is>
      </c>
      <c r="D15" s="65" t="inlineStr">
        <is>
          <t xml:space="preserve">Savoy Living Concepts, Inc. </t>
        </is>
      </c>
      <c r="E15" s="65" t="inlineStr">
        <is>
          <t>Build Only</t>
        </is>
      </c>
      <c r="F15" s="66" t="n"/>
      <c r="G15" s="65" t="inlineStr">
        <is>
          <t>Closed Won</t>
        </is>
      </c>
      <c r="H15" s="74" t="n">
        <v>14000000</v>
      </c>
      <c r="I15" s="74" t="n">
        <v>1680000</v>
      </c>
      <c r="J15" s="67" t="n">
        <v>46072</v>
      </c>
      <c r="K15" s="68">
        <f>IFERROR(VLOOKUP(G15,Stage_Lookup!$A$2:$B$8,2,0),"")</f>
        <v/>
      </c>
      <c r="L15" s="69" t="n"/>
      <c r="M15" s="69" t="n"/>
      <c r="N15" s="67" t="n"/>
      <c r="O15" s="65" t="n"/>
      <c r="P15" s="65" t="n"/>
      <c r="Q15" s="106" t="n"/>
      <c r="R15" s="106" t="n"/>
      <c r="S15" s="106" t="n"/>
      <c r="T15">
        <f>IF(OR(G15="Closed Lost",G15="",NOT(ISNUMBER(H15))),"",H15)</f>
        <v/>
      </c>
    </row>
    <row r="16" ht="18" customHeight="1" s="96">
      <c r="A16" s="57" t="n">
        <v>15</v>
      </c>
      <c r="B16" s="70" t="inlineStr">
        <is>
          <t>Enterprise - Large Scale</t>
        </is>
      </c>
      <c r="C16" s="70" t="inlineStr">
        <is>
          <t>Zarrah</t>
        </is>
      </c>
      <c r="D16" s="70" t="inlineStr">
        <is>
          <t xml:space="preserve">Jewelmer ATC </t>
        </is>
      </c>
      <c r="E16" s="70" t="inlineStr">
        <is>
          <t>Interior Fit-out Works - D&amp;B</t>
        </is>
      </c>
      <c r="F16" s="71" t="n"/>
      <c r="G16" s="70" t="inlineStr">
        <is>
          <t>Closed Won</t>
        </is>
      </c>
      <c r="H16" s="75" t="n">
        <v>12380832</v>
      </c>
      <c r="I16" s="75" t="n">
        <v>1857124.8</v>
      </c>
      <c r="J16" s="72" t="n">
        <v>46071</v>
      </c>
      <c r="K16" s="73">
        <f>IFERROR(VLOOKUP(G16,Stage_Lookup!$A$2:$B$8,2,0),"")</f>
        <v/>
      </c>
      <c r="L16" s="69" t="n"/>
      <c r="M16" s="69" t="n"/>
      <c r="N16" s="72" t="n"/>
      <c r="O16" s="70" t="n"/>
      <c r="P16" s="70" t="n"/>
      <c r="Q16" s="106" t="n"/>
      <c r="R16" s="106" t="n"/>
      <c r="S16" s="106" t="n"/>
      <c r="T16">
        <f>IF(OR(G16="Closed Lost",G16="",NOT(ISNUMBER(H16))),"",H16)</f>
        <v/>
      </c>
    </row>
    <row r="17" ht="18" customHeight="1" s="96">
      <c r="A17" s="64" t="n">
        <v>16</v>
      </c>
      <c r="B17" s="65" t="inlineStr">
        <is>
          <t>Enterprise - Large Scale</t>
        </is>
      </c>
      <c r="C17" s="65" t="inlineStr">
        <is>
          <t>Zarrah</t>
        </is>
      </c>
      <c r="D17" s="65" t="inlineStr">
        <is>
          <t>Jewelmer NAIA T3</t>
        </is>
      </c>
      <c r="E17" s="65" t="inlineStr">
        <is>
          <t>Design and Build</t>
        </is>
      </c>
      <c r="F17" s="66" t="n"/>
      <c r="G17" s="65" t="inlineStr">
        <is>
          <t>Closed Won</t>
        </is>
      </c>
      <c r="H17" s="74" t="n">
        <v>9632000</v>
      </c>
      <c r="I17" s="74" t="n">
        <v>1733760</v>
      </c>
      <c r="J17" s="67" t="n">
        <v>46072</v>
      </c>
      <c r="K17" s="68">
        <f>IFERROR(VLOOKUP(G17,Stage_Lookup!$A$2:$B$8,2,0),"")</f>
        <v/>
      </c>
      <c r="L17" s="69" t="n"/>
      <c r="M17" s="69" t="n"/>
      <c r="N17" s="67" t="n"/>
      <c r="O17" s="65" t="n"/>
      <c r="P17" s="65" t="n"/>
      <c r="Q17" s="106" t="n"/>
      <c r="R17" s="106" t="n"/>
      <c r="S17" s="106" t="n"/>
      <c r="T17">
        <f>IF(OR(G17="Closed Lost",G17="",NOT(ISNUMBER(H17))),"",H17)</f>
        <v/>
      </c>
    </row>
    <row r="18" ht="18" customHeight="1" s="96">
      <c r="A18" s="57" t="n">
        <v>17</v>
      </c>
      <c r="B18" s="70" t="inlineStr">
        <is>
          <t>Enterprise - Large Scale</t>
        </is>
      </c>
      <c r="C18" s="70" t="inlineStr">
        <is>
          <t>Zarrah</t>
        </is>
      </c>
      <c r="D18" s="70" t="inlineStr">
        <is>
          <t xml:space="preserve">Unilab </t>
        </is>
      </c>
      <c r="E18" s="70" t="inlineStr">
        <is>
          <t>VO 22</t>
        </is>
      </c>
      <c r="F18" s="71" t="n"/>
      <c r="G18" s="70" t="inlineStr">
        <is>
          <t>Closed Won</t>
        </is>
      </c>
      <c r="H18" s="75" t="n">
        <v>9588932.77</v>
      </c>
      <c r="I18" s="75" t="n">
        <v>2360795.247974</v>
      </c>
      <c r="J18" s="72" t="n">
        <v>45901</v>
      </c>
      <c r="K18" s="73">
        <f>IFERROR(VLOOKUP(G18,Stage_Lookup!$A$2:$B$8,2,0),"")</f>
        <v/>
      </c>
      <c r="L18" s="69" t="n"/>
      <c r="M18" s="69" t="n"/>
      <c r="N18" s="72" t="n"/>
      <c r="O18" s="70" t="n"/>
      <c r="P18" s="70" t="n"/>
      <c r="Q18" s="106" t="n"/>
      <c r="R18" s="106" t="n"/>
      <c r="S18" s="106" t="n"/>
      <c r="T18">
        <f>IF(OR(G18="Closed Lost",G18="",NOT(ISNUMBER(H18))),"",H18)</f>
        <v/>
      </c>
    </row>
    <row r="19" ht="18" customHeight="1" s="96">
      <c r="A19" s="64" t="n">
        <v>18</v>
      </c>
      <c r="B19" s="65" t="inlineStr">
        <is>
          <t>Enterprise</t>
        </is>
      </c>
      <c r="C19" s="65" t="inlineStr">
        <is>
          <t>Zarrah</t>
        </is>
      </c>
      <c r="D19" s="65" t="inlineStr">
        <is>
          <t>HSP Global Business Services Inc</t>
        </is>
      </c>
      <c r="E19" s="65" t="inlineStr">
        <is>
          <t xml:space="preserve">End-user peripherals </t>
        </is>
      </c>
      <c r="F19" s="66" t="n"/>
      <c r="G19" s="65" t="inlineStr">
        <is>
          <t>Closed Won</t>
        </is>
      </c>
      <c r="H19" s="74" t="n">
        <v>4852844.92</v>
      </c>
      <c r="I19" s="74" t="n">
        <v>485284.492</v>
      </c>
      <c r="J19" s="67" t="n">
        <v>45746</v>
      </c>
      <c r="K19" s="68">
        <f>IFERROR(VLOOKUP(G19,Stage_Lookup!$A$2:$B$8,2,0),"")</f>
        <v/>
      </c>
      <c r="L19" s="69" t="n"/>
      <c r="M19" s="69" t="n"/>
      <c r="N19" s="67" t="n"/>
      <c r="O19" s="65" t="n"/>
      <c r="P19" s="65" t="n"/>
      <c r="Q19" s="106" t="n"/>
      <c r="R19" s="106" t="n"/>
      <c r="S19" s="106" t="n"/>
      <c r="T19">
        <f>IF(OR(G19="Closed Lost",G19="",NOT(ISNUMBER(H19))),"",H19)</f>
        <v/>
      </c>
    </row>
    <row r="20" ht="18" customHeight="1" s="96">
      <c r="A20" s="57" t="n">
        <v>19</v>
      </c>
      <c r="B20" s="70" t="inlineStr">
        <is>
          <t>Enterprise</t>
        </is>
      </c>
      <c r="C20" s="70" t="inlineStr">
        <is>
          <t>Zarrah</t>
        </is>
      </c>
      <c r="D20" s="70" t="inlineStr">
        <is>
          <t>PMAAAI</t>
        </is>
      </c>
      <c r="E20" s="70" t="inlineStr">
        <is>
          <t>Professional Service Fee</t>
        </is>
      </c>
      <c r="F20" s="71" t="n"/>
      <c r="G20" s="70" t="inlineStr">
        <is>
          <t>Closed Won</t>
        </is>
      </c>
      <c r="H20" s="75" t="n">
        <v>3800000</v>
      </c>
      <c r="I20" s="75" t="n">
        <v>2660000</v>
      </c>
      <c r="J20" s="72" t="n">
        <v>45838</v>
      </c>
      <c r="K20" s="73">
        <f>IFERROR(VLOOKUP(G20,Stage_Lookup!$A$2:$B$8,2,0),"")</f>
        <v/>
      </c>
      <c r="L20" s="69" t="n"/>
      <c r="M20" s="69" t="n"/>
      <c r="N20" s="72" t="n"/>
      <c r="O20" s="70" t="n"/>
      <c r="P20" s="70" t="n"/>
      <c r="Q20" s="106" t="n"/>
      <c r="R20" s="106" t="n"/>
      <c r="S20" s="106" t="n"/>
      <c r="T20">
        <f>IF(OR(G20="Closed Lost",G20="",NOT(ISNUMBER(H20))),"",H20)</f>
        <v/>
      </c>
    </row>
    <row r="21" ht="18" customHeight="1" s="96">
      <c r="A21" s="64" t="n">
        <v>20</v>
      </c>
      <c r="B21" s="65" t="inlineStr">
        <is>
          <t>Enterprise</t>
        </is>
      </c>
      <c r="C21" s="65" t="inlineStr">
        <is>
          <t>Zarrah</t>
        </is>
      </c>
      <c r="D21" s="65" t="inlineStr">
        <is>
          <t xml:space="preserve">VO#1 </t>
        </is>
      </c>
      <c r="E21" s="65" t="inlineStr">
        <is>
          <t>10F All CX production</t>
        </is>
      </c>
      <c r="F21" s="66" t="n"/>
      <c r="G21" s="65" t="inlineStr">
        <is>
          <t>Closed Won</t>
        </is>
      </c>
      <c r="H21" s="74" t="n">
        <v>1000000</v>
      </c>
      <c r="I21" s="74" t="n">
        <v>160000</v>
      </c>
      <c r="J21" s="67" t="n">
        <v>45991</v>
      </c>
      <c r="K21" s="68">
        <f>IFERROR(VLOOKUP(G21,Stage_Lookup!$A$2:$B$8,2,0),"")</f>
        <v/>
      </c>
      <c r="L21" s="69" t="n"/>
      <c r="M21" s="69" t="n"/>
      <c r="N21" s="67" t="n"/>
      <c r="O21" s="65" t="n"/>
      <c r="P21" s="65" t="n"/>
      <c r="Q21" s="106" t="n"/>
      <c r="R21" s="106" t="n"/>
      <c r="S21" s="106" t="n"/>
      <c r="T21">
        <f>IF(OR(G21="Closed Lost",G21="",NOT(ISNUMBER(H21))),"",H21)</f>
        <v/>
      </c>
    </row>
    <row r="22" ht="18" customHeight="1" s="96">
      <c r="A22" s="57" t="n">
        <v>21</v>
      </c>
      <c r="B22" s="70" t="inlineStr">
        <is>
          <t>Captive Shared Services</t>
        </is>
      </c>
      <c r="C22" s="70" t="inlineStr">
        <is>
          <t>Zarrah</t>
        </is>
      </c>
      <c r="D22" s="70" t="inlineStr">
        <is>
          <t xml:space="preserve">AFNI </t>
        </is>
      </c>
      <c r="E22" s="70" t="inlineStr">
        <is>
          <t xml:space="preserve">SMF T 3 D&amp;B- 525 seats </t>
        </is>
      </c>
      <c r="F22" s="71" t="n">
        <v>3000</v>
      </c>
      <c r="G22" s="70" t="inlineStr">
        <is>
          <t>Opportunity Creation</t>
        </is>
      </c>
      <c r="H22" s="75" t="n">
        <v>120000000</v>
      </c>
      <c r="I22" s="75" t="n">
        <v>24000000</v>
      </c>
      <c r="J22" s="72" t="n">
        <v>46203</v>
      </c>
      <c r="K22" s="73">
        <f>IFERROR(VLOOKUP(G22,Stage_Lookup!$A$2:$B$8,2,0),"")</f>
        <v/>
      </c>
      <c r="L22" s="69" t="n"/>
      <c r="M22" s="69" t="n"/>
      <c r="N22" s="72" t="n"/>
      <c r="O22" s="86" t="inlineStr">
        <is>
          <t>RFP will be released week of May 18,2026</t>
        </is>
      </c>
      <c r="P22" s="70" t="n"/>
      <c r="Q22" s="106" t="n"/>
      <c r="R22" s="106" t="n"/>
      <c r="S22" s="106" t="n"/>
      <c r="T22">
        <f>IF(OR(G22="Closed Lost",G22="",NOT(ISNUMBER(H22))),"",H22)</f>
        <v/>
      </c>
    </row>
    <row r="23" ht="18" customHeight="1" s="96">
      <c r="A23" s="64" t="n">
        <v>22</v>
      </c>
      <c r="B23" s="65" t="inlineStr">
        <is>
          <t>Captive Shared Services</t>
        </is>
      </c>
      <c r="C23" s="65" t="inlineStr">
        <is>
          <t>Zarrah</t>
        </is>
      </c>
      <c r="D23" s="65" t="inlineStr">
        <is>
          <t>AFNI SMF T3</t>
        </is>
      </c>
      <c r="E23" s="65" t="inlineStr">
        <is>
          <t xml:space="preserve">Dell - 525 seats </t>
        </is>
      </c>
      <c r="F23" s="66" t="n"/>
      <c r="G23" s="65" t="inlineStr">
        <is>
          <t>Opportunity Creation</t>
        </is>
      </c>
      <c r="H23" s="74" t="n">
        <v>30000000</v>
      </c>
      <c r="I23" s="74" t="n">
        <v>6000000</v>
      </c>
      <c r="J23" s="67" t="n">
        <v>46203</v>
      </c>
      <c r="K23" s="68">
        <f>IFERROR(VLOOKUP(G23,Stage_Lookup!$A$2:$B$8,2,0),"")</f>
        <v/>
      </c>
      <c r="L23" s="69" t="n"/>
      <c r="M23" s="69" t="n"/>
      <c r="N23" s="67" t="n"/>
      <c r="O23" s="86" t="inlineStr">
        <is>
          <t>RFP will be released week of May 18,2026</t>
        </is>
      </c>
      <c r="P23" s="65" t="n"/>
      <c r="Q23" s="106" t="n"/>
      <c r="R23" s="106" t="n"/>
      <c r="S23" s="106" t="n"/>
      <c r="T23">
        <f>IF(OR(G23="Closed Lost",G23="",NOT(ISNUMBER(H23))),"",H23)</f>
        <v/>
      </c>
    </row>
    <row r="24" ht="18" customHeight="1" s="96">
      <c r="A24" s="57" t="n">
        <v>23</v>
      </c>
      <c r="B24" s="70" t="inlineStr">
        <is>
          <t>COPY ROW FOR NEW OPPORTUNITY</t>
        </is>
      </c>
      <c r="C24" s="70" t="inlineStr">
        <is>
          <t>Zarrah</t>
        </is>
      </c>
      <c r="D24" s="70" t="inlineStr">
        <is>
          <t>AFNI SMF T3</t>
        </is>
      </c>
      <c r="E24" s="70" t="inlineStr">
        <is>
          <t>Cisco</t>
        </is>
      </c>
      <c r="F24" s="71" t="n"/>
      <c r="G24" s="70" t="inlineStr">
        <is>
          <t>Opportunity Creation</t>
        </is>
      </c>
      <c r="H24" s="75" t="n">
        <v>30000000</v>
      </c>
      <c r="I24" s="75" t="n">
        <v>6000000</v>
      </c>
      <c r="J24" s="72" t="n">
        <v>46203</v>
      </c>
      <c r="K24" s="73">
        <f>IFERROR(VLOOKUP(G24,Stage_Lookup!$A$2:$B$8,2,0),"")</f>
        <v/>
      </c>
      <c r="L24" s="69" t="n"/>
      <c r="M24" s="69" t="n"/>
      <c r="N24" s="72" t="n"/>
      <c r="O24" s="86" t="inlineStr">
        <is>
          <t>RFP will be released week of May 18,2026</t>
        </is>
      </c>
      <c r="P24" s="70" t="n"/>
      <c r="Q24" s="106" t="n"/>
      <c r="R24" s="106" t="n"/>
      <c r="S24" s="106" t="n"/>
      <c r="T24">
        <f>IF(OR(G24="Closed Lost",G24="",NOT(ISNUMBER(H24))),"",H24)</f>
        <v/>
      </c>
    </row>
    <row r="25" ht="18" customHeight="1" s="96">
      <c r="A25" s="64" t="n">
        <v>24</v>
      </c>
      <c r="B25" s="65" t="inlineStr">
        <is>
          <t>Enterprise</t>
        </is>
      </c>
      <c r="C25" s="65" t="inlineStr">
        <is>
          <t>Zarrah</t>
        </is>
      </c>
      <c r="D25" s="65" t="inlineStr">
        <is>
          <t>FLT</t>
        </is>
      </c>
      <c r="E25" s="65" t="inlineStr">
        <is>
          <t>Build Only</t>
        </is>
      </c>
      <c r="F25" s="66" t="n"/>
      <c r="G25" s="65" t="inlineStr">
        <is>
          <t>Closed Lost</t>
        </is>
      </c>
      <c r="H25" s="74" t="n">
        <v>23700228</v>
      </c>
      <c r="I25" s="74" t="n">
        <v>4740045.600000001</v>
      </c>
      <c r="J25" s="67" t="n">
        <v>46142</v>
      </c>
      <c r="K25" s="68">
        <f>IFERROR(VLOOKUP(G25,Stage_Lookup!$A$2:$B$8,2,0),"")</f>
        <v/>
      </c>
      <c r="L25" s="69" t="n"/>
      <c r="M25" s="69" t="n"/>
      <c r="N25" s="67" t="n"/>
      <c r="O25" s="65" t="n"/>
      <c r="P25" s="65" t="n"/>
      <c r="Q25" s="106" t="n"/>
      <c r="R25" s="106" t="n"/>
      <c r="S25" s="106" t="n"/>
      <c r="T25">
        <f>IF(OR(G25="Closed Lost",G25="",NOT(ISNUMBER(H25))),"",H25)</f>
        <v/>
      </c>
    </row>
    <row r="26" ht="18" customHeight="1" s="96">
      <c r="A26" s="57" t="n">
        <v>25</v>
      </c>
      <c r="B26" s="70" t="inlineStr">
        <is>
          <t>Captive Shared Services</t>
        </is>
      </c>
      <c r="C26" s="70" t="inlineStr">
        <is>
          <t>Zarrah</t>
        </is>
      </c>
      <c r="D26" s="70" t="inlineStr">
        <is>
          <t xml:space="preserve">Health First </t>
        </is>
      </c>
      <c r="E26" s="70" t="inlineStr">
        <is>
          <t>Williams Level A Ph2 expansion</t>
        </is>
      </c>
      <c r="F26" s="71" t="n"/>
      <c r="G26" s="70" t="inlineStr">
        <is>
          <t>BOM Submission</t>
        </is>
      </c>
      <c r="H26" s="75" t="n">
        <v>33209522.14</v>
      </c>
      <c r="I26" s="75" t="n">
        <v>5977713.9852</v>
      </c>
      <c r="J26" s="72" t="n">
        <v>46173</v>
      </c>
      <c r="K26" s="73">
        <f>IFERROR(VLOOKUP(G26,Stage_Lookup!$A$2:$B$8,2,0),"")</f>
        <v/>
      </c>
      <c r="L26" s="69" t="n"/>
      <c r="M26" s="69" t="n"/>
      <c r="N26" s="72" t="n"/>
      <c r="O26" s="87" t="inlineStr">
        <is>
          <t>Based on the last touchpoint with the client on April 15,2026, they are still evaluating all proposals from the bidders.</t>
        </is>
      </c>
      <c r="P26" s="88" t="inlineStr">
        <is>
          <t xml:space="preserve"> </t>
        </is>
      </c>
      <c r="Q26" s="106" t="n"/>
      <c r="R26" s="106" t="n"/>
      <c r="S26" s="106" t="n"/>
      <c r="T26">
        <f>IF(OR(G26="Closed Lost",G26="",NOT(ISNUMBER(H26))),"",H26)</f>
        <v/>
      </c>
    </row>
    <row r="27" ht="18" customHeight="1" s="96">
      <c r="A27" s="64" t="n">
        <v>26</v>
      </c>
      <c r="B27" s="65" t="inlineStr">
        <is>
          <t>Enterprise</t>
        </is>
      </c>
      <c r="C27" s="65" t="inlineStr">
        <is>
          <t>Zarrah</t>
        </is>
      </c>
      <c r="D27" s="65" t="inlineStr">
        <is>
          <t xml:space="preserve">Health First </t>
        </is>
      </c>
      <c r="E27" s="65" t="inlineStr">
        <is>
          <t xml:space="preserve">HDSI Hemodialysis </t>
        </is>
      </c>
      <c r="F27" s="66" t="n"/>
      <c r="G27" s="65" t="inlineStr">
        <is>
          <t>BOM Submission</t>
        </is>
      </c>
      <c r="H27" s="74" t="n">
        <v>23462869.35</v>
      </c>
      <c r="I27" s="74" t="n">
        <v>4223316.483</v>
      </c>
      <c r="J27" s="67" t="n">
        <v>46173</v>
      </c>
      <c r="K27" s="68">
        <f>IFERROR(VLOOKUP(G27,Stage_Lookup!$A$2:$B$8,2,0),"")</f>
        <v/>
      </c>
      <c r="L27" s="69" t="n"/>
      <c r="M27" s="69" t="n"/>
      <c r="N27" s="67" t="n"/>
      <c r="O27" s="87" t="inlineStr">
        <is>
          <t>Based on the last touchpoint with the client on April  15, 2026, they are still evaluating all proposals from the bidders.</t>
        </is>
      </c>
      <c r="P27" s="65" t="n"/>
      <c r="Q27" s="106" t="n"/>
      <c r="R27" s="106" t="n"/>
      <c r="S27" s="106" t="n"/>
      <c r="T27">
        <f>IF(OR(G27="Closed Lost",G27="",NOT(ISNUMBER(H27))),"",H27)</f>
        <v/>
      </c>
    </row>
    <row r="28" ht="18" customHeight="1" s="96">
      <c r="A28" s="57" t="n">
        <v>27</v>
      </c>
      <c r="B28" s="70" t="inlineStr">
        <is>
          <t>Enterprise</t>
        </is>
      </c>
      <c r="C28" s="70" t="inlineStr">
        <is>
          <t>Zarrah</t>
        </is>
      </c>
      <c r="D28" s="70" t="inlineStr">
        <is>
          <t>HGS</t>
        </is>
      </c>
      <c r="E28" s="70" t="inlineStr">
        <is>
          <t>HGS Bridgetowne</t>
        </is>
      </c>
      <c r="F28" s="71" t="n"/>
      <c r="G28" s="70" t="inlineStr">
        <is>
          <t>BOM Submission</t>
        </is>
      </c>
      <c r="H28" s="75" t="n">
        <v>1404896.94</v>
      </c>
      <c r="I28" s="75" t="n">
        <v>25288144.92</v>
      </c>
      <c r="J28" s="72" t="n">
        <v>46173</v>
      </c>
      <c r="K28" s="73">
        <f>IFERROR(VLOOKUP(G28,Stage_Lookup!$A$2:$B$8,2,0),"")</f>
        <v/>
      </c>
      <c r="L28" s="69" t="n"/>
      <c r="M28" s="69" t="n"/>
      <c r="N28" s="72" t="n"/>
      <c r="O28" s="70" t="n"/>
      <c r="P28" s="70" t="n"/>
      <c r="Q28" s="106" t="n"/>
      <c r="R28" s="106" t="n"/>
      <c r="S28" s="106" t="n"/>
      <c r="T28">
        <f>IF(OR(G28="Closed Lost",G28="",NOT(ISNUMBER(H28))),"",H28)</f>
        <v/>
      </c>
    </row>
    <row r="29" ht="18" customHeight="1" s="96">
      <c r="A29" s="64" t="n">
        <v>28</v>
      </c>
      <c r="B29" s="65" t="inlineStr">
        <is>
          <t>Enterprise-Large scale</t>
        </is>
      </c>
      <c r="C29" s="65" t="inlineStr">
        <is>
          <t>Zarrah</t>
        </is>
      </c>
      <c r="D29" s="65" t="inlineStr">
        <is>
          <t>Acquire</t>
        </is>
      </c>
      <c r="E29" s="65" t="inlineStr">
        <is>
          <t>Build-Recruitment Hub</t>
        </is>
      </c>
      <c r="F29" s="66" t="n"/>
      <c r="G29" s="65" t="inlineStr">
        <is>
          <t>Closed Won</t>
        </is>
      </c>
      <c r="H29" s="74" t="n">
        <v>7423409.24</v>
      </c>
      <c r="I29" s="74" t="n">
        <v>890809.1088</v>
      </c>
      <c r="J29" s="67" t="n">
        <v>46142</v>
      </c>
      <c r="K29" s="68">
        <f>IFERROR(VLOOKUP(G29,Stage_Lookup!$A$2:$B$8,2,0),"")</f>
        <v/>
      </c>
      <c r="L29" s="69" t="n"/>
      <c r="M29" s="69" t="n"/>
      <c r="N29" s="67" t="n"/>
      <c r="O29" s="87" t="n"/>
      <c r="P29" s="88" t="inlineStr">
        <is>
          <t xml:space="preserve"> </t>
        </is>
      </c>
      <c r="Q29" s="89" t="inlineStr">
        <is>
          <t xml:space="preserve"> </t>
        </is>
      </c>
      <c r="R29" s="89" t="inlineStr">
        <is>
          <t xml:space="preserve"> </t>
        </is>
      </c>
      <c r="S29" s="106" t="n"/>
      <c r="T29">
        <f>IF(OR(G29="Closed Lost",G29="",NOT(ISNUMBER(H29))),"",H29)</f>
        <v/>
      </c>
    </row>
    <row r="30" ht="18" customHeight="1" s="96">
      <c r="A30" s="57" t="n">
        <v>29</v>
      </c>
      <c r="B30" s="70" t="inlineStr">
        <is>
          <t>Enterprise-Large scale</t>
        </is>
      </c>
      <c r="C30" s="70" t="inlineStr">
        <is>
          <t>Zarrah</t>
        </is>
      </c>
      <c r="D30" s="70" t="inlineStr">
        <is>
          <t>Focus Global Inc</t>
        </is>
      </c>
      <c r="E30" s="70" t="inlineStr">
        <is>
          <t>Tempur-Maison Mall</t>
        </is>
      </c>
      <c r="F30" s="71" t="n"/>
      <c r="G30" s="70" t="inlineStr">
        <is>
          <t>Closed Lost</t>
        </is>
      </c>
      <c r="H30" s="75" t="n">
        <v>10000000</v>
      </c>
      <c r="I30" s="75" t="n">
        <v>2000000</v>
      </c>
      <c r="J30" s="72" t="n">
        <v>46142</v>
      </c>
      <c r="K30" s="73">
        <f>IFERROR(VLOOKUP(G30,Stage_Lookup!$A$2:$B$8,2,0),"")</f>
        <v/>
      </c>
      <c r="L30" s="69" t="n"/>
      <c r="M30" s="69" t="n"/>
      <c r="N30" s="72" t="n"/>
      <c r="O30" s="87" t="inlineStr">
        <is>
          <t>We were not able to conduct the site inspection or submit our proposal. This was awarded to another vendor.</t>
        </is>
      </c>
      <c r="P30" s="88" t="inlineStr">
        <is>
          <t xml:space="preserve"> </t>
        </is>
      </c>
      <c r="Q30" s="106" t="n"/>
      <c r="R30" s="106" t="n"/>
      <c r="S30" s="106" t="n"/>
      <c r="T30">
        <f>IF(OR(G30="Closed Lost",G30="",NOT(ISNUMBER(H30))),"",H30)</f>
        <v/>
      </c>
    </row>
    <row r="31" ht="18" customHeight="1" s="96">
      <c r="A31" s="64" t="n">
        <v>30</v>
      </c>
      <c r="B31" s="65" t="inlineStr">
        <is>
          <t>BPO Third Party</t>
        </is>
      </c>
      <c r="C31" s="65" t="inlineStr">
        <is>
          <t>Zarrah</t>
        </is>
      </c>
      <c r="D31" s="65" t="inlineStr">
        <is>
          <t>Jewelmer Greenbelt 5</t>
        </is>
      </c>
      <c r="E31" s="65" t="inlineStr">
        <is>
          <t xml:space="preserve">Renovation </t>
        </is>
      </c>
      <c r="F31" s="66" t="n"/>
      <c r="G31" s="65" t="inlineStr">
        <is>
          <t>Opportunity Creation</t>
        </is>
      </c>
      <c r="H31" s="74" t="n">
        <v>3000000</v>
      </c>
      <c r="I31" s="74" t="n">
        <v>600000</v>
      </c>
      <c r="J31" s="67" t="n">
        <v>46203</v>
      </c>
      <c r="K31" s="68">
        <f>IFERROR(VLOOKUP(G31,Stage_Lookup!$A$2:$B$8,2,0),"")</f>
        <v/>
      </c>
      <c r="L31" s="69" t="n"/>
      <c r="M31" s="69" t="n"/>
      <c r="N31" s="67" t="n"/>
      <c r="O31" s="90" t="inlineStr">
        <is>
          <t>According to Diane, all renovation projects are still in the budgeting stage. They are currently prioritizing new retail shops, but the renovations are expected to proceed within the year</t>
        </is>
      </c>
      <c r="P31" s="65" t="n"/>
      <c r="Q31" s="106" t="n"/>
      <c r="R31" s="106" t="n"/>
      <c r="S31" s="106" t="n"/>
      <c r="T31">
        <f>IF(OR(G31="Closed Lost",G31="",NOT(ISNUMBER(H31))),"",H31)</f>
        <v/>
      </c>
    </row>
    <row r="32" ht="18" customHeight="1" s="96">
      <c r="A32" s="57" t="n">
        <v>31</v>
      </c>
      <c r="B32" s="70" t="inlineStr">
        <is>
          <t>Enterprise</t>
        </is>
      </c>
      <c r="C32" s="70" t="inlineStr">
        <is>
          <t>Zarrah</t>
        </is>
      </c>
      <c r="D32" s="70" t="inlineStr">
        <is>
          <t>Jewelmer Shangrila BGC</t>
        </is>
      </c>
      <c r="E32" s="70" t="inlineStr">
        <is>
          <t xml:space="preserve">Design and Build Project </t>
        </is>
      </c>
      <c r="F32" s="71" t="n"/>
      <c r="G32" s="70" t="inlineStr">
        <is>
          <t>Opportunity Creation</t>
        </is>
      </c>
      <c r="H32" s="75" t="n">
        <v>10000000</v>
      </c>
      <c r="I32" s="75" t="n">
        <v>2000000</v>
      </c>
      <c r="J32" s="72" t="n">
        <v>46203</v>
      </c>
      <c r="K32" s="73">
        <f>IFERROR(VLOOKUP(G32,Stage_Lookup!$A$2:$B$8,2,0),"")</f>
        <v/>
      </c>
      <c r="L32" s="69" t="n"/>
      <c r="M32" s="69" t="n"/>
      <c r="N32" s="72" t="n"/>
      <c r="O32" s="90" t="inlineStr">
        <is>
          <t>According to Diane, all renovation projects are still in the budgeting stage. They are currently prioritizing new retail shops, but the renovations are expected to proceed within the year</t>
        </is>
      </c>
      <c r="P32" s="70" t="n"/>
      <c r="Q32" s="106" t="n"/>
      <c r="R32" s="106" t="n"/>
      <c r="S32" s="106" t="n"/>
      <c r="T32">
        <f>IF(OR(G32="Closed Lost",G32="",NOT(ISNUMBER(H32))),"",H32)</f>
        <v/>
      </c>
    </row>
    <row r="33" ht="18" customHeight="1" s="96">
      <c r="A33" s="64" t="n">
        <v>32</v>
      </c>
      <c r="B33" s="65" t="inlineStr">
        <is>
          <t>Enterprise</t>
        </is>
      </c>
      <c r="C33" s="65" t="inlineStr">
        <is>
          <t>Zarrah</t>
        </is>
      </c>
      <c r="D33" s="65" t="inlineStr">
        <is>
          <t>Jewelmer Shangrila EDSA</t>
        </is>
      </c>
      <c r="E33" s="65" t="inlineStr">
        <is>
          <t xml:space="preserve">Design and Build Project </t>
        </is>
      </c>
      <c r="F33" s="66" t="n"/>
      <c r="G33" s="65" t="inlineStr">
        <is>
          <t>Opportunity Creation</t>
        </is>
      </c>
      <c r="H33" s="74" t="n">
        <v>10000000</v>
      </c>
      <c r="I33" s="74" t="n">
        <v>2000000</v>
      </c>
      <c r="J33" s="67" t="n">
        <v>46203</v>
      </c>
      <c r="K33" s="68">
        <f>IFERROR(VLOOKUP(G33,Stage_Lookup!$A$2:$B$8,2,0),"")</f>
        <v/>
      </c>
      <c r="L33" s="69" t="n"/>
      <c r="M33" s="69" t="n"/>
      <c r="N33" s="67" t="n"/>
      <c r="O33" s="90" t="inlineStr">
        <is>
          <t>According to Diane, all renovation projects are still in the budgeting stage. They are currently prioritizing new retail shops, but the renovations are expected to proceed within the year</t>
        </is>
      </c>
      <c r="P33" s="65" t="n"/>
      <c r="Q33" s="106" t="n"/>
      <c r="R33" s="106" t="n"/>
      <c r="S33" s="106" t="n"/>
      <c r="T33">
        <f>IF(OR(G33="Closed Lost",G33="",NOT(ISNUMBER(H33))),"",H33)</f>
        <v/>
      </c>
    </row>
    <row r="34" ht="18" customHeight="1" s="96">
      <c r="A34" s="57" t="n">
        <v>33</v>
      </c>
      <c r="B34" s="70" t="inlineStr">
        <is>
          <t>Enterprise-Large scale</t>
        </is>
      </c>
      <c r="C34" s="70" t="inlineStr">
        <is>
          <t>Zarrah</t>
        </is>
      </c>
      <c r="D34" s="70" t="inlineStr">
        <is>
          <t>PTS Property Ventures , Inc</t>
        </is>
      </c>
      <c r="E34" s="70" t="inlineStr">
        <is>
          <t>4 storey Bldg renovation works</t>
        </is>
      </c>
      <c r="F34" s="71" t="n"/>
      <c r="G34" s="70" t="inlineStr">
        <is>
          <t>Closed Lost</t>
        </is>
      </c>
      <c r="H34" s="75" t="n">
        <v>30000000</v>
      </c>
      <c r="I34" s="75" t="n">
        <v>6000000</v>
      </c>
      <c r="J34" s="72" t="n">
        <v>46173</v>
      </c>
      <c r="K34" s="73">
        <f>IFERROR(VLOOKUP(G34,Stage_Lookup!$A$2:$B$8,2,0),"")</f>
        <v/>
      </c>
      <c r="L34" s="69" t="n"/>
      <c r="M34" s="69" t="n"/>
      <c r="N34" s="72" t="n"/>
      <c r="O34" s="87" t="inlineStr">
        <is>
          <t>We will decline this opportunity. Based on the site inspection report, the scope is purely structural, and the building is already very old.</t>
        </is>
      </c>
      <c r="P34" s="70" t="n"/>
      <c r="Q34" s="106" t="n"/>
      <c r="R34" s="106" t="n"/>
      <c r="S34" s="106" t="n"/>
      <c r="T34">
        <f>IF(OR(G34="Closed Lost",G34="",NOT(ISNUMBER(H34))),"",H34)</f>
        <v/>
      </c>
    </row>
    <row r="35" ht="18" customHeight="1" s="96">
      <c r="A35" s="64" t="n">
        <v>34</v>
      </c>
      <c r="B35" s="65" t="inlineStr">
        <is>
          <t>Enterprise</t>
        </is>
      </c>
      <c r="C35" s="65" t="inlineStr">
        <is>
          <t>Zarrah</t>
        </is>
      </c>
      <c r="D35" s="65" t="inlineStr">
        <is>
          <t>Signature-Entreprise</t>
        </is>
      </c>
      <c r="E35" s="65" t="inlineStr">
        <is>
          <t>Renovation works-D&amp;B</t>
        </is>
      </c>
      <c r="F35" s="66" t="n"/>
      <c r="G35" s="65" t="inlineStr">
        <is>
          <t>Resubmission</t>
        </is>
      </c>
      <c r="H35" s="74" t="n">
        <v>70213261.23</v>
      </c>
      <c r="I35" s="74" t="n">
        <v>16149050.0829</v>
      </c>
      <c r="J35" s="67" t="n">
        <v>46142</v>
      </c>
      <c r="K35" s="68">
        <f>IFERROR(VLOOKUP(G35,Stage_Lookup!$A$2:$B$8,2,0),"")</f>
        <v/>
      </c>
      <c r="L35" s="69" t="n"/>
      <c r="M35" s="69" t="n"/>
      <c r="N35" s="67" t="n"/>
      <c r="O35" s="91" t="inlineStr">
        <is>
          <t>Meeting with Ral on May  7,2026 to discuss this opportunity</t>
        </is>
      </c>
      <c r="P35" s="65" t="n"/>
      <c r="Q35" s="106" t="n"/>
      <c r="R35" s="106" t="n"/>
      <c r="S35" s="106" t="n"/>
      <c r="T35">
        <f>IF(OR(G35="Closed Lost",G35="",NOT(ISNUMBER(H35))),"",H35)</f>
        <v/>
      </c>
    </row>
    <row r="36" ht="18" customHeight="1" s="96">
      <c r="A36" s="57" t="n">
        <v>35</v>
      </c>
      <c r="B36" s="70" t="inlineStr">
        <is>
          <t>Captive Shared Services</t>
        </is>
      </c>
      <c r="C36" s="70" t="inlineStr">
        <is>
          <t>Zarrah</t>
        </is>
      </c>
      <c r="D36" s="70" t="inlineStr">
        <is>
          <t xml:space="preserve">Sutherland </t>
        </is>
      </c>
      <c r="E36" s="70" t="inlineStr">
        <is>
          <t xml:space="preserve">Cam Sur 2 REnovation works </t>
        </is>
      </c>
      <c r="F36" s="71" t="n"/>
      <c r="G36" s="70" t="inlineStr">
        <is>
          <t>Opportunity Creation</t>
        </is>
      </c>
      <c r="H36" s="75" t="n">
        <v>20000000</v>
      </c>
      <c r="I36" s="75" t="n">
        <v>4000000</v>
      </c>
      <c r="J36" s="72" t="n">
        <v>46174</v>
      </c>
      <c r="K36" s="73">
        <f>IFERROR(VLOOKUP(G36,Stage_Lookup!$A$2:$B$8,2,0),"")</f>
        <v/>
      </c>
      <c r="L36" s="69" t="n"/>
      <c r="M36" s="69" t="n"/>
      <c r="N36" s="72" t="n"/>
      <c r="O36" s="87" t="inlineStr">
        <is>
          <t>According to Ericson Chua, they will release a new RFP since this is a failed bid.</t>
        </is>
      </c>
      <c r="P36" s="70" t="n"/>
      <c r="Q36" s="106" t="n"/>
      <c r="R36" s="106" t="n"/>
      <c r="S36" s="106" t="n"/>
      <c r="T36">
        <f>IF(OR(G36="Closed Lost",G36="",NOT(ISNUMBER(H36))),"",H36)</f>
        <v/>
      </c>
    </row>
    <row r="37" ht="18" customHeight="1" s="96">
      <c r="A37" s="64" t="n">
        <v>36</v>
      </c>
      <c r="B37" s="65" t="inlineStr">
        <is>
          <t>BPO Third Party</t>
        </is>
      </c>
      <c r="C37" s="65" t="inlineStr">
        <is>
          <t>Zarrah/House Acount</t>
        </is>
      </c>
      <c r="D37" s="65" t="inlineStr">
        <is>
          <t>LG Electronics</t>
        </is>
      </c>
      <c r="E37" s="65" t="inlineStr">
        <is>
          <t>Silver City T3-Business Innovation Center Build project</t>
        </is>
      </c>
      <c r="F37" s="66" t="n">
        <v>320</v>
      </c>
      <c r="G37" s="65" t="inlineStr">
        <is>
          <t>Negotiation</t>
        </is>
      </c>
      <c r="H37" s="74" t="n">
        <v>25789649.24</v>
      </c>
      <c r="I37" s="74" t="n">
        <v>3094757.9088</v>
      </c>
      <c r="J37" s="67" t="n">
        <v>46173</v>
      </c>
      <c r="K37" s="68">
        <f>IFERROR(VLOOKUP(G37,Stage_Lookup!$A$2:$B$8,2,0),"")</f>
        <v/>
      </c>
      <c r="L37" s="69" t="n"/>
      <c r="M37" s="69" t="n"/>
      <c r="N37" s="67" t="n"/>
      <c r="O37" s="87" t="inlineStr">
        <is>
          <t>Based on  April 27,2026 touchpoint with the client, they are still waiting for approval as they need to secure additional budget.</t>
        </is>
      </c>
      <c r="P37" s="65" t="n"/>
      <c r="Q37" s="106" t="n"/>
      <c r="R37" s="106" t="n"/>
      <c r="S37" s="106" t="n"/>
      <c r="T37">
        <f>IF(OR(G37="Closed Lost",G37="",NOT(ISNUMBER(H37))),"",H37)</f>
        <v/>
      </c>
    </row>
    <row r="38" ht="18" customHeight="1" s="96">
      <c r="A38" s="57" t="n">
        <v>37</v>
      </c>
      <c r="B38" s="70" t="inlineStr">
        <is>
          <t>BPO Third Party</t>
        </is>
      </c>
      <c r="C38" s="70" t="inlineStr">
        <is>
          <t>Zarrah</t>
        </is>
      </c>
      <c r="D38" s="70" t="inlineStr">
        <is>
          <t>AFNI -SM Sta Rosa</t>
        </is>
      </c>
      <c r="E38" s="70" t="inlineStr">
        <is>
          <t>Office Fitout 7F Tower 3</t>
        </is>
      </c>
      <c r="F38" s="71" t="n">
        <v>2500</v>
      </c>
      <c r="G38" s="70" t="inlineStr">
        <is>
          <t>Opportunity Creation</t>
        </is>
      </c>
      <c r="H38" s="75" t="n">
        <v>100000000</v>
      </c>
      <c r="I38" s="75" t="n">
        <v>15000000</v>
      </c>
      <c r="J38" s="72" t="n">
        <v>46203</v>
      </c>
      <c r="K38" s="73">
        <f>IFERROR(VLOOKUP(G38,Stage_Lookup!$A$2:$B$8,2,0),"")</f>
        <v/>
      </c>
      <c r="L38" s="69" t="n"/>
      <c r="M38" s="69" t="n"/>
      <c r="N38" s="72" t="n"/>
      <c r="O38" s="86" t="inlineStr">
        <is>
          <t>According to Flo, they are still finalizing the RFP</t>
        </is>
      </c>
      <c r="P38" s="70" t="n"/>
      <c r="Q38" s="106" t="n"/>
      <c r="R38" s="106" t="n"/>
      <c r="S38" s="106" t="n"/>
      <c r="T38">
        <f>IF(OR(G38="Closed Lost",G38="",NOT(ISNUMBER(H38))),"",H38)</f>
        <v/>
      </c>
    </row>
    <row r="39" ht="18" customHeight="1" s="96">
      <c r="A39" s="64" t="n">
        <v>38</v>
      </c>
      <c r="B39" s="65" t="inlineStr">
        <is>
          <t>BPO Third Party</t>
        </is>
      </c>
      <c r="C39" s="65" t="inlineStr">
        <is>
          <t>Zarrah/House Acount</t>
        </is>
      </c>
      <c r="D39" s="65" t="inlineStr">
        <is>
          <t xml:space="preserve">Teleperformance </t>
        </is>
      </c>
      <c r="E39" s="65" t="inlineStr">
        <is>
          <t xml:space="preserve">FUSA/TUSA </t>
        </is>
      </c>
      <c r="F39" s="66" t="n"/>
      <c r="G39" s="65" t="inlineStr">
        <is>
          <t>BOM Submission</t>
        </is>
      </c>
      <c r="H39" s="74" t="n">
        <v>203000000</v>
      </c>
      <c r="I39" s="74" t="n">
        <v>36540000</v>
      </c>
      <c r="J39" s="67" t="n">
        <v>46203</v>
      </c>
      <c r="K39" s="68">
        <f>IFERROR(VLOOKUP(G39,Stage_Lookup!$A$2:$B$8,2,0),"")</f>
        <v/>
      </c>
      <c r="L39" s="69" t="n"/>
      <c r="M39" s="69" t="n"/>
      <c r="N39" s="67" t="n"/>
      <c r="O39" s="65" t="inlineStr">
        <is>
          <t>Our final offer was submitted to the client on April 30, 2026. We are currently awaiting their approval. In the meantime, we will initiate a soft internal kickoff with the commercial and design teams to align on the layout schedule, renders, and bill of materials (BOM), ensuring everything stays within the ₱35K/sqm budget.</t>
        </is>
      </c>
      <c r="P39" s="65" t="n"/>
      <c r="Q39" s="106" t="n"/>
      <c r="R39" s="106" t="n"/>
      <c r="S39" s="106" t="n"/>
      <c r="T39">
        <f>IF(OR(G39="Closed Lost",G39="",NOT(ISNUMBER(H39))),"",H39)</f>
        <v/>
      </c>
    </row>
    <row r="40" ht="18" customHeight="1" s="96">
      <c r="A40" s="57" t="n">
        <v>39</v>
      </c>
      <c r="B40" s="70" t="inlineStr">
        <is>
          <t>Shared services</t>
        </is>
      </c>
      <c r="C40" s="70" t="inlineStr">
        <is>
          <t>Zarrah/House Acount</t>
        </is>
      </c>
      <c r="D40" s="70" t="inlineStr">
        <is>
          <t>ASA Philippines</t>
        </is>
      </c>
      <c r="E40" s="70" t="inlineStr">
        <is>
          <t xml:space="preserve">Design and Build Project </t>
        </is>
      </c>
      <c r="F40" s="71" t="n">
        <v>957</v>
      </c>
      <c r="G40" s="70" t="inlineStr">
        <is>
          <t>BOM Submission</t>
        </is>
      </c>
      <c r="H40" s="75" t="n">
        <v>30000000</v>
      </c>
      <c r="I40" s="75" t="n">
        <v>6000000</v>
      </c>
      <c r="J40" s="72" t="n">
        <v>46173</v>
      </c>
      <c r="K40" s="73">
        <f>IFERROR(VLOOKUP(G40,Stage_Lookup!$A$2:$B$8,2,0),"")</f>
        <v/>
      </c>
      <c r="L40" s="69" t="n"/>
      <c r="M40" s="69" t="n"/>
      <c r="N40" s="72" t="n"/>
      <c r="O40" s="70" t="n"/>
      <c r="P40" s="70" t="n"/>
      <c r="Q40" s="106" t="n"/>
      <c r="R40" s="106" t="n"/>
      <c r="S40" s="106" t="n"/>
      <c r="T40">
        <f>IF(OR(G40="Closed Lost",G40="",NOT(ISNUMBER(H40))),"",H40)</f>
        <v/>
      </c>
    </row>
    <row r="41" ht="18" customHeight="1" s="96">
      <c r="A41" s="64" t="n">
        <v>40</v>
      </c>
      <c r="B41" s="65" t="n"/>
      <c r="C41" s="65" t="n"/>
      <c r="D41" s="65" t="n"/>
      <c r="E41" s="65" t="n"/>
      <c r="F41" s="66" t="n"/>
      <c r="G41" s="65" t="n"/>
      <c r="H41" s="74" t="n"/>
      <c r="I41" s="74" t="n"/>
      <c r="J41" s="67" t="n"/>
      <c r="K41" s="68">
        <f>IFERROR(VLOOKUP(G41,Stage_Lookup!$A$2:$B$8,2,0),"")</f>
        <v/>
      </c>
      <c r="L41" s="69" t="n"/>
      <c r="M41" s="69" t="n"/>
      <c r="N41" s="67" t="n"/>
      <c r="O41" s="65" t="n"/>
      <c r="P41" s="65" t="n"/>
      <c r="Q41" s="106" t="n"/>
      <c r="R41" s="106" t="n"/>
      <c r="S41" s="106" t="n"/>
      <c r="T41">
        <f>IF(OR(G41="Closed Lost",G41="",NOT(ISNUMBER(H41))),"",H41)</f>
        <v/>
      </c>
    </row>
    <row r="42" ht="18" customHeight="1" s="96">
      <c r="A42" s="57" t="n">
        <v>41</v>
      </c>
      <c r="B42" s="70" t="n"/>
      <c r="C42" s="70" t="n"/>
      <c r="D42" s="70" t="n"/>
      <c r="E42" s="70" t="n"/>
      <c r="F42" s="71" t="n"/>
      <c r="G42" s="70" t="n"/>
      <c r="H42" s="75" t="n"/>
      <c r="I42" s="75" t="n"/>
      <c r="J42" s="72" t="n"/>
      <c r="K42" s="73">
        <f>IFERROR(VLOOKUP(G42,Stage_Lookup!$A$2:$B$8,2,0),"")</f>
        <v/>
      </c>
      <c r="L42" s="69" t="n"/>
      <c r="M42" s="69" t="n"/>
      <c r="N42" s="72" t="n"/>
      <c r="O42" s="70" t="n"/>
      <c r="P42" s="70" t="n"/>
      <c r="Q42" s="106" t="n"/>
      <c r="R42" s="106" t="n"/>
      <c r="S42" s="106" t="n"/>
      <c r="T42">
        <f>IF(OR(G42="Closed Lost",G42="",NOT(ISNUMBER(H42))),"",H42)</f>
        <v/>
      </c>
    </row>
    <row r="43" ht="18" customHeight="1" s="96">
      <c r="A43" s="64" t="n">
        <v>42</v>
      </c>
      <c r="B43" s="65" t="n"/>
      <c r="C43" s="65" t="n"/>
      <c r="D43" s="65" t="n"/>
      <c r="E43" s="65" t="n"/>
      <c r="F43" s="66" t="n"/>
      <c r="G43" s="65" t="n"/>
      <c r="H43" s="74" t="n"/>
      <c r="I43" s="74" t="n"/>
      <c r="J43" s="67" t="n"/>
      <c r="K43" s="68">
        <f>IFERROR(VLOOKUP(G43,Stage_Lookup!$A$2:$B$8,2,0),"")</f>
        <v/>
      </c>
      <c r="L43" s="69" t="n"/>
      <c r="M43" s="69" t="n"/>
      <c r="N43" s="67" t="n"/>
      <c r="O43" s="65" t="n"/>
      <c r="P43" s="65" t="n"/>
      <c r="Q43" s="106" t="n"/>
      <c r="R43" s="106" t="n"/>
      <c r="S43" s="106" t="n"/>
      <c r="T43">
        <f>IF(OR(G43="Closed Lost",G43="",NOT(ISNUMBER(H43))),"",H43)</f>
        <v/>
      </c>
    </row>
    <row r="44" ht="18" customHeight="1" s="96">
      <c r="A44" s="57" t="n">
        <v>43</v>
      </c>
      <c r="B44" s="70" t="n"/>
      <c r="C44" s="70" t="n"/>
      <c r="D44" s="70" t="n"/>
      <c r="E44" s="70" t="n"/>
      <c r="F44" s="71" t="n"/>
      <c r="G44" s="70" t="n"/>
      <c r="H44" s="75" t="n"/>
      <c r="I44" s="75" t="n"/>
      <c r="J44" s="72" t="n"/>
      <c r="K44" s="73">
        <f>IFERROR(VLOOKUP(G44,Stage_Lookup!$A$2:$B$8,2,0),"")</f>
        <v/>
      </c>
      <c r="L44" s="69" t="n"/>
      <c r="M44" s="69" t="n"/>
      <c r="N44" s="72" t="n"/>
      <c r="O44" s="70" t="n"/>
      <c r="P44" s="70" t="n"/>
      <c r="Q44" s="106" t="n"/>
      <c r="R44" s="106" t="n"/>
      <c r="S44" s="106" t="n"/>
      <c r="T44">
        <f>IF(OR(G44="Closed Lost",G44="",NOT(ISNUMBER(H44))),"",H44)</f>
        <v/>
      </c>
    </row>
    <row r="45" ht="18" customHeight="1" s="96">
      <c r="A45" s="64" t="n">
        <v>44</v>
      </c>
      <c r="B45" s="65" t="n"/>
      <c r="C45" s="65" t="n"/>
      <c r="D45" s="65" t="n"/>
      <c r="E45" s="65" t="n"/>
      <c r="F45" s="66" t="n"/>
      <c r="G45" s="65" t="n"/>
      <c r="H45" s="74" t="n"/>
      <c r="I45" s="74" t="n"/>
      <c r="J45" s="67" t="n"/>
      <c r="K45" s="68">
        <f>IFERROR(VLOOKUP(G45,Stage_Lookup!$A$2:$B$8,2,0),"")</f>
        <v/>
      </c>
      <c r="L45" s="69" t="n"/>
      <c r="M45" s="69" t="n"/>
      <c r="N45" s="67" t="n"/>
      <c r="O45" s="65" t="n"/>
      <c r="P45" s="65" t="n"/>
      <c r="Q45" s="106" t="n"/>
      <c r="R45" s="106" t="n"/>
      <c r="S45" s="106" t="n"/>
      <c r="T45">
        <f>IF(OR(G45="Closed Lost",G45="",NOT(ISNUMBER(H45))),"",H45)</f>
        <v/>
      </c>
    </row>
    <row r="46" ht="18" customHeight="1" s="96">
      <c r="A46" s="57" t="n">
        <v>45</v>
      </c>
      <c r="B46" s="70" t="n"/>
      <c r="C46" s="70" t="n"/>
      <c r="D46" s="70" t="n"/>
      <c r="E46" s="70" t="n"/>
      <c r="F46" s="71" t="n"/>
      <c r="G46" s="70" t="n"/>
      <c r="H46" s="75" t="n"/>
      <c r="I46" s="75" t="n"/>
      <c r="J46" s="72" t="n"/>
      <c r="K46" s="73">
        <f>IFERROR(VLOOKUP(G46,Stage_Lookup!$A$2:$B$8,2,0),"")</f>
        <v/>
      </c>
      <c r="L46" s="69" t="n"/>
      <c r="M46" s="69" t="n"/>
      <c r="N46" s="72" t="n"/>
      <c r="O46" s="70" t="n"/>
      <c r="P46" s="70" t="n"/>
      <c r="Q46" s="106" t="n"/>
      <c r="R46" s="106" t="n"/>
      <c r="S46" s="106" t="n"/>
      <c r="T46">
        <f>IF(OR(G46="Closed Lost",G46="",NOT(ISNUMBER(H46))),"",H46)</f>
        <v/>
      </c>
    </row>
    <row r="47" ht="18" customHeight="1" s="96">
      <c r="A47" s="64" t="n">
        <v>46</v>
      </c>
      <c r="B47" s="65" t="n"/>
      <c r="C47" s="65" t="n"/>
      <c r="D47" s="65" t="n"/>
      <c r="E47" s="65" t="n"/>
      <c r="F47" s="66" t="n"/>
      <c r="G47" s="65" t="n"/>
      <c r="H47" s="74" t="n"/>
      <c r="I47" s="74" t="n"/>
      <c r="J47" s="67" t="n"/>
      <c r="K47" s="68">
        <f>IFERROR(VLOOKUP(G47,Stage_Lookup!$A$2:$B$8,2,0),"")</f>
        <v/>
      </c>
      <c r="L47" s="69" t="n"/>
      <c r="M47" s="69" t="n"/>
      <c r="N47" s="67" t="n"/>
      <c r="O47" s="65" t="n"/>
      <c r="P47" s="65" t="n"/>
      <c r="Q47" s="106" t="n"/>
      <c r="R47" s="106" t="n"/>
      <c r="S47" s="106" t="n"/>
      <c r="T47">
        <f>IF(OR(G47="Closed Lost",G47="",NOT(ISNUMBER(H47))),"",H47)</f>
        <v/>
      </c>
    </row>
    <row r="48" ht="18" customHeight="1" s="96">
      <c r="A48" s="57" t="n">
        <v>47</v>
      </c>
      <c r="B48" s="70" t="n"/>
      <c r="C48" s="70" t="n"/>
      <c r="D48" s="70" t="n"/>
      <c r="E48" s="70" t="n"/>
      <c r="F48" s="71" t="n"/>
      <c r="G48" s="70" t="n"/>
      <c r="H48" s="75" t="n"/>
      <c r="I48" s="75" t="n"/>
      <c r="J48" s="72" t="n"/>
      <c r="K48" s="73">
        <f>IFERROR(VLOOKUP(G48,Stage_Lookup!$A$2:$B$8,2,0),"")</f>
        <v/>
      </c>
      <c r="L48" s="69" t="n"/>
      <c r="M48" s="69" t="n"/>
      <c r="N48" s="72" t="n"/>
      <c r="O48" s="70" t="n"/>
      <c r="P48" s="70" t="n"/>
      <c r="Q48" s="106" t="n"/>
      <c r="R48" s="106" t="n"/>
      <c r="S48" s="106" t="n"/>
      <c r="T48">
        <f>IF(OR(G48="Closed Lost",G48="",NOT(ISNUMBER(H48))),"",H48)</f>
        <v/>
      </c>
    </row>
    <row r="49" ht="18" customHeight="1" s="96">
      <c r="A49" s="64" t="n">
        <v>48</v>
      </c>
      <c r="B49" s="65" t="n"/>
      <c r="C49" s="65" t="n"/>
      <c r="D49" s="65" t="n"/>
      <c r="E49" s="65" t="n"/>
      <c r="F49" s="66" t="n"/>
      <c r="G49" s="65" t="n"/>
      <c r="H49" s="74" t="n"/>
      <c r="I49" s="74" t="n"/>
      <c r="J49" s="67" t="n"/>
      <c r="K49" s="68">
        <f>IFERROR(VLOOKUP(G49,Stage_Lookup!$A$2:$B$8,2,0),"")</f>
        <v/>
      </c>
      <c r="L49" s="69" t="n"/>
      <c r="M49" s="69" t="n"/>
      <c r="N49" s="67" t="n"/>
      <c r="O49" s="65" t="n"/>
      <c r="P49" s="65" t="n"/>
      <c r="Q49" s="106" t="n"/>
      <c r="R49" s="106" t="n"/>
      <c r="S49" s="106" t="n"/>
      <c r="T49">
        <f>IF(OR(G49="Closed Lost",G49="",NOT(ISNUMBER(H49))),"",H49)</f>
        <v/>
      </c>
    </row>
    <row r="50" ht="18" customHeight="1" s="96">
      <c r="A50" s="57" t="n">
        <v>49</v>
      </c>
      <c r="B50" s="70" t="n"/>
      <c r="C50" s="70" t="n"/>
      <c r="D50" s="70" t="n"/>
      <c r="E50" s="70" t="n"/>
      <c r="F50" s="71" t="n"/>
      <c r="G50" s="70" t="n"/>
      <c r="H50" s="75" t="n"/>
      <c r="I50" s="75" t="n"/>
      <c r="J50" s="72" t="n"/>
      <c r="K50" s="73">
        <f>IFERROR(VLOOKUP(G50,Stage_Lookup!$A$2:$B$8,2,0),"")</f>
        <v/>
      </c>
      <c r="L50" s="69" t="n"/>
      <c r="M50" s="69" t="n"/>
      <c r="N50" s="72" t="n"/>
      <c r="O50" s="70" t="n"/>
      <c r="P50" s="70" t="n"/>
      <c r="Q50" s="106" t="n"/>
      <c r="R50" s="106" t="n"/>
      <c r="S50" s="106" t="n"/>
      <c r="T50">
        <f>IF(OR(G50="Closed Lost",G50="",NOT(ISNUMBER(H50))),"",H50)</f>
        <v/>
      </c>
    </row>
    <row r="51" ht="18" customHeight="1" s="96">
      <c r="A51" s="64" t="n">
        <v>50</v>
      </c>
      <c r="B51" s="65" t="n"/>
      <c r="C51" s="65" t="n"/>
      <c r="D51" s="65" t="n"/>
      <c r="E51" s="65" t="n"/>
      <c r="F51" s="66" t="n"/>
      <c r="G51" s="65" t="n"/>
      <c r="H51" s="74" t="n"/>
      <c r="I51" s="74" t="n"/>
      <c r="J51" s="67" t="n"/>
      <c r="K51" s="68">
        <f>IFERROR(VLOOKUP(G51,Stage_Lookup!$A$2:$B$8,2,0),"")</f>
        <v/>
      </c>
      <c r="L51" s="69" t="n"/>
      <c r="M51" s="69" t="n"/>
      <c r="N51" s="67" t="n"/>
      <c r="O51" s="65" t="n"/>
      <c r="P51" s="65" t="n"/>
      <c r="Q51" s="106" t="n"/>
      <c r="R51" s="106" t="n"/>
      <c r="S51" s="106" t="n"/>
      <c r="T51">
        <f>IF(OR(G51="Closed Lost",G51="",NOT(ISNUMBER(H51))),"",H51)</f>
        <v/>
      </c>
    </row>
    <row r="52" ht="18" customHeight="1" s="96">
      <c r="A52" s="57" t="n">
        <v>51</v>
      </c>
      <c r="B52" s="70" t="n"/>
      <c r="C52" s="70" t="n"/>
      <c r="D52" s="70" t="n"/>
      <c r="E52" s="70" t="n"/>
      <c r="F52" s="71" t="n"/>
      <c r="G52" s="70" t="n"/>
      <c r="H52" s="75" t="n"/>
      <c r="I52" s="75" t="n"/>
      <c r="J52" s="72" t="n"/>
      <c r="K52" s="73">
        <f>IFERROR(VLOOKUP(G52,Stage_Lookup!$A$2:$B$8,2,0),"")</f>
        <v/>
      </c>
      <c r="L52" s="69" t="n"/>
      <c r="M52" s="69" t="n"/>
      <c r="N52" s="72" t="n"/>
      <c r="O52" s="70" t="n"/>
      <c r="P52" s="70" t="n"/>
      <c r="Q52" s="106" t="n"/>
      <c r="R52" s="106" t="n"/>
      <c r="S52" s="106" t="n"/>
      <c r="T52">
        <f>IF(OR(G52="Closed Lost",G52="",NOT(ISNUMBER(H52))),"",H52)</f>
        <v/>
      </c>
    </row>
    <row r="53" ht="18" customHeight="1" s="96">
      <c r="A53" s="64" t="n">
        <v>52</v>
      </c>
      <c r="B53" s="65" t="n"/>
      <c r="C53" s="65" t="n"/>
      <c r="D53" s="65" t="n"/>
      <c r="E53" s="65" t="n"/>
      <c r="F53" s="66" t="n"/>
      <c r="G53" s="65" t="n"/>
      <c r="H53" s="74" t="n"/>
      <c r="I53" s="74" t="n"/>
      <c r="J53" s="67" t="n"/>
      <c r="K53" s="68">
        <f>IFERROR(VLOOKUP(G53,Stage_Lookup!$A$2:$B$8,2,0),"")</f>
        <v/>
      </c>
      <c r="L53" s="69" t="n"/>
      <c r="M53" s="69" t="n"/>
      <c r="N53" s="67" t="n"/>
      <c r="O53" s="65" t="n"/>
      <c r="P53" s="65" t="n"/>
      <c r="Q53" s="106" t="n"/>
      <c r="R53" s="106" t="n"/>
      <c r="S53" s="106" t="n"/>
      <c r="T53">
        <f>IF(OR(G53="Closed Lost",G53="",NOT(ISNUMBER(H53))),"",H53)</f>
        <v/>
      </c>
    </row>
    <row r="54" ht="18" customHeight="1" s="96">
      <c r="A54" s="57" t="n">
        <v>53</v>
      </c>
      <c r="B54" s="70" t="n"/>
      <c r="C54" s="70" t="n"/>
      <c r="D54" s="70" t="n"/>
      <c r="E54" s="70" t="n"/>
      <c r="F54" s="71" t="n"/>
      <c r="G54" s="70" t="n"/>
      <c r="H54" s="75" t="n"/>
      <c r="I54" s="75" t="n"/>
      <c r="J54" s="72" t="n"/>
      <c r="K54" s="73">
        <f>IFERROR(VLOOKUP(G54,Stage_Lookup!$A$2:$B$8,2,0),"")</f>
        <v/>
      </c>
      <c r="L54" s="69" t="n"/>
      <c r="M54" s="69" t="n"/>
      <c r="N54" s="72" t="n"/>
      <c r="O54" s="70" t="n"/>
      <c r="P54" s="70" t="n"/>
      <c r="Q54" s="106" t="n"/>
      <c r="R54" s="106" t="n"/>
      <c r="S54" s="106" t="n"/>
      <c r="T54">
        <f>IF(OR(G54="Closed Lost",G54="",NOT(ISNUMBER(H54))),"",H54)</f>
        <v/>
      </c>
    </row>
    <row r="55" ht="18" customHeight="1" s="96">
      <c r="A55" s="64" t="n">
        <v>54</v>
      </c>
      <c r="B55" s="65" t="n"/>
      <c r="C55" s="65" t="n"/>
      <c r="D55" s="65" t="n"/>
      <c r="E55" s="65" t="n"/>
      <c r="F55" s="66" t="n"/>
      <c r="G55" s="65" t="n"/>
      <c r="H55" s="74" t="n"/>
      <c r="I55" s="74" t="n"/>
      <c r="J55" s="67" t="n"/>
      <c r="K55" s="68">
        <f>IFERROR(VLOOKUP(G55,Stage_Lookup!$A$2:$B$8,2,0),"")</f>
        <v/>
      </c>
      <c r="L55" s="69" t="n"/>
      <c r="M55" s="69" t="n"/>
      <c r="N55" s="67" t="n"/>
      <c r="O55" s="65" t="n"/>
      <c r="P55" s="65" t="n"/>
      <c r="Q55" s="106" t="n"/>
      <c r="R55" s="106" t="n"/>
      <c r="S55" s="106" t="n"/>
      <c r="T55">
        <f>IF(OR(G55="Closed Lost",G55="",NOT(ISNUMBER(H55))),"",H55)</f>
        <v/>
      </c>
    </row>
    <row r="56" ht="18" customHeight="1" s="96">
      <c r="A56" s="57" t="n">
        <v>55</v>
      </c>
      <c r="B56" s="70" t="n"/>
      <c r="C56" s="70" t="n"/>
      <c r="D56" s="70" t="n"/>
      <c r="E56" s="70" t="n"/>
      <c r="F56" s="71" t="n"/>
      <c r="G56" s="70" t="n"/>
      <c r="H56" s="75" t="n"/>
      <c r="I56" s="75" t="n"/>
      <c r="J56" s="72" t="n"/>
      <c r="K56" s="73">
        <f>IFERROR(VLOOKUP(G56,Stage_Lookup!$A$2:$B$8,2,0),"")</f>
        <v/>
      </c>
      <c r="L56" s="69" t="n"/>
      <c r="M56" s="69" t="n"/>
      <c r="N56" s="72" t="n"/>
      <c r="O56" s="70" t="n"/>
      <c r="P56" s="70" t="n"/>
      <c r="Q56" s="106" t="n"/>
      <c r="R56" s="106" t="n"/>
      <c r="S56" s="106" t="n"/>
      <c r="T56">
        <f>IF(OR(G56="Closed Lost",G56="",NOT(ISNUMBER(H56))),"",H56)</f>
        <v/>
      </c>
    </row>
    <row r="57" ht="18" customHeight="1" s="96">
      <c r="A57" s="64" t="n">
        <v>56</v>
      </c>
      <c r="B57" s="65" t="n"/>
      <c r="C57" s="65" t="n"/>
      <c r="D57" s="65" t="n"/>
      <c r="E57" s="65" t="n"/>
      <c r="F57" s="66" t="n"/>
      <c r="G57" s="65" t="n"/>
      <c r="H57" s="74" t="n"/>
      <c r="I57" s="74" t="n"/>
      <c r="J57" s="67" t="n"/>
      <c r="K57" s="68">
        <f>IFERROR(VLOOKUP(G57,Stage_Lookup!$A$2:$B$8,2,0),"")</f>
        <v/>
      </c>
      <c r="L57" s="69" t="n"/>
      <c r="M57" s="69" t="n"/>
      <c r="N57" s="67" t="n"/>
      <c r="O57" s="65" t="n"/>
      <c r="P57" s="65" t="n"/>
      <c r="Q57" s="106" t="n"/>
      <c r="R57" s="106" t="n"/>
      <c r="S57" s="106" t="n"/>
      <c r="T57">
        <f>IF(OR(G57="Closed Lost",G57="",NOT(ISNUMBER(H57))),"",H57)</f>
        <v/>
      </c>
    </row>
    <row r="58" ht="18" customHeight="1" s="96">
      <c r="A58" s="57" t="n">
        <v>57</v>
      </c>
      <c r="B58" s="70" t="n"/>
      <c r="C58" s="70" t="n"/>
      <c r="D58" s="70" t="n"/>
      <c r="E58" s="70" t="n"/>
      <c r="F58" s="71" t="n"/>
      <c r="G58" s="70" t="n"/>
      <c r="H58" s="75" t="n"/>
      <c r="I58" s="75" t="n"/>
      <c r="J58" s="72" t="n"/>
      <c r="K58" s="73">
        <f>IFERROR(VLOOKUP(G58,Stage_Lookup!$A$2:$B$8,2,0),"")</f>
        <v/>
      </c>
      <c r="L58" s="69" t="n"/>
      <c r="M58" s="69" t="n"/>
      <c r="N58" s="72" t="n"/>
      <c r="O58" s="70" t="n"/>
      <c r="P58" s="70" t="n"/>
      <c r="Q58" s="106" t="n"/>
      <c r="R58" s="106" t="n"/>
      <c r="S58" s="106" t="n"/>
      <c r="T58">
        <f>IF(OR(G58="Closed Lost",G58="",NOT(ISNUMBER(H58))),"",H58)</f>
        <v/>
      </c>
    </row>
    <row r="59" ht="18" customHeight="1" s="96">
      <c r="A59" s="64" t="n">
        <v>58</v>
      </c>
      <c r="B59" s="65" t="n"/>
      <c r="C59" s="65" t="n"/>
      <c r="D59" s="65" t="n"/>
      <c r="E59" s="65" t="n"/>
      <c r="F59" s="66" t="n"/>
      <c r="G59" s="65" t="n"/>
      <c r="H59" s="74" t="n"/>
      <c r="I59" s="74" t="n"/>
      <c r="J59" s="67" t="n"/>
      <c r="K59" s="68">
        <f>IFERROR(VLOOKUP(G59,Stage_Lookup!$A$2:$B$8,2,0),"")</f>
        <v/>
      </c>
      <c r="L59" s="69" t="n"/>
      <c r="M59" s="69" t="n"/>
      <c r="N59" s="67" t="n"/>
      <c r="O59" s="65" t="n"/>
      <c r="P59" s="65" t="n"/>
      <c r="Q59" s="106" t="n"/>
      <c r="R59" s="106" t="n"/>
      <c r="S59" s="106" t="n"/>
      <c r="T59">
        <f>IF(OR(G59="Closed Lost",G59="",NOT(ISNUMBER(H59))),"",H59)</f>
        <v/>
      </c>
    </row>
    <row r="60" ht="18" customHeight="1" s="96">
      <c r="A60" s="57" t="n">
        <v>59</v>
      </c>
      <c r="B60" s="70" t="n"/>
      <c r="C60" s="70" t="n"/>
      <c r="D60" s="70" t="n"/>
      <c r="E60" s="70" t="n"/>
      <c r="F60" s="71" t="n"/>
      <c r="G60" s="70" t="n"/>
      <c r="H60" s="75" t="n"/>
      <c r="I60" s="75" t="n"/>
      <c r="J60" s="72" t="n"/>
      <c r="K60" s="73">
        <f>IFERROR(VLOOKUP(G60,Stage_Lookup!$A$2:$B$8,2,0),"")</f>
        <v/>
      </c>
      <c r="L60" s="69" t="n"/>
      <c r="M60" s="69" t="n"/>
      <c r="N60" s="72" t="n"/>
      <c r="O60" s="70" t="n"/>
      <c r="P60" s="70" t="n"/>
      <c r="Q60" s="106" t="n"/>
      <c r="R60" s="106" t="n"/>
      <c r="S60" s="106" t="n"/>
      <c r="T60">
        <f>IF(OR(G60="Closed Lost",G60="",NOT(ISNUMBER(H60))),"",H60)</f>
        <v/>
      </c>
    </row>
    <row r="61" ht="18" customHeight="1" s="96">
      <c r="A61" s="64" t="n">
        <v>60</v>
      </c>
      <c r="B61" s="65" t="n"/>
      <c r="C61" s="65" t="n"/>
      <c r="D61" s="65" t="n"/>
      <c r="E61" s="65" t="n"/>
      <c r="F61" s="66" t="n"/>
      <c r="G61" s="65" t="n"/>
      <c r="H61" s="74" t="n"/>
      <c r="I61" s="74" t="n"/>
      <c r="J61" s="67" t="n"/>
      <c r="K61" s="68">
        <f>IFERROR(VLOOKUP(G61,Stage_Lookup!$A$2:$B$8,2,0),"")</f>
        <v/>
      </c>
      <c r="L61" s="69" t="n"/>
      <c r="M61" s="69" t="n"/>
      <c r="N61" s="67" t="n"/>
      <c r="O61" s="65" t="n"/>
      <c r="P61" s="65" t="n"/>
      <c r="Q61" s="106" t="n"/>
      <c r="R61" s="106" t="n"/>
      <c r="S61" s="106" t="n"/>
      <c r="T61">
        <f>IF(OR(G61="Closed Lost",G61="",NOT(ISNUMBER(H61))),"",H61)</f>
        <v/>
      </c>
    </row>
    <row r="62" ht="18" customHeight="1" s="96">
      <c r="A62" s="57" t="n">
        <v>61</v>
      </c>
      <c r="B62" s="70" t="n"/>
      <c r="C62" s="70" t="n"/>
      <c r="D62" s="70" t="n"/>
      <c r="E62" s="70" t="n"/>
      <c r="F62" s="71" t="n"/>
      <c r="G62" s="70" t="n"/>
      <c r="H62" s="75" t="n"/>
      <c r="I62" s="75" t="n"/>
      <c r="J62" s="72" t="n"/>
      <c r="K62" s="73">
        <f>IFERROR(VLOOKUP(G62,Stage_Lookup!$A$2:$B$8,2,0),"")</f>
        <v/>
      </c>
      <c r="L62" s="69" t="n"/>
      <c r="M62" s="69" t="n"/>
      <c r="N62" s="72" t="n"/>
      <c r="O62" s="70" t="n"/>
      <c r="P62" s="70" t="n"/>
      <c r="Q62" s="106" t="n"/>
      <c r="R62" s="106" t="n"/>
      <c r="S62" s="106" t="n"/>
      <c r="T62">
        <f>IF(OR(G62="Closed Lost",G62="",NOT(ISNUMBER(H62))),"",H62)</f>
        <v/>
      </c>
    </row>
    <row r="63" ht="18" customHeight="1" s="96">
      <c r="A63" s="64" t="n">
        <v>62</v>
      </c>
      <c r="B63" s="65" t="n"/>
      <c r="C63" s="65" t="n"/>
      <c r="D63" s="65" t="n"/>
      <c r="E63" s="65" t="n"/>
      <c r="F63" s="66" t="n"/>
      <c r="G63" s="65" t="n"/>
      <c r="H63" s="74" t="n"/>
      <c r="I63" s="74" t="n"/>
      <c r="J63" s="67" t="n"/>
      <c r="K63" s="68">
        <f>IFERROR(VLOOKUP(G63,Stage_Lookup!$A$2:$B$8,2,0),"")</f>
        <v/>
      </c>
      <c r="L63" s="69" t="n"/>
      <c r="M63" s="69" t="n"/>
      <c r="N63" s="67" t="n"/>
      <c r="O63" s="65" t="n"/>
      <c r="P63" s="65" t="n"/>
      <c r="Q63" s="106" t="n"/>
      <c r="R63" s="106" t="n"/>
      <c r="S63" s="106" t="n"/>
      <c r="T63">
        <f>IF(OR(G63="Closed Lost",G63="",NOT(ISNUMBER(H63))),"",H63)</f>
        <v/>
      </c>
    </row>
    <row r="64" ht="18" customHeight="1" s="96">
      <c r="A64" s="57" t="n">
        <v>63</v>
      </c>
      <c r="B64" s="70" t="n"/>
      <c r="C64" s="70" t="n"/>
      <c r="D64" s="70" t="n"/>
      <c r="E64" s="70" t="n"/>
      <c r="F64" s="71" t="n"/>
      <c r="G64" s="70" t="n"/>
      <c r="H64" s="75" t="n"/>
      <c r="I64" s="75" t="n"/>
      <c r="J64" s="72" t="n"/>
      <c r="K64" s="73">
        <f>IFERROR(VLOOKUP(G64,Stage_Lookup!$A$2:$B$8,2,0),"")</f>
        <v/>
      </c>
      <c r="L64" s="69" t="n"/>
      <c r="M64" s="69" t="n"/>
      <c r="N64" s="72" t="n"/>
      <c r="O64" s="70" t="n"/>
      <c r="P64" s="70" t="n"/>
      <c r="Q64" s="106" t="n"/>
      <c r="R64" s="106" t="n"/>
      <c r="S64" s="106" t="n"/>
      <c r="T64">
        <f>IF(OR(G64="Closed Lost",G64="",NOT(ISNUMBER(H64))),"",H64)</f>
        <v/>
      </c>
    </row>
    <row r="65" ht="18" customHeight="1" s="96">
      <c r="A65" s="64" t="n">
        <v>64</v>
      </c>
      <c r="B65" s="65" t="n"/>
      <c r="C65" s="65" t="n"/>
      <c r="D65" s="65" t="n"/>
      <c r="E65" s="65" t="n"/>
      <c r="F65" s="66" t="n"/>
      <c r="G65" s="65" t="n"/>
      <c r="H65" s="74" t="n"/>
      <c r="I65" s="74" t="n"/>
      <c r="J65" s="67" t="n"/>
      <c r="K65" s="68">
        <f>IFERROR(VLOOKUP(G65,Stage_Lookup!$A$2:$B$8,2,0),"")</f>
        <v/>
      </c>
      <c r="L65" s="69" t="n"/>
      <c r="M65" s="69" t="n"/>
      <c r="N65" s="67" t="n"/>
      <c r="O65" s="65" t="n"/>
      <c r="P65" s="65" t="n"/>
      <c r="Q65" s="106" t="n"/>
      <c r="R65" s="106" t="n"/>
      <c r="S65" s="106" t="n"/>
      <c r="T65">
        <f>IF(OR(G65="Closed Lost",G65="",NOT(ISNUMBER(H65))),"",H65)</f>
        <v/>
      </c>
    </row>
    <row r="66" ht="18" customHeight="1" s="96">
      <c r="A66" s="57" t="n">
        <v>65</v>
      </c>
      <c r="B66" s="70" t="n"/>
      <c r="C66" s="70" t="n"/>
      <c r="D66" s="70" t="n"/>
      <c r="E66" s="70" t="n"/>
      <c r="F66" s="71" t="n"/>
      <c r="G66" s="70" t="n"/>
      <c r="H66" s="75" t="n"/>
      <c r="I66" s="75" t="n"/>
      <c r="J66" s="72" t="n"/>
      <c r="K66" s="73">
        <f>IFERROR(VLOOKUP(G66,Stage_Lookup!$A$2:$B$8,2,0),"")</f>
        <v/>
      </c>
      <c r="L66" s="69" t="n"/>
      <c r="M66" s="69" t="n"/>
      <c r="N66" s="72" t="n"/>
      <c r="O66" s="70" t="n"/>
      <c r="P66" s="70" t="n"/>
      <c r="Q66" s="106" t="n"/>
      <c r="R66" s="106" t="n"/>
      <c r="S66" s="106" t="n"/>
      <c r="T66">
        <f>IF(OR(G66="Closed Lost",G66="",NOT(ISNUMBER(H66))),"",H66)</f>
        <v/>
      </c>
    </row>
    <row r="67" ht="18" customHeight="1" s="96">
      <c r="A67" s="64" t="n">
        <v>66</v>
      </c>
      <c r="B67" s="65" t="n"/>
      <c r="C67" s="65" t="n"/>
      <c r="D67" s="65" t="n"/>
      <c r="E67" s="65" t="n"/>
      <c r="F67" s="66" t="n"/>
      <c r="G67" s="65" t="n"/>
      <c r="H67" s="74" t="n"/>
      <c r="I67" s="74" t="n"/>
      <c r="J67" s="67" t="n"/>
      <c r="K67" s="68">
        <f>IFERROR(VLOOKUP(G67,Stage_Lookup!$A$2:$B$8,2,0),"")</f>
        <v/>
      </c>
      <c r="L67" s="69" t="n"/>
      <c r="M67" s="69" t="n"/>
      <c r="N67" s="67" t="n"/>
      <c r="O67" s="65" t="n"/>
      <c r="P67" s="65" t="n"/>
      <c r="Q67" s="106" t="n"/>
      <c r="R67" s="106" t="n"/>
      <c r="S67" s="106" t="n"/>
      <c r="T67">
        <f>IF(OR(G67="Closed Lost",G67="",NOT(ISNUMBER(H67))),"",H67)</f>
        <v/>
      </c>
    </row>
    <row r="68" ht="18" customHeight="1" s="96">
      <c r="A68" s="57" t="n">
        <v>67</v>
      </c>
      <c r="B68" s="70" t="n"/>
      <c r="C68" s="70" t="n"/>
      <c r="D68" s="70" t="n"/>
      <c r="E68" s="70" t="n"/>
      <c r="F68" s="71" t="n"/>
      <c r="G68" s="70" t="n"/>
      <c r="H68" s="75" t="n"/>
      <c r="I68" s="75" t="n"/>
      <c r="J68" s="72" t="n"/>
      <c r="K68" s="73">
        <f>IFERROR(VLOOKUP(G68,Stage_Lookup!$A$2:$B$8,2,0),"")</f>
        <v/>
      </c>
      <c r="L68" s="69" t="n"/>
      <c r="M68" s="69" t="n"/>
      <c r="N68" s="72" t="n"/>
      <c r="O68" s="70" t="n"/>
      <c r="P68" s="70" t="n"/>
      <c r="Q68" s="106" t="n"/>
      <c r="R68" s="106" t="n"/>
      <c r="S68" s="106" t="n"/>
      <c r="T68">
        <f>IF(OR(G68="Closed Lost",G68="",NOT(ISNUMBER(H68))),"",H68)</f>
        <v/>
      </c>
    </row>
    <row r="69" ht="18" customHeight="1" s="96">
      <c r="A69" s="64" t="n">
        <v>68</v>
      </c>
      <c r="B69" s="65" t="n"/>
      <c r="C69" s="65" t="n"/>
      <c r="D69" s="65" t="n"/>
      <c r="E69" s="65" t="n"/>
      <c r="F69" s="66" t="n"/>
      <c r="G69" s="65" t="n"/>
      <c r="H69" s="74" t="n"/>
      <c r="I69" s="74" t="n"/>
      <c r="J69" s="67" t="n"/>
      <c r="K69" s="68">
        <f>IFERROR(VLOOKUP(G69,Stage_Lookup!$A$2:$B$8,2,0),"")</f>
        <v/>
      </c>
      <c r="L69" s="69" t="n"/>
      <c r="M69" s="69" t="n"/>
      <c r="N69" s="67" t="n"/>
      <c r="O69" s="65" t="n"/>
      <c r="P69" s="65" t="n"/>
      <c r="Q69" s="106" t="n"/>
      <c r="R69" s="106" t="n"/>
      <c r="S69" s="106" t="n"/>
      <c r="T69">
        <f>IF(OR(G69="Closed Lost",G69="",NOT(ISNUMBER(H69))),"",H69)</f>
        <v/>
      </c>
    </row>
    <row r="70" ht="18" customHeight="1" s="96">
      <c r="A70" s="57" t="n">
        <v>69</v>
      </c>
      <c r="B70" s="70" t="n"/>
      <c r="C70" s="70" t="n"/>
      <c r="D70" s="70" t="n"/>
      <c r="E70" s="70" t="n"/>
      <c r="F70" s="71" t="n"/>
      <c r="G70" s="70" t="n"/>
      <c r="H70" s="75" t="n"/>
      <c r="I70" s="75" t="n"/>
      <c r="J70" s="72" t="n"/>
      <c r="K70" s="73">
        <f>IFERROR(VLOOKUP(G70,Stage_Lookup!$A$2:$B$8,2,0),"")</f>
        <v/>
      </c>
      <c r="L70" s="69" t="n"/>
      <c r="M70" s="69" t="n"/>
      <c r="N70" s="72" t="n"/>
      <c r="O70" s="70" t="n"/>
      <c r="P70" s="70" t="n"/>
      <c r="Q70" s="106" t="n"/>
      <c r="R70" s="106" t="n"/>
      <c r="S70" s="106" t="n"/>
      <c r="T70">
        <f>IF(OR(G70="Closed Lost",G70="",NOT(ISNUMBER(H70))),"",H70)</f>
        <v/>
      </c>
    </row>
    <row r="71" ht="18" customHeight="1" s="96">
      <c r="A71" s="64" t="n">
        <v>70</v>
      </c>
      <c r="B71" s="65" t="n"/>
      <c r="C71" s="65" t="n"/>
      <c r="D71" s="65" t="n"/>
      <c r="E71" s="65" t="n"/>
      <c r="F71" s="66" t="n"/>
      <c r="G71" s="65" t="n"/>
      <c r="H71" s="74" t="n"/>
      <c r="I71" s="74" t="n"/>
      <c r="J71" s="67" t="n"/>
      <c r="K71" s="68">
        <f>IFERROR(VLOOKUP(G71,Stage_Lookup!$A$2:$B$8,2,0),"")</f>
        <v/>
      </c>
      <c r="L71" s="69" t="n"/>
      <c r="M71" s="69" t="n"/>
      <c r="N71" s="67" t="n"/>
      <c r="O71" s="65" t="n"/>
      <c r="P71" s="65" t="n"/>
      <c r="Q71" s="106" t="n"/>
      <c r="R71" s="106" t="n"/>
      <c r="S71" s="106" t="n"/>
      <c r="T71">
        <f>IF(OR(G71="Closed Lost",G71="",NOT(ISNUMBER(H71))),"",H71)</f>
        <v/>
      </c>
    </row>
    <row r="72" ht="18" customHeight="1" s="96">
      <c r="A72" s="57" t="n">
        <v>71</v>
      </c>
      <c r="B72" s="70" t="n"/>
      <c r="C72" s="70" t="n"/>
      <c r="D72" s="70" t="n"/>
      <c r="E72" s="70" t="n"/>
      <c r="F72" s="71" t="n"/>
      <c r="G72" s="70" t="n"/>
      <c r="H72" s="75" t="n"/>
      <c r="I72" s="75" t="n"/>
      <c r="J72" s="72" t="n"/>
      <c r="K72" s="73">
        <f>IFERROR(VLOOKUP(G72,Stage_Lookup!$A$2:$B$8,2,0),"")</f>
        <v/>
      </c>
      <c r="L72" s="69" t="n"/>
      <c r="M72" s="69" t="n"/>
      <c r="N72" s="72" t="n"/>
      <c r="O72" s="70" t="n"/>
      <c r="P72" s="70" t="n"/>
      <c r="Q72" s="106" t="n"/>
      <c r="R72" s="106" t="n"/>
      <c r="S72" s="106" t="n"/>
      <c r="T72">
        <f>IF(OR(G72="Closed Lost",G72="",NOT(ISNUMBER(H72))),"",H72)</f>
        <v/>
      </c>
    </row>
    <row r="73" ht="18" customHeight="1" s="96">
      <c r="A73" s="64" t="n">
        <v>72</v>
      </c>
      <c r="B73" s="65" t="n"/>
      <c r="C73" s="65" t="n"/>
      <c r="D73" s="65" t="n"/>
      <c r="E73" s="65" t="n"/>
      <c r="F73" s="66" t="n"/>
      <c r="G73" s="65" t="n"/>
      <c r="H73" s="74" t="n"/>
      <c r="I73" s="74" t="n"/>
      <c r="J73" s="67" t="n"/>
      <c r="K73" s="68">
        <f>IFERROR(VLOOKUP(G73,Stage_Lookup!$A$2:$B$8,2,0),"")</f>
        <v/>
      </c>
      <c r="L73" s="69" t="n"/>
      <c r="M73" s="69" t="n"/>
      <c r="N73" s="67" t="n"/>
      <c r="O73" s="65" t="n"/>
      <c r="P73" s="65" t="n"/>
      <c r="Q73" s="106" t="n"/>
      <c r="R73" s="106" t="n"/>
      <c r="S73" s="106" t="n"/>
      <c r="T73">
        <f>IF(OR(G73="Closed Lost",G73="",NOT(ISNUMBER(H73))),"",H73)</f>
        <v/>
      </c>
    </row>
    <row r="74" ht="18" customHeight="1" s="96">
      <c r="A74" s="57" t="n">
        <v>73</v>
      </c>
      <c r="B74" s="70" t="n"/>
      <c r="C74" s="70" t="n"/>
      <c r="D74" s="70" t="n"/>
      <c r="E74" s="70" t="n"/>
      <c r="F74" s="71" t="n"/>
      <c r="G74" s="70" t="n"/>
      <c r="H74" s="75" t="n"/>
      <c r="I74" s="75" t="n"/>
      <c r="J74" s="72" t="n"/>
      <c r="K74" s="73">
        <f>IFERROR(VLOOKUP(G74,Stage_Lookup!$A$2:$B$8,2,0),"")</f>
        <v/>
      </c>
      <c r="L74" s="69" t="n"/>
      <c r="M74" s="69" t="n"/>
      <c r="N74" s="72" t="n"/>
      <c r="O74" s="70" t="n"/>
      <c r="P74" s="70" t="n"/>
      <c r="Q74" s="106" t="n"/>
      <c r="R74" s="106" t="n"/>
      <c r="S74" s="106" t="n"/>
      <c r="T74">
        <f>IF(OR(G74="Closed Lost",G74="",NOT(ISNUMBER(H74))),"",H74)</f>
        <v/>
      </c>
    </row>
    <row r="75" ht="18" customHeight="1" s="96">
      <c r="A75" s="64" t="n">
        <v>74</v>
      </c>
      <c r="B75" s="65" t="n"/>
      <c r="C75" s="65" t="n"/>
      <c r="D75" s="65" t="n"/>
      <c r="E75" s="65" t="n"/>
      <c r="F75" s="66" t="n"/>
      <c r="G75" s="65" t="n"/>
      <c r="H75" s="74" t="n"/>
      <c r="I75" s="74" t="n"/>
      <c r="J75" s="67" t="n"/>
      <c r="K75" s="68">
        <f>IFERROR(VLOOKUP(G75,Stage_Lookup!$A$2:$B$8,2,0),"")</f>
        <v/>
      </c>
      <c r="L75" s="69" t="n"/>
      <c r="M75" s="69" t="n"/>
      <c r="N75" s="67" t="n"/>
      <c r="O75" s="65" t="n"/>
      <c r="P75" s="65" t="n"/>
      <c r="Q75" s="106" t="n"/>
      <c r="R75" s="106" t="n"/>
      <c r="S75" s="106" t="n"/>
      <c r="T75">
        <f>IF(OR(G75="Closed Lost",G75="",NOT(ISNUMBER(H75))),"",H75)</f>
        <v/>
      </c>
    </row>
    <row r="76" ht="18" customHeight="1" s="96">
      <c r="A76" s="57" t="n">
        <v>75</v>
      </c>
      <c r="B76" s="70" t="n"/>
      <c r="C76" s="70" t="n"/>
      <c r="D76" s="70" t="n"/>
      <c r="E76" s="70" t="n"/>
      <c r="F76" s="71" t="n"/>
      <c r="G76" s="70" t="n"/>
      <c r="H76" s="75" t="n"/>
      <c r="I76" s="75" t="n"/>
      <c r="J76" s="72" t="n"/>
      <c r="K76" s="73">
        <f>IFERROR(VLOOKUP(G76,Stage_Lookup!$A$2:$B$8,2,0),"")</f>
        <v/>
      </c>
      <c r="L76" s="69" t="n"/>
      <c r="M76" s="69" t="n"/>
      <c r="N76" s="72" t="n"/>
      <c r="O76" s="70" t="n"/>
      <c r="P76" s="70" t="n"/>
      <c r="Q76" s="106" t="n"/>
      <c r="R76" s="106" t="n"/>
      <c r="S76" s="106" t="n"/>
      <c r="T76">
        <f>IF(OR(G76="Closed Lost",G76="",NOT(ISNUMBER(H76))),"",H76)</f>
        <v/>
      </c>
    </row>
    <row r="77" ht="18" customHeight="1" s="96">
      <c r="A77" s="64" t="n">
        <v>76</v>
      </c>
      <c r="B77" s="65" t="n"/>
      <c r="C77" s="65" t="n"/>
      <c r="D77" s="65" t="n"/>
      <c r="E77" s="65" t="n"/>
      <c r="F77" s="66" t="n"/>
      <c r="G77" s="65" t="n"/>
      <c r="H77" s="74" t="n"/>
      <c r="I77" s="74" t="n"/>
      <c r="J77" s="67" t="n"/>
      <c r="K77" s="68">
        <f>IFERROR(VLOOKUP(G77,Stage_Lookup!$A$2:$B$8,2,0),"")</f>
        <v/>
      </c>
      <c r="L77" s="69" t="n"/>
      <c r="M77" s="69" t="n"/>
      <c r="N77" s="67" t="n"/>
      <c r="O77" s="65" t="n"/>
      <c r="P77" s="65" t="n"/>
      <c r="Q77" s="106" t="n"/>
      <c r="R77" s="106" t="n"/>
      <c r="S77" s="106" t="n"/>
      <c r="T77">
        <f>IF(OR(G77="Closed Lost",G77="",NOT(ISNUMBER(H77))),"",H77)</f>
        <v/>
      </c>
    </row>
    <row r="78" ht="18" customHeight="1" s="96">
      <c r="A78" s="57" t="n">
        <v>77</v>
      </c>
      <c r="B78" s="70" t="n"/>
      <c r="C78" s="70" t="n"/>
      <c r="D78" s="70" t="n"/>
      <c r="E78" s="70" t="n"/>
      <c r="F78" s="71" t="n"/>
      <c r="G78" s="70" t="n"/>
      <c r="H78" s="75" t="n"/>
      <c r="I78" s="75" t="n"/>
      <c r="J78" s="72" t="n"/>
      <c r="K78" s="73">
        <f>IFERROR(VLOOKUP(G78,Stage_Lookup!$A$2:$B$8,2,0),"")</f>
        <v/>
      </c>
      <c r="L78" s="69" t="n"/>
      <c r="M78" s="69" t="n"/>
      <c r="N78" s="72" t="n"/>
      <c r="O78" s="70" t="n"/>
      <c r="P78" s="70" t="n"/>
      <c r="Q78" s="106" t="n"/>
      <c r="R78" s="106" t="n"/>
      <c r="S78" s="106" t="n"/>
      <c r="T78">
        <f>IF(OR(G78="Closed Lost",G78="",NOT(ISNUMBER(H78))),"",H78)</f>
        <v/>
      </c>
    </row>
    <row r="79" ht="18" customHeight="1" s="96">
      <c r="A79" s="64" t="n">
        <v>78</v>
      </c>
      <c r="B79" s="65" t="n"/>
      <c r="C79" s="65" t="n"/>
      <c r="D79" s="65" t="n"/>
      <c r="E79" s="65" t="n"/>
      <c r="F79" s="66" t="n"/>
      <c r="G79" s="65" t="n"/>
      <c r="H79" s="74" t="n"/>
      <c r="I79" s="74" t="n"/>
      <c r="J79" s="67" t="n"/>
      <c r="K79" s="68">
        <f>IFERROR(VLOOKUP(G79,Stage_Lookup!$A$2:$B$8,2,0),"")</f>
        <v/>
      </c>
      <c r="L79" s="69" t="n"/>
      <c r="M79" s="69" t="n"/>
      <c r="N79" s="67" t="n"/>
      <c r="O79" s="65" t="n"/>
      <c r="P79" s="65" t="n"/>
      <c r="Q79" s="106" t="n"/>
      <c r="R79" s="106" t="n"/>
      <c r="S79" s="106" t="n"/>
      <c r="T79">
        <f>IF(OR(G79="Closed Lost",G79="",NOT(ISNUMBER(H79))),"",H79)</f>
        <v/>
      </c>
    </row>
    <row r="80" ht="18" customHeight="1" s="96">
      <c r="A80" s="57" t="n">
        <v>79</v>
      </c>
      <c r="B80" s="70" t="n"/>
      <c r="C80" s="70" t="n"/>
      <c r="D80" s="70" t="n"/>
      <c r="E80" s="70" t="n"/>
      <c r="F80" s="71" t="n"/>
      <c r="G80" s="70" t="n"/>
      <c r="H80" s="75" t="n"/>
      <c r="I80" s="75" t="n"/>
      <c r="J80" s="72" t="n"/>
      <c r="K80" s="73">
        <f>IFERROR(VLOOKUP(G80,Stage_Lookup!$A$2:$B$8,2,0),"")</f>
        <v/>
      </c>
      <c r="L80" s="69" t="n"/>
      <c r="M80" s="69" t="n"/>
      <c r="N80" s="72" t="n"/>
      <c r="O80" s="70" t="n"/>
      <c r="P80" s="70" t="n"/>
      <c r="Q80" s="106" t="n"/>
      <c r="R80" s="106" t="n"/>
      <c r="S80" s="106" t="n"/>
      <c r="T80">
        <f>IF(OR(G80="Closed Lost",G80="",NOT(ISNUMBER(H80))),"",H80)</f>
        <v/>
      </c>
    </row>
    <row r="81" ht="18" customHeight="1" s="96">
      <c r="A81" s="64" t="n">
        <v>80</v>
      </c>
      <c r="B81" s="65" t="n"/>
      <c r="C81" s="65" t="n"/>
      <c r="D81" s="65" t="n"/>
      <c r="E81" s="65" t="n"/>
      <c r="F81" s="66" t="n"/>
      <c r="G81" s="65" t="n"/>
      <c r="H81" s="74" t="n"/>
      <c r="I81" s="74" t="n"/>
      <c r="J81" s="67" t="n"/>
      <c r="K81" s="68">
        <f>IFERROR(VLOOKUP(G81,Stage_Lookup!$A$2:$B$8,2,0),"")</f>
        <v/>
      </c>
      <c r="L81" s="69" t="n"/>
      <c r="M81" s="69" t="n"/>
      <c r="N81" s="67" t="n"/>
      <c r="O81" s="65" t="n"/>
      <c r="P81" s="65" t="n"/>
      <c r="Q81" s="106" t="n"/>
      <c r="R81" s="106" t="n"/>
      <c r="S81" s="106" t="n"/>
      <c r="T81">
        <f>IF(OR(G81="Closed Lost",G81="",NOT(ISNUMBER(H81))),"",H81)</f>
        <v/>
      </c>
    </row>
    <row r="82" ht="18" customHeight="1" s="96">
      <c r="A82" s="57" t="n">
        <v>81</v>
      </c>
      <c r="B82" s="70" t="n"/>
      <c r="C82" s="70" t="n"/>
      <c r="D82" s="70" t="n"/>
      <c r="E82" s="70" t="n"/>
      <c r="F82" s="71" t="n"/>
      <c r="G82" s="70" t="n"/>
      <c r="H82" s="75" t="n"/>
      <c r="I82" s="75" t="n"/>
      <c r="J82" s="72" t="n"/>
      <c r="K82" s="73">
        <f>IFERROR(VLOOKUP(G82,Stage_Lookup!$A$2:$B$8,2,0),"")</f>
        <v/>
      </c>
      <c r="L82" s="69" t="n"/>
      <c r="M82" s="69" t="n"/>
      <c r="N82" s="72" t="n"/>
      <c r="O82" s="70" t="n"/>
      <c r="P82" s="70" t="n"/>
      <c r="Q82" s="106" t="n"/>
      <c r="R82" s="106" t="n"/>
      <c r="S82" s="106" t="n"/>
      <c r="T82">
        <f>IF(OR(G82="Closed Lost",G82="",NOT(ISNUMBER(H82))),"",H82)</f>
        <v/>
      </c>
    </row>
    <row r="83" ht="18" customHeight="1" s="96">
      <c r="A83" s="64" t="n">
        <v>82</v>
      </c>
      <c r="B83" s="65" t="n"/>
      <c r="C83" s="65" t="n"/>
      <c r="D83" s="65" t="n"/>
      <c r="E83" s="65" t="n"/>
      <c r="F83" s="66" t="n"/>
      <c r="G83" s="65" t="n"/>
      <c r="H83" s="74" t="n"/>
      <c r="I83" s="74" t="n"/>
      <c r="J83" s="67" t="n"/>
      <c r="K83" s="68">
        <f>IFERROR(VLOOKUP(G83,Stage_Lookup!$A$2:$B$8,2,0),"")</f>
        <v/>
      </c>
      <c r="L83" s="69" t="n"/>
      <c r="M83" s="69" t="n"/>
      <c r="N83" s="67" t="n"/>
      <c r="O83" s="65" t="n"/>
      <c r="P83" s="65" t="n"/>
      <c r="Q83" s="106" t="n"/>
      <c r="R83" s="106" t="n"/>
      <c r="S83" s="106" t="n"/>
      <c r="T83">
        <f>IF(OR(G83="Closed Lost",G83="",NOT(ISNUMBER(H83))),"",H83)</f>
        <v/>
      </c>
    </row>
    <row r="84" ht="18" customHeight="1" s="96">
      <c r="A84" s="57" t="n">
        <v>83</v>
      </c>
      <c r="B84" s="70" t="n"/>
      <c r="C84" s="70" t="n"/>
      <c r="D84" s="70" t="n"/>
      <c r="E84" s="70" t="n"/>
      <c r="F84" s="71" t="n"/>
      <c r="G84" s="70" t="n"/>
      <c r="H84" s="75" t="n"/>
      <c r="I84" s="75" t="n"/>
      <c r="J84" s="72" t="n"/>
      <c r="K84" s="73">
        <f>IFERROR(VLOOKUP(G84,Stage_Lookup!$A$2:$B$8,2,0),"")</f>
        <v/>
      </c>
      <c r="L84" s="69" t="n"/>
      <c r="M84" s="69" t="n"/>
      <c r="N84" s="72" t="n"/>
      <c r="O84" s="70" t="n"/>
      <c r="P84" s="70" t="n"/>
      <c r="Q84" s="106" t="n"/>
      <c r="R84" s="106" t="n"/>
      <c r="S84" s="106" t="n"/>
      <c r="T84">
        <f>IF(OR(G84="Closed Lost",G84="",NOT(ISNUMBER(H84))),"",H84)</f>
        <v/>
      </c>
    </row>
    <row r="85" ht="18" customHeight="1" s="96">
      <c r="A85" s="64" t="n">
        <v>84</v>
      </c>
      <c r="B85" s="65" t="n"/>
      <c r="C85" s="65" t="n"/>
      <c r="D85" s="65" t="n"/>
      <c r="E85" s="65" t="n"/>
      <c r="F85" s="66" t="n"/>
      <c r="G85" s="65" t="n"/>
      <c r="H85" s="74" t="n"/>
      <c r="I85" s="74" t="n"/>
      <c r="J85" s="67" t="n"/>
      <c r="K85" s="68">
        <f>IFERROR(VLOOKUP(G85,Stage_Lookup!$A$2:$B$8,2,0),"")</f>
        <v/>
      </c>
      <c r="L85" s="69" t="n"/>
      <c r="M85" s="69" t="n"/>
      <c r="N85" s="67" t="n"/>
      <c r="O85" s="65" t="n"/>
      <c r="P85" s="65" t="n"/>
      <c r="Q85" s="106" t="n"/>
      <c r="R85" s="106" t="n"/>
      <c r="S85" s="106" t="n"/>
      <c r="T85">
        <f>IF(OR(G85="Closed Lost",G85="",NOT(ISNUMBER(H85))),"",H85)</f>
        <v/>
      </c>
    </row>
    <row r="86" ht="18" customHeight="1" s="96">
      <c r="A86" s="57" t="n">
        <v>85</v>
      </c>
      <c r="B86" s="70" t="n"/>
      <c r="C86" s="70" t="n"/>
      <c r="D86" s="70" t="n"/>
      <c r="E86" s="70" t="n"/>
      <c r="F86" s="71" t="n"/>
      <c r="G86" s="70" t="n"/>
      <c r="H86" s="75" t="n"/>
      <c r="I86" s="75" t="n"/>
      <c r="J86" s="72" t="n"/>
      <c r="K86" s="73">
        <f>IFERROR(VLOOKUP(G86,Stage_Lookup!$A$2:$B$8,2,0),"")</f>
        <v/>
      </c>
      <c r="L86" s="69" t="n"/>
      <c r="M86" s="69" t="n"/>
      <c r="N86" s="72" t="n"/>
      <c r="O86" s="70" t="n"/>
      <c r="P86" s="70" t="n"/>
      <c r="Q86" s="106" t="n"/>
      <c r="R86" s="106" t="n"/>
      <c r="S86" s="106" t="n"/>
      <c r="T86">
        <f>IF(OR(G86="Closed Lost",G86="",NOT(ISNUMBER(H86))),"",H86)</f>
        <v/>
      </c>
    </row>
    <row r="87" ht="18" customHeight="1" s="96">
      <c r="A87" s="64" t="n">
        <v>86</v>
      </c>
      <c r="B87" s="65" t="n"/>
      <c r="C87" s="65" t="n"/>
      <c r="D87" s="65" t="n"/>
      <c r="E87" s="65" t="n"/>
      <c r="F87" s="66" t="n"/>
      <c r="G87" s="65" t="n"/>
      <c r="H87" s="74" t="n"/>
      <c r="I87" s="74" t="n"/>
      <c r="J87" s="67" t="n"/>
      <c r="K87" s="68">
        <f>IFERROR(VLOOKUP(G87,Stage_Lookup!$A$2:$B$8,2,0),"")</f>
        <v/>
      </c>
      <c r="L87" s="69" t="n"/>
      <c r="M87" s="69" t="n"/>
      <c r="N87" s="67" t="n"/>
      <c r="O87" s="65" t="n"/>
      <c r="P87" s="65" t="n"/>
      <c r="Q87" s="106" t="n"/>
      <c r="R87" s="106" t="n"/>
      <c r="S87" s="106" t="n"/>
      <c r="T87">
        <f>IF(OR(G87="Closed Lost",G87="",NOT(ISNUMBER(H87))),"",H87)</f>
        <v/>
      </c>
    </row>
    <row r="88" ht="18" customHeight="1" s="96">
      <c r="A88" s="57" t="n">
        <v>87</v>
      </c>
      <c r="B88" s="70" t="n"/>
      <c r="C88" s="70" t="n"/>
      <c r="D88" s="70" t="n"/>
      <c r="E88" s="70" t="n"/>
      <c r="F88" s="71" t="n"/>
      <c r="G88" s="70" t="n"/>
      <c r="H88" s="75" t="n"/>
      <c r="I88" s="75" t="n"/>
      <c r="J88" s="72" t="n"/>
      <c r="K88" s="73">
        <f>IFERROR(VLOOKUP(G88,Stage_Lookup!$A$2:$B$8,2,0),"")</f>
        <v/>
      </c>
      <c r="L88" s="69" t="n"/>
      <c r="M88" s="69" t="n"/>
      <c r="N88" s="72" t="n"/>
      <c r="O88" s="70" t="n"/>
      <c r="P88" s="70" t="n"/>
      <c r="Q88" s="106" t="n"/>
      <c r="R88" s="106" t="n"/>
      <c r="S88" s="106" t="n"/>
      <c r="T88">
        <f>IF(OR(G88="Closed Lost",G88="",NOT(ISNUMBER(H88))),"",H88)</f>
        <v/>
      </c>
    </row>
    <row r="89" ht="18" customHeight="1" s="96">
      <c r="A89" s="64" t="n">
        <v>88</v>
      </c>
      <c r="B89" s="65" t="n"/>
      <c r="C89" s="65" t="n"/>
      <c r="D89" s="65" t="n"/>
      <c r="E89" s="65" t="n"/>
      <c r="F89" s="66" t="n"/>
      <c r="G89" s="65" t="n"/>
      <c r="H89" s="74" t="n"/>
      <c r="I89" s="74" t="n"/>
      <c r="J89" s="67" t="n"/>
      <c r="K89" s="68">
        <f>IFERROR(VLOOKUP(G89,Stage_Lookup!$A$2:$B$8,2,0),"")</f>
        <v/>
      </c>
      <c r="L89" s="69" t="n"/>
      <c r="M89" s="69" t="n"/>
      <c r="N89" s="67" t="n"/>
      <c r="O89" s="65" t="n"/>
      <c r="P89" s="65" t="n"/>
      <c r="Q89" s="106" t="n"/>
      <c r="R89" s="106" t="n"/>
      <c r="S89" s="106" t="n"/>
      <c r="T89">
        <f>IF(OR(G89="Closed Lost",G89="",NOT(ISNUMBER(H89))),"",H89)</f>
        <v/>
      </c>
    </row>
    <row r="90" ht="18" customHeight="1" s="96">
      <c r="A90" s="57" t="n">
        <v>89</v>
      </c>
      <c r="B90" s="70" t="n"/>
      <c r="C90" s="70" t="n"/>
      <c r="D90" s="70" t="n"/>
      <c r="E90" s="70" t="n"/>
      <c r="F90" s="71" t="n"/>
      <c r="G90" s="70" t="n"/>
      <c r="H90" s="75" t="n"/>
      <c r="I90" s="75" t="n"/>
      <c r="J90" s="72" t="n"/>
      <c r="K90" s="73">
        <f>IFERROR(VLOOKUP(G90,Stage_Lookup!$A$2:$B$8,2,0),"")</f>
        <v/>
      </c>
      <c r="L90" s="69" t="n"/>
      <c r="M90" s="69" t="n"/>
      <c r="N90" s="72" t="n"/>
      <c r="O90" s="70" t="n"/>
      <c r="P90" s="70" t="n"/>
      <c r="Q90" s="106" t="n"/>
      <c r="R90" s="106" t="n"/>
      <c r="S90" s="106" t="n"/>
      <c r="T90">
        <f>IF(OR(G90="Closed Lost",G90="",NOT(ISNUMBER(H90))),"",H90)</f>
        <v/>
      </c>
    </row>
    <row r="91" ht="18" customHeight="1" s="96">
      <c r="A91" s="64" t="n">
        <v>90</v>
      </c>
      <c r="B91" s="65" t="n"/>
      <c r="C91" s="65" t="n"/>
      <c r="D91" s="65" t="n"/>
      <c r="E91" s="65" t="n"/>
      <c r="F91" s="66" t="n"/>
      <c r="G91" s="65" t="n"/>
      <c r="H91" s="74" t="n"/>
      <c r="I91" s="74" t="n"/>
      <c r="J91" s="67" t="n"/>
      <c r="K91" s="68">
        <f>IFERROR(VLOOKUP(G91,Stage_Lookup!$A$2:$B$8,2,0),"")</f>
        <v/>
      </c>
      <c r="L91" s="69" t="n"/>
      <c r="M91" s="69" t="n"/>
      <c r="N91" s="67" t="n"/>
      <c r="O91" s="65" t="n"/>
      <c r="P91" s="65" t="n"/>
      <c r="Q91" s="106" t="n"/>
      <c r="R91" s="106" t="n"/>
      <c r="S91" s="106" t="n"/>
      <c r="T91">
        <f>IF(OR(G91="Closed Lost",G91="",NOT(ISNUMBER(H91))),"",H91)</f>
        <v/>
      </c>
    </row>
    <row r="92" ht="18" customHeight="1" s="96">
      <c r="A92" s="57" t="n">
        <v>91</v>
      </c>
      <c r="B92" s="70" t="n"/>
      <c r="C92" s="70" t="n"/>
      <c r="D92" s="70" t="n"/>
      <c r="E92" s="70" t="n"/>
      <c r="F92" s="71" t="n"/>
      <c r="G92" s="70" t="n"/>
      <c r="H92" s="75" t="n"/>
      <c r="I92" s="75" t="n"/>
      <c r="J92" s="72" t="n"/>
      <c r="K92" s="73">
        <f>IFERROR(VLOOKUP(G92,Stage_Lookup!$A$2:$B$8,2,0),"")</f>
        <v/>
      </c>
      <c r="L92" s="69" t="n"/>
      <c r="M92" s="69" t="n"/>
      <c r="N92" s="72" t="n"/>
      <c r="O92" s="70" t="n"/>
      <c r="P92" s="70" t="n"/>
      <c r="Q92" s="106" t="n"/>
      <c r="R92" s="106" t="n"/>
      <c r="S92" s="106" t="n"/>
      <c r="T92">
        <f>IF(OR(G92="Closed Lost",G92="",NOT(ISNUMBER(H92))),"",H92)</f>
        <v/>
      </c>
    </row>
    <row r="93" ht="18" customHeight="1" s="96">
      <c r="A93" s="64" t="n">
        <v>92</v>
      </c>
      <c r="B93" s="65" t="n"/>
      <c r="C93" s="65" t="n"/>
      <c r="D93" s="65" t="n"/>
      <c r="E93" s="65" t="n"/>
      <c r="F93" s="66" t="n"/>
      <c r="G93" s="65" t="n"/>
      <c r="H93" s="74" t="n"/>
      <c r="I93" s="74" t="n"/>
      <c r="J93" s="67" t="n"/>
      <c r="K93" s="68">
        <f>IFERROR(VLOOKUP(G93,Stage_Lookup!$A$2:$B$8,2,0),"")</f>
        <v/>
      </c>
      <c r="L93" s="69" t="n"/>
      <c r="M93" s="69" t="n"/>
      <c r="N93" s="67" t="n"/>
      <c r="O93" s="65" t="n"/>
      <c r="P93" s="65" t="n"/>
      <c r="Q93" s="106" t="n"/>
      <c r="R93" s="106" t="n"/>
      <c r="S93" s="106" t="n"/>
      <c r="T93">
        <f>IF(OR(G93="Closed Lost",G93="",NOT(ISNUMBER(H93))),"",H93)</f>
        <v/>
      </c>
    </row>
    <row r="94" ht="18" customHeight="1" s="96">
      <c r="A94" s="57" t="n">
        <v>93</v>
      </c>
      <c r="B94" s="70" t="n"/>
      <c r="C94" s="70" t="n"/>
      <c r="D94" s="70" t="n"/>
      <c r="E94" s="70" t="n"/>
      <c r="F94" s="71" t="n"/>
      <c r="G94" s="70" t="n"/>
      <c r="H94" s="75" t="n"/>
      <c r="I94" s="75" t="n"/>
      <c r="J94" s="72" t="n"/>
      <c r="K94" s="73">
        <f>IFERROR(VLOOKUP(G94,Stage_Lookup!$A$2:$B$8,2,0),"")</f>
        <v/>
      </c>
      <c r="L94" s="69" t="n"/>
      <c r="M94" s="69" t="n"/>
      <c r="N94" s="72" t="n"/>
      <c r="O94" s="70" t="n"/>
      <c r="P94" s="70" t="n"/>
      <c r="Q94" s="106" t="n"/>
      <c r="R94" s="106" t="n"/>
      <c r="S94" s="106" t="n"/>
      <c r="T94">
        <f>IF(OR(G94="Closed Lost",G94="",NOT(ISNUMBER(H94))),"",H94)</f>
        <v/>
      </c>
    </row>
    <row r="95" ht="18" customHeight="1" s="96">
      <c r="A95" s="64" t="n">
        <v>94</v>
      </c>
      <c r="B95" s="65" t="n"/>
      <c r="C95" s="65" t="n"/>
      <c r="D95" s="65" t="n"/>
      <c r="E95" s="65" t="n"/>
      <c r="F95" s="66" t="n"/>
      <c r="G95" s="65" t="n"/>
      <c r="H95" s="74" t="n"/>
      <c r="I95" s="74" t="n"/>
      <c r="J95" s="67" t="n"/>
      <c r="K95" s="68">
        <f>IFERROR(VLOOKUP(G95,Stage_Lookup!$A$2:$B$8,2,0),"")</f>
        <v/>
      </c>
      <c r="L95" s="69" t="n"/>
      <c r="M95" s="69" t="n"/>
      <c r="N95" s="67" t="n"/>
      <c r="O95" s="65" t="n"/>
      <c r="P95" s="65" t="n"/>
      <c r="Q95" s="106" t="n"/>
      <c r="R95" s="106" t="n"/>
      <c r="S95" s="106" t="n"/>
      <c r="T95">
        <f>IF(OR(G95="Closed Lost",G95="",NOT(ISNUMBER(H95))),"",H95)</f>
        <v/>
      </c>
    </row>
    <row r="96" ht="18" customHeight="1" s="96">
      <c r="A96" s="57" t="n">
        <v>95</v>
      </c>
      <c r="B96" s="70" t="n"/>
      <c r="C96" s="70" t="n"/>
      <c r="D96" s="70" t="n"/>
      <c r="E96" s="70" t="n"/>
      <c r="F96" s="71" t="n"/>
      <c r="G96" s="70" t="n"/>
      <c r="H96" s="75" t="n"/>
      <c r="I96" s="75" t="n"/>
      <c r="J96" s="72" t="n"/>
      <c r="K96" s="73">
        <f>IFERROR(VLOOKUP(G96,Stage_Lookup!$A$2:$B$8,2,0),"")</f>
        <v/>
      </c>
      <c r="L96" s="69" t="n"/>
      <c r="M96" s="69" t="n"/>
      <c r="N96" s="72" t="n"/>
      <c r="O96" s="70" t="n"/>
      <c r="P96" s="70" t="n"/>
      <c r="Q96" s="106" t="n"/>
      <c r="R96" s="106" t="n"/>
      <c r="S96" s="106" t="n"/>
      <c r="T96">
        <f>IF(OR(G96="Closed Lost",G96="",NOT(ISNUMBER(H96))),"",H96)</f>
        <v/>
      </c>
    </row>
    <row r="97" ht="18" customHeight="1" s="96">
      <c r="A97" s="64" t="n">
        <v>96</v>
      </c>
      <c r="B97" s="65" t="n"/>
      <c r="C97" s="65" t="n"/>
      <c r="D97" s="65" t="n"/>
      <c r="E97" s="65" t="n"/>
      <c r="F97" s="66" t="n"/>
      <c r="G97" s="65" t="n"/>
      <c r="H97" s="74" t="n"/>
      <c r="I97" s="74" t="n"/>
      <c r="J97" s="67" t="n"/>
      <c r="K97" s="68">
        <f>IFERROR(VLOOKUP(G97,Stage_Lookup!$A$2:$B$8,2,0),"")</f>
        <v/>
      </c>
      <c r="L97" s="69" t="n"/>
      <c r="M97" s="69" t="n"/>
      <c r="N97" s="67" t="n"/>
      <c r="O97" s="65" t="n"/>
      <c r="P97" s="65" t="n"/>
      <c r="Q97" s="106" t="n"/>
      <c r="R97" s="106" t="n"/>
      <c r="S97" s="106" t="n"/>
      <c r="T97">
        <f>IF(OR(G97="Closed Lost",G97="",NOT(ISNUMBER(H97))),"",H97)</f>
        <v/>
      </c>
    </row>
    <row r="98" ht="18" customHeight="1" s="96">
      <c r="A98" s="57" t="n">
        <v>97</v>
      </c>
      <c r="B98" s="70" t="n"/>
      <c r="C98" s="70" t="n"/>
      <c r="D98" s="70" t="n"/>
      <c r="E98" s="70" t="n"/>
      <c r="F98" s="71" t="n"/>
      <c r="G98" s="70" t="n"/>
      <c r="H98" s="75" t="n"/>
      <c r="I98" s="75" t="n"/>
      <c r="J98" s="72" t="n"/>
      <c r="K98" s="73">
        <f>IFERROR(VLOOKUP(G98,Stage_Lookup!$A$2:$B$8,2,0),"")</f>
        <v/>
      </c>
      <c r="L98" s="69" t="n"/>
      <c r="M98" s="69" t="n"/>
      <c r="N98" s="72" t="n"/>
      <c r="O98" s="70" t="n"/>
      <c r="P98" s="70" t="n"/>
      <c r="Q98" s="106" t="n"/>
      <c r="R98" s="106" t="n"/>
      <c r="S98" s="106" t="n"/>
      <c r="T98">
        <f>IF(OR(G98="Closed Lost",G98="",NOT(ISNUMBER(H98))),"",H98)</f>
        <v/>
      </c>
    </row>
    <row r="99" ht="18" customHeight="1" s="96">
      <c r="A99" s="64" t="n">
        <v>98</v>
      </c>
      <c r="B99" s="65" t="n"/>
      <c r="C99" s="65" t="n"/>
      <c r="D99" s="65" t="n"/>
      <c r="E99" s="65" t="n"/>
      <c r="F99" s="66" t="n"/>
      <c r="G99" s="65" t="n"/>
      <c r="H99" s="74" t="n"/>
      <c r="I99" s="74" t="n"/>
      <c r="J99" s="67" t="n"/>
      <c r="K99" s="68">
        <f>IFERROR(VLOOKUP(G99,Stage_Lookup!$A$2:$B$8,2,0),"")</f>
        <v/>
      </c>
      <c r="L99" s="69" t="n"/>
      <c r="M99" s="69" t="n"/>
      <c r="N99" s="67" t="n"/>
      <c r="O99" s="65" t="n"/>
      <c r="P99" s="65" t="n"/>
      <c r="Q99" s="106" t="n"/>
      <c r="R99" s="106" t="n"/>
      <c r="S99" s="106" t="n"/>
      <c r="T99">
        <f>IF(OR(G99="Closed Lost",G99="",NOT(ISNUMBER(H99))),"",H99)</f>
        <v/>
      </c>
    </row>
    <row r="100" ht="18" customHeight="1" s="96">
      <c r="A100" s="57" t="n">
        <v>99</v>
      </c>
      <c r="B100" s="70" t="n"/>
      <c r="C100" s="70" t="n"/>
      <c r="D100" s="70" t="n"/>
      <c r="E100" s="70" t="n"/>
      <c r="F100" s="71" t="n"/>
      <c r="G100" s="70" t="n"/>
      <c r="H100" s="75" t="n"/>
      <c r="I100" s="75" t="n"/>
      <c r="J100" s="72" t="n"/>
      <c r="K100" s="73">
        <f>IFERROR(VLOOKUP(G100,Stage_Lookup!$A$2:$B$8,2,0),"")</f>
        <v/>
      </c>
      <c r="L100" s="69" t="n"/>
      <c r="M100" s="69" t="n"/>
      <c r="N100" s="72" t="n"/>
      <c r="O100" s="70" t="n"/>
      <c r="P100" s="70" t="n"/>
      <c r="Q100" s="106" t="n"/>
      <c r="R100" s="106" t="n"/>
      <c r="S100" s="106" t="n"/>
      <c r="T100">
        <f>IF(OR(G100="Closed Lost",G100="",NOT(ISNUMBER(H100))),"",H100)</f>
        <v/>
      </c>
    </row>
    <row r="101" ht="18" customHeight="1" s="96">
      <c r="A101" s="64" t="n">
        <v>100</v>
      </c>
      <c r="B101" s="65" t="n"/>
      <c r="C101" s="65" t="n"/>
      <c r="D101" s="65" t="n"/>
      <c r="E101" s="65" t="n"/>
      <c r="F101" s="66" t="n"/>
      <c r="G101" s="65" t="n"/>
      <c r="H101" s="74" t="n"/>
      <c r="I101" s="74" t="n"/>
      <c r="J101" s="67" t="n"/>
      <c r="K101" s="68">
        <f>IFERROR(VLOOKUP(G101,Stage_Lookup!$A$2:$B$8,2,0),"")</f>
        <v/>
      </c>
      <c r="L101" s="69" t="n"/>
      <c r="M101" s="69" t="n"/>
      <c r="N101" s="67" t="n"/>
      <c r="O101" s="65" t="n"/>
      <c r="P101" s="65" t="n"/>
      <c r="Q101" s="106" t="n"/>
      <c r="R101" s="106" t="n"/>
      <c r="S101" s="106" t="n"/>
      <c r="T101">
        <f>IF(OR(G101="Closed Lost",G101="",NOT(ISNUMBER(H101))),"",H101)</f>
        <v/>
      </c>
    </row>
    <row r="102" ht="18" customHeight="1" s="96">
      <c r="A102" s="57" t="n">
        <v>101</v>
      </c>
      <c r="B102" s="70" t="n"/>
      <c r="C102" s="70" t="n"/>
      <c r="D102" s="70" t="n"/>
      <c r="E102" s="70" t="n"/>
      <c r="F102" s="71" t="n"/>
      <c r="G102" s="70" t="n"/>
      <c r="H102" s="75" t="n"/>
      <c r="I102" s="75" t="n"/>
      <c r="J102" s="72" t="n"/>
      <c r="K102" s="73">
        <f>IFERROR(VLOOKUP(G102,Stage_Lookup!$A$2:$B$8,2,0),"")</f>
        <v/>
      </c>
      <c r="L102" s="69" t="n"/>
      <c r="M102" s="69" t="n"/>
      <c r="N102" s="72" t="n"/>
      <c r="O102" s="70" t="n"/>
      <c r="P102" s="70" t="n"/>
      <c r="Q102" s="106" t="n"/>
      <c r="R102" s="106" t="n"/>
      <c r="S102" s="106" t="n"/>
      <c r="T102">
        <f>IF(OR(G102="Closed Lost",G102="",NOT(ISNUMBER(H102))),"",H102)</f>
        <v/>
      </c>
    </row>
    <row r="103" ht="18" customHeight="1" s="96">
      <c r="A103" s="64" t="n">
        <v>102</v>
      </c>
      <c r="B103" s="65" t="n"/>
      <c r="C103" s="65" t="n"/>
      <c r="D103" s="65" t="n"/>
      <c r="E103" s="65" t="n"/>
      <c r="F103" s="66" t="n"/>
      <c r="G103" s="65" t="n"/>
      <c r="H103" s="74" t="n"/>
      <c r="I103" s="74" t="n"/>
      <c r="J103" s="67" t="n"/>
      <c r="K103" s="68">
        <f>IFERROR(VLOOKUP(G103,Stage_Lookup!$A$2:$B$8,2,0),"")</f>
        <v/>
      </c>
      <c r="L103" s="69" t="n"/>
      <c r="M103" s="69" t="n"/>
      <c r="N103" s="67" t="n"/>
      <c r="O103" s="65" t="n"/>
      <c r="P103" s="65" t="n"/>
      <c r="Q103" s="106" t="n"/>
      <c r="R103" s="106" t="n"/>
      <c r="S103" s="106" t="n"/>
      <c r="T103">
        <f>IF(OR(G103="Closed Lost",G103="",NOT(ISNUMBER(H103))),"",H103)</f>
        <v/>
      </c>
    </row>
    <row r="104" ht="18" customHeight="1" s="96">
      <c r="A104" s="57" t="n">
        <v>103</v>
      </c>
      <c r="B104" s="70" t="n"/>
      <c r="C104" s="70" t="n"/>
      <c r="D104" s="70" t="n"/>
      <c r="E104" s="70" t="n"/>
      <c r="F104" s="71" t="n"/>
      <c r="G104" s="70" t="n"/>
      <c r="H104" s="75" t="n"/>
      <c r="I104" s="75" t="n"/>
      <c r="J104" s="72" t="n"/>
      <c r="K104" s="73">
        <f>IFERROR(VLOOKUP(G104,Stage_Lookup!$A$2:$B$8,2,0),"")</f>
        <v/>
      </c>
      <c r="L104" s="69" t="n"/>
      <c r="M104" s="69" t="n"/>
      <c r="N104" s="72" t="n"/>
      <c r="O104" s="70" t="n"/>
      <c r="P104" s="70" t="n"/>
      <c r="Q104" s="106" t="n"/>
      <c r="R104" s="106" t="n"/>
      <c r="S104" s="106" t="n"/>
      <c r="T104">
        <f>IF(OR(G104="Closed Lost",G104="",NOT(ISNUMBER(H104))),"",H104)</f>
        <v/>
      </c>
    </row>
    <row r="105" ht="18" customHeight="1" s="96">
      <c r="A105" s="64" t="n">
        <v>104</v>
      </c>
      <c r="B105" s="65" t="n"/>
      <c r="C105" s="65" t="n"/>
      <c r="D105" s="65" t="n"/>
      <c r="E105" s="65" t="n"/>
      <c r="F105" s="66" t="n"/>
      <c r="G105" s="65" t="n"/>
      <c r="H105" s="74" t="n"/>
      <c r="I105" s="74" t="n"/>
      <c r="J105" s="67" t="n"/>
      <c r="K105" s="68">
        <f>IFERROR(VLOOKUP(G105,Stage_Lookup!$A$2:$B$8,2,0),"")</f>
        <v/>
      </c>
      <c r="L105" s="69" t="n"/>
      <c r="M105" s="69" t="n"/>
      <c r="N105" s="67" t="n"/>
      <c r="O105" s="65" t="n"/>
      <c r="P105" s="65" t="n"/>
      <c r="Q105" s="106" t="n"/>
      <c r="R105" s="106" t="n"/>
      <c r="S105" s="106" t="n"/>
      <c r="T105">
        <f>IF(OR(G105="Closed Lost",G105="",NOT(ISNUMBER(H105))),"",H105)</f>
        <v/>
      </c>
    </row>
    <row r="106" ht="18" customHeight="1" s="96">
      <c r="A106" s="57" t="n">
        <v>105</v>
      </c>
      <c r="B106" s="70" t="n"/>
      <c r="C106" s="70" t="n"/>
      <c r="D106" s="70" t="n"/>
      <c r="E106" s="70" t="n"/>
      <c r="F106" s="71" t="n"/>
      <c r="G106" s="70" t="n"/>
      <c r="H106" s="75" t="n"/>
      <c r="I106" s="75" t="n"/>
      <c r="J106" s="72" t="n"/>
      <c r="K106" s="73">
        <f>IFERROR(VLOOKUP(G106,Stage_Lookup!$A$2:$B$8,2,0),"")</f>
        <v/>
      </c>
      <c r="L106" s="69" t="n"/>
      <c r="M106" s="69" t="n"/>
      <c r="N106" s="72" t="n"/>
      <c r="O106" s="70" t="n"/>
      <c r="P106" s="70" t="n"/>
      <c r="Q106" s="106" t="n"/>
      <c r="R106" s="106" t="n"/>
      <c r="S106" s="106" t="n"/>
      <c r="T106">
        <f>IF(OR(G106="Closed Lost",G106="",NOT(ISNUMBER(H106))),"",H106)</f>
        <v/>
      </c>
    </row>
    <row r="107" ht="18" customHeight="1" s="96">
      <c r="A107" s="64" t="n">
        <v>106</v>
      </c>
      <c r="B107" s="65" t="n"/>
      <c r="C107" s="65" t="n"/>
      <c r="D107" s="65" t="n"/>
      <c r="E107" s="65" t="n"/>
      <c r="F107" s="66" t="n"/>
      <c r="G107" s="65" t="n"/>
      <c r="H107" s="74" t="n"/>
      <c r="I107" s="74" t="n"/>
      <c r="J107" s="67" t="n"/>
      <c r="K107" s="68">
        <f>IFERROR(VLOOKUP(G107,Stage_Lookup!$A$2:$B$8,2,0),"")</f>
        <v/>
      </c>
      <c r="L107" s="69" t="n"/>
      <c r="M107" s="69" t="n"/>
      <c r="N107" s="67" t="n"/>
      <c r="O107" s="65" t="n"/>
      <c r="P107" s="65" t="n"/>
      <c r="Q107" s="106" t="n"/>
      <c r="R107" s="106" t="n"/>
      <c r="S107" s="106" t="n"/>
      <c r="T107">
        <f>IF(OR(G107="Closed Lost",G107="",NOT(ISNUMBER(H107))),"",H107)</f>
        <v/>
      </c>
    </row>
    <row r="108" ht="18" customHeight="1" s="96">
      <c r="A108" s="57" t="n">
        <v>107</v>
      </c>
      <c r="B108" s="70" t="n"/>
      <c r="C108" s="70" t="n"/>
      <c r="D108" s="70" t="n"/>
      <c r="E108" s="70" t="n"/>
      <c r="F108" s="71" t="n"/>
      <c r="G108" s="70" t="n"/>
      <c r="H108" s="75" t="n"/>
      <c r="I108" s="75" t="n"/>
      <c r="J108" s="72" t="n"/>
      <c r="K108" s="73">
        <f>IFERROR(VLOOKUP(G108,Stage_Lookup!$A$2:$B$8,2,0),"")</f>
        <v/>
      </c>
      <c r="L108" s="69" t="n"/>
      <c r="M108" s="69" t="n"/>
      <c r="N108" s="72" t="n"/>
      <c r="O108" s="70" t="n"/>
      <c r="P108" s="70" t="n"/>
      <c r="Q108" s="106" t="n"/>
      <c r="R108" s="106" t="n"/>
      <c r="S108" s="106" t="n"/>
      <c r="T108">
        <f>IF(OR(G108="Closed Lost",G108="",NOT(ISNUMBER(H108))),"",H108)</f>
        <v/>
      </c>
    </row>
    <row r="109" ht="18" customHeight="1" s="96">
      <c r="A109" s="64" t="n">
        <v>108</v>
      </c>
      <c r="B109" s="65" t="n"/>
      <c r="C109" s="65" t="n"/>
      <c r="D109" s="65" t="n"/>
      <c r="E109" s="65" t="n"/>
      <c r="F109" s="66" t="n"/>
      <c r="G109" s="65" t="n"/>
      <c r="H109" s="74" t="n"/>
      <c r="I109" s="74" t="n"/>
      <c r="J109" s="67" t="n"/>
      <c r="K109" s="68">
        <f>IFERROR(VLOOKUP(G109,Stage_Lookup!$A$2:$B$8,2,0),"")</f>
        <v/>
      </c>
      <c r="L109" s="69" t="n"/>
      <c r="M109" s="69" t="n"/>
      <c r="N109" s="67" t="n"/>
      <c r="O109" s="65" t="n"/>
      <c r="P109" s="65" t="n"/>
      <c r="Q109" s="106" t="n"/>
      <c r="R109" s="106" t="n"/>
      <c r="S109" s="106" t="n"/>
      <c r="T109">
        <f>IF(OR(G109="Closed Lost",G109="",NOT(ISNUMBER(H109))),"",H109)</f>
        <v/>
      </c>
    </row>
    <row r="110" ht="18" customHeight="1" s="96">
      <c r="A110" s="57" t="n">
        <v>109</v>
      </c>
      <c r="B110" s="70" t="n"/>
      <c r="C110" s="70" t="n"/>
      <c r="D110" s="70" t="n"/>
      <c r="E110" s="70" t="n"/>
      <c r="F110" s="71" t="n"/>
      <c r="G110" s="70" t="n"/>
      <c r="H110" s="75" t="n"/>
      <c r="I110" s="75" t="n"/>
      <c r="J110" s="72" t="n"/>
      <c r="K110" s="73">
        <f>IFERROR(VLOOKUP(G110,Stage_Lookup!$A$2:$B$8,2,0),"")</f>
        <v/>
      </c>
      <c r="L110" s="69" t="n"/>
      <c r="M110" s="69" t="n"/>
      <c r="N110" s="72" t="n"/>
      <c r="O110" s="70" t="n"/>
      <c r="P110" s="70" t="n"/>
      <c r="Q110" s="106" t="n"/>
      <c r="R110" s="106" t="n"/>
      <c r="S110" s="106" t="n"/>
      <c r="T110">
        <f>IF(OR(G110="Closed Lost",G110="",NOT(ISNUMBER(H110))),"",H110)</f>
        <v/>
      </c>
    </row>
    <row r="111" ht="18" customHeight="1" s="96">
      <c r="A111" s="64" t="n">
        <v>110</v>
      </c>
      <c r="B111" s="65" t="n"/>
      <c r="C111" s="65" t="n"/>
      <c r="D111" s="65" t="n"/>
      <c r="E111" s="65" t="n"/>
      <c r="F111" s="66" t="n"/>
      <c r="G111" s="65" t="n"/>
      <c r="H111" s="74" t="n"/>
      <c r="I111" s="74" t="n"/>
      <c r="J111" s="67" t="n"/>
      <c r="K111" s="68">
        <f>IFERROR(VLOOKUP(G111,Stage_Lookup!$A$2:$B$8,2,0),"")</f>
        <v/>
      </c>
      <c r="L111" s="69" t="n"/>
      <c r="M111" s="69" t="n"/>
      <c r="N111" s="67" t="n"/>
      <c r="O111" s="65" t="n"/>
      <c r="P111" s="65" t="n"/>
      <c r="Q111" s="106" t="n"/>
      <c r="R111" s="106" t="n"/>
      <c r="S111" s="106" t="n"/>
      <c r="T111">
        <f>IF(OR(G111="Closed Lost",G111="",NOT(ISNUMBER(H111))),"",H111)</f>
        <v/>
      </c>
    </row>
    <row r="112" ht="18" customHeight="1" s="96">
      <c r="A112" s="57" t="n">
        <v>111</v>
      </c>
      <c r="B112" s="70" t="n"/>
      <c r="C112" s="70" t="n"/>
      <c r="D112" s="70" t="n"/>
      <c r="E112" s="70" t="n"/>
      <c r="F112" s="71" t="n"/>
      <c r="G112" s="70" t="n"/>
      <c r="H112" s="75" t="n"/>
      <c r="I112" s="75" t="n"/>
      <c r="J112" s="72" t="n"/>
      <c r="K112" s="73">
        <f>IFERROR(VLOOKUP(G112,Stage_Lookup!$A$2:$B$8,2,0),"")</f>
        <v/>
      </c>
      <c r="L112" s="69" t="n"/>
      <c r="M112" s="69" t="n"/>
      <c r="N112" s="72" t="n"/>
      <c r="O112" s="70" t="n"/>
      <c r="P112" s="70" t="n"/>
      <c r="Q112" s="106" t="n"/>
      <c r="R112" s="106" t="n"/>
      <c r="S112" s="106" t="n"/>
      <c r="T112">
        <f>IF(OR(G112="Closed Lost",G112="",NOT(ISNUMBER(H112))),"",H112)</f>
        <v/>
      </c>
    </row>
    <row r="113" ht="18" customHeight="1" s="96">
      <c r="A113" s="64" t="n">
        <v>112</v>
      </c>
      <c r="B113" s="65" t="n"/>
      <c r="C113" s="65" t="n"/>
      <c r="D113" s="65" t="n"/>
      <c r="E113" s="65" t="n"/>
      <c r="F113" s="66" t="n"/>
      <c r="G113" s="65" t="n"/>
      <c r="H113" s="74" t="n"/>
      <c r="I113" s="74" t="n"/>
      <c r="J113" s="67" t="n"/>
      <c r="K113" s="68">
        <f>IFERROR(VLOOKUP(G113,Stage_Lookup!$A$2:$B$8,2,0),"")</f>
        <v/>
      </c>
      <c r="L113" s="69" t="n"/>
      <c r="M113" s="69" t="n"/>
      <c r="N113" s="67" t="n"/>
      <c r="O113" s="65" t="n"/>
      <c r="P113" s="65" t="n"/>
      <c r="Q113" s="106" t="n"/>
      <c r="R113" s="106" t="n"/>
      <c r="S113" s="106" t="n"/>
      <c r="T113">
        <f>IF(OR(G113="Closed Lost",G113="",NOT(ISNUMBER(H113))),"",H113)</f>
        <v/>
      </c>
    </row>
    <row r="114" ht="18" customHeight="1" s="96">
      <c r="A114" s="57" t="n">
        <v>113</v>
      </c>
      <c r="B114" s="70" t="n"/>
      <c r="C114" s="70" t="n"/>
      <c r="D114" s="70" t="n"/>
      <c r="E114" s="70" t="n"/>
      <c r="F114" s="71" t="n"/>
      <c r="G114" s="70" t="n"/>
      <c r="H114" s="75" t="n"/>
      <c r="I114" s="75" t="n"/>
      <c r="J114" s="72" t="n"/>
      <c r="K114" s="73">
        <f>IFERROR(VLOOKUP(G114,Stage_Lookup!$A$2:$B$8,2,0),"")</f>
        <v/>
      </c>
      <c r="L114" s="69" t="n"/>
      <c r="M114" s="69" t="n"/>
      <c r="N114" s="72" t="n"/>
      <c r="O114" s="70" t="n"/>
      <c r="P114" s="70" t="n"/>
      <c r="Q114" s="106" t="n"/>
      <c r="R114" s="106" t="n"/>
      <c r="S114" s="106" t="n"/>
      <c r="T114">
        <f>IF(OR(G114="Closed Lost",G114="",NOT(ISNUMBER(H114))),"",H114)</f>
        <v/>
      </c>
    </row>
    <row r="115" ht="18" customHeight="1" s="96">
      <c r="A115" s="64" t="n">
        <v>114</v>
      </c>
      <c r="B115" s="65" t="n"/>
      <c r="C115" s="65" t="n"/>
      <c r="D115" s="65" t="n"/>
      <c r="E115" s="65" t="n"/>
      <c r="F115" s="66" t="n"/>
      <c r="G115" s="65" t="n"/>
      <c r="H115" s="74" t="n"/>
      <c r="I115" s="74" t="n"/>
      <c r="J115" s="67" t="n"/>
      <c r="K115" s="68">
        <f>IFERROR(VLOOKUP(G115,Stage_Lookup!$A$2:$B$8,2,0),"")</f>
        <v/>
      </c>
      <c r="L115" s="69" t="n"/>
      <c r="M115" s="69" t="n"/>
      <c r="N115" s="67" t="n"/>
      <c r="O115" s="65" t="n"/>
      <c r="P115" s="65" t="n"/>
      <c r="Q115" s="106" t="n"/>
      <c r="R115" s="106" t="n"/>
      <c r="S115" s="106" t="n"/>
      <c r="T115">
        <f>IF(OR(G115="Closed Lost",G115="",NOT(ISNUMBER(H115))),"",H115)</f>
        <v/>
      </c>
    </row>
    <row r="116" ht="18" customHeight="1" s="96">
      <c r="A116" s="57" t="n">
        <v>115</v>
      </c>
      <c r="B116" s="70" t="n"/>
      <c r="C116" s="70" t="n"/>
      <c r="D116" s="70" t="n"/>
      <c r="E116" s="70" t="n"/>
      <c r="F116" s="71" t="n"/>
      <c r="G116" s="70" t="n"/>
      <c r="H116" s="75" t="n"/>
      <c r="I116" s="75" t="n"/>
      <c r="J116" s="72" t="n"/>
      <c r="K116" s="73">
        <f>IFERROR(VLOOKUP(G116,Stage_Lookup!$A$2:$B$8,2,0),"")</f>
        <v/>
      </c>
      <c r="L116" s="69" t="n"/>
      <c r="M116" s="69" t="n"/>
      <c r="N116" s="72" t="n"/>
      <c r="O116" s="70" t="n"/>
      <c r="P116" s="70" t="n"/>
      <c r="Q116" s="106" t="n"/>
      <c r="R116" s="106" t="n"/>
      <c r="S116" s="106" t="n"/>
      <c r="T116">
        <f>IF(OR(G116="Closed Lost",G116="",NOT(ISNUMBER(H116))),"",H116)</f>
        <v/>
      </c>
    </row>
    <row r="117" ht="18" customHeight="1" s="96">
      <c r="A117" s="64" t="n">
        <v>116</v>
      </c>
      <c r="B117" s="65" t="n"/>
      <c r="C117" s="65" t="n"/>
      <c r="D117" s="65" t="n"/>
      <c r="E117" s="65" t="n"/>
      <c r="F117" s="66" t="n"/>
      <c r="G117" s="65" t="n"/>
      <c r="H117" s="74" t="n"/>
      <c r="I117" s="74" t="n"/>
      <c r="J117" s="67" t="n"/>
      <c r="K117" s="68">
        <f>IFERROR(VLOOKUP(G117,Stage_Lookup!$A$2:$B$8,2,0),"")</f>
        <v/>
      </c>
      <c r="L117" s="69" t="n"/>
      <c r="M117" s="69" t="n"/>
      <c r="N117" s="67" t="n"/>
      <c r="O117" s="65" t="n"/>
      <c r="P117" s="65" t="n"/>
      <c r="Q117" s="106" t="n"/>
      <c r="R117" s="106" t="n"/>
      <c r="S117" s="106" t="n"/>
      <c r="T117">
        <f>IF(OR(G117="Closed Lost",G117="",NOT(ISNUMBER(H117))),"",H117)</f>
        <v/>
      </c>
    </row>
    <row r="118" ht="18" customHeight="1" s="96">
      <c r="A118" s="57" t="n">
        <v>117</v>
      </c>
      <c r="B118" s="70" t="n"/>
      <c r="C118" s="70" t="n"/>
      <c r="D118" s="70" t="n"/>
      <c r="E118" s="70" t="n"/>
      <c r="F118" s="71" t="n"/>
      <c r="G118" s="70" t="n"/>
      <c r="H118" s="75" t="n"/>
      <c r="I118" s="75" t="n"/>
      <c r="J118" s="72" t="n"/>
      <c r="K118" s="73">
        <f>IFERROR(VLOOKUP(G118,Stage_Lookup!$A$2:$B$8,2,0),"")</f>
        <v/>
      </c>
      <c r="L118" s="69" t="n"/>
      <c r="M118" s="69" t="n"/>
      <c r="N118" s="72" t="n"/>
      <c r="O118" s="70" t="n"/>
      <c r="P118" s="70" t="n"/>
      <c r="Q118" s="106" t="n"/>
      <c r="R118" s="106" t="n"/>
      <c r="S118" s="106" t="n"/>
      <c r="T118">
        <f>IF(OR(G118="Closed Lost",G118="",NOT(ISNUMBER(H118))),"",H118)</f>
        <v/>
      </c>
    </row>
    <row r="119" ht="18" customHeight="1" s="96">
      <c r="A119" s="64" t="n">
        <v>118</v>
      </c>
      <c r="B119" s="65" t="n"/>
      <c r="C119" s="65" t="n"/>
      <c r="D119" s="65" t="n"/>
      <c r="E119" s="65" t="n"/>
      <c r="F119" s="66" t="n"/>
      <c r="G119" s="65" t="n"/>
      <c r="H119" s="74" t="n"/>
      <c r="I119" s="74" t="n"/>
      <c r="J119" s="67" t="n"/>
      <c r="K119" s="68">
        <f>IFERROR(VLOOKUP(G119,Stage_Lookup!$A$2:$B$8,2,0),"")</f>
        <v/>
      </c>
      <c r="L119" s="69" t="n"/>
      <c r="M119" s="69" t="n"/>
      <c r="N119" s="67" t="n"/>
      <c r="O119" s="65" t="n"/>
      <c r="P119" s="65" t="n"/>
      <c r="Q119" s="106" t="n"/>
      <c r="R119" s="106" t="n"/>
      <c r="S119" s="106" t="n"/>
      <c r="T119">
        <f>IF(OR(G119="Closed Lost",G119="",NOT(ISNUMBER(H119))),"",H119)</f>
        <v/>
      </c>
    </row>
    <row r="120" ht="18" customHeight="1" s="96">
      <c r="A120" s="57" t="n">
        <v>119</v>
      </c>
      <c r="B120" s="70" t="n"/>
      <c r="C120" s="70" t="n"/>
      <c r="D120" s="70" t="n"/>
      <c r="E120" s="70" t="n"/>
      <c r="F120" s="71" t="n"/>
      <c r="G120" s="70" t="n"/>
      <c r="H120" s="75" t="n"/>
      <c r="I120" s="75" t="n"/>
      <c r="J120" s="72" t="n"/>
      <c r="K120" s="73">
        <f>IFERROR(VLOOKUP(G120,Stage_Lookup!$A$2:$B$8,2,0),"")</f>
        <v/>
      </c>
      <c r="L120" s="69" t="n"/>
      <c r="M120" s="69" t="n"/>
      <c r="N120" s="72" t="n"/>
      <c r="O120" s="70" t="n"/>
      <c r="P120" s="70" t="n"/>
      <c r="Q120" s="106" t="n"/>
      <c r="R120" s="106" t="n"/>
      <c r="S120" s="106" t="n"/>
      <c r="T120">
        <f>IF(OR(G120="Closed Lost",G120="",NOT(ISNUMBER(H120))),"",H120)</f>
        <v/>
      </c>
    </row>
    <row r="121" ht="18" customHeight="1" s="96">
      <c r="A121" s="64" t="n">
        <v>120</v>
      </c>
      <c r="B121" s="65" t="n"/>
      <c r="C121" s="65" t="n"/>
      <c r="D121" s="65" t="n"/>
      <c r="E121" s="65" t="n"/>
      <c r="F121" s="66" t="n"/>
      <c r="G121" s="65" t="n"/>
      <c r="H121" s="74" t="n"/>
      <c r="I121" s="74" t="n"/>
      <c r="J121" s="67" t="n"/>
      <c r="K121" s="68">
        <f>IFERROR(VLOOKUP(G121,Stage_Lookup!$A$2:$B$8,2,0),"")</f>
        <v/>
      </c>
      <c r="L121" s="69" t="n"/>
      <c r="M121" s="69" t="n"/>
      <c r="N121" s="67" t="n"/>
      <c r="O121" s="65" t="n"/>
      <c r="P121" s="65" t="n"/>
      <c r="Q121" s="106" t="n"/>
      <c r="R121" s="106" t="n"/>
      <c r="S121" s="106" t="n"/>
      <c r="T121">
        <f>IF(OR(G121="Closed Lost",G121="",NOT(ISNUMBER(H121))),"",H121)</f>
        <v/>
      </c>
    </row>
    <row r="122" ht="18" customHeight="1" s="96">
      <c r="A122" s="57" t="n">
        <v>121</v>
      </c>
      <c r="B122" s="70" t="n"/>
      <c r="C122" s="70" t="n"/>
      <c r="D122" s="70" t="n"/>
      <c r="E122" s="70" t="n"/>
      <c r="F122" s="71" t="n"/>
      <c r="G122" s="70" t="n"/>
      <c r="H122" s="75" t="n"/>
      <c r="I122" s="75" t="n"/>
      <c r="J122" s="72" t="n"/>
      <c r="K122" s="73">
        <f>IFERROR(VLOOKUP(G122,Stage_Lookup!$A$2:$B$8,2,0),"")</f>
        <v/>
      </c>
      <c r="L122" s="69" t="n"/>
      <c r="M122" s="69" t="n"/>
      <c r="N122" s="72" t="n"/>
      <c r="O122" s="70" t="n"/>
      <c r="P122" s="70" t="n"/>
      <c r="Q122" s="106" t="n"/>
      <c r="R122" s="106" t="n"/>
      <c r="S122" s="106" t="n"/>
      <c r="T122">
        <f>IF(OR(G122="Closed Lost",G122="",NOT(ISNUMBER(H122))),"",H122)</f>
        <v/>
      </c>
    </row>
    <row r="123" ht="18" customHeight="1" s="96">
      <c r="A123" s="64" t="n">
        <v>122</v>
      </c>
      <c r="B123" s="65" t="n"/>
      <c r="C123" s="65" t="n"/>
      <c r="D123" s="65" t="n"/>
      <c r="E123" s="65" t="n"/>
      <c r="F123" s="66" t="n"/>
      <c r="G123" s="65" t="n"/>
      <c r="H123" s="74" t="n"/>
      <c r="I123" s="74" t="n"/>
      <c r="J123" s="67" t="n"/>
      <c r="K123" s="68">
        <f>IFERROR(VLOOKUP(G123,Stage_Lookup!$A$2:$B$8,2,0),"")</f>
        <v/>
      </c>
      <c r="L123" s="69" t="n"/>
      <c r="M123" s="69" t="n"/>
      <c r="N123" s="67" t="n"/>
      <c r="O123" s="65" t="n"/>
      <c r="P123" s="65" t="n"/>
      <c r="Q123" s="106" t="n"/>
      <c r="R123" s="106" t="n"/>
      <c r="S123" s="106" t="n"/>
      <c r="T123">
        <f>IF(OR(G123="Closed Lost",G123="",NOT(ISNUMBER(H123))),"",H123)</f>
        <v/>
      </c>
    </row>
    <row r="124" ht="18" customHeight="1" s="96">
      <c r="A124" s="57" t="n">
        <v>123</v>
      </c>
      <c r="B124" s="70" t="n"/>
      <c r="C124" s="70" t="n"/>
      <c r="D124" s="70" t="n"/>
      <c r="E124" s="70" t="n"/>
      <c r="F124" s="71" t="n"/>
      <c r="G124" s="70" t="n"/>
      <c r="H124" s="75" t="n"/>
      <c r="I124" s="75" t="n"/>
      <c r="J124" s="72" t="n"/>
      <c r="K124" s="73">
        <f>IFERROR(VLOOKUP(G124,Stage_Lookup!$A$2:$B$8,2,0),"")</f>
        <v/>
      </c>
      <c r="L124" s="69" t="n"/>
      <c r="M124" s="69" t="n"/>
      <c r="N124" s="72" t="n"/>
      <c r="O124" s="70" t="n"/>
      <c r="P124" s="70" t="n"/>
      <c r="Q124" s="106" t="n"/>
      <c r="R124" s="106" t="n"/>
      <c r="S124" s="106" t="n"/>
      <c r="T124">
        <f>IF(OR(G124="Closed Lost",G124="",NOT(ISNUMBER(H124))),"",H124)</f>
        <v/>
      </c>
    </row>
    <row r="125" ht="18" customHeight="1" s="96">
      <c r="A125" s="64" t="n">
        <v>124</v>
      </c>
      <c r="B125" s="65" t="n"/>
      <c r="C125" s="65" t="n"/>
      <c r="D125" s="65" t="n"/>
      <c r="E125" s="65" t="n"/>
      <c r="F125" s="66" t="n"/>
      <c r="G125" s="65" t="n"/>
      <c r="H125" s="74" t="n"/>
      <c r="I125" s="74" t="n"/>
      <c r="J125" s="67" t="n"/>
      <c r="K125" s="68">
        <f>IFERROR(VLOOKUP(G125,Stage_Lookup!$A$2:$B$8,2,0),"")</f>
        <v/>
      </c>
      <c r="L125" s="69" t="n"/>
      <c r="M125" s="69" t="n"/>
      <c r="N125" s="67" t="n"/>
      <c r="O125" s="65" t="n"/>
      <c r="P125" s="65" t="n"/>
      <c r="Q125" s="106" t="n"/>
      <c r="R125" s="106" t="n"/>
      <c r="S125" s="106" t="n"/>
      <c r="T125">
        <f>IF(OR(G125="Closed Lost",G125="",NOT(ISNUMBER(H125))),"",H125)</f>
        <v/>
      </c>
    </row>
    <row r="126" ht="18" customHeight="1" s="96">
      <c r="A126" s="57" t="n">
        <v>125</v>
      </c>
      <c r="B126" s="70" t="n"/>
      <c r="C126" s="70" t="n"/>
      <c r="D126" s="70" t="n"/>
      <c r="E126" s="70" t="n"/>
      <c r="F126" s="71" t="n"/>
      <c r="G126" s="70" t="n"/>
      <c r="H126" s="75" t="n"/>
      <c r="I126" s="75" t="n"/>
      <c r="J126" s="72" t="n"/>
      <c r="K126" s="73">
        <f>IFERROR(VLOOKUP(G126,Stage_Lookup!$A$2:$B$8,2,0),"")</f>
        <v/>
      </c>
      <c r="L126" s="69" t="n"/>
      <c r="M126" s="69" t="n"/>
      <c r="N126" s="72" t="n"/>
      <c r="O126" s="70" t="n"/>
      <c r="P126" s="70" t="n"/>
      <c r="Q126" s="106" t="n"/>
      <c r="R126" s="106" t="n"/>
      <c r="S126" s="106" t="n"/>
      <c r="T126">
        <f>IF(OR(G126="Closed Lost",G126="",NOT(ISNUMBER(H126))),"",H126)</f>
        <v/>
      </c>
    </row>
    <row r="127" ht="18" customHeight="1" s="96">
      <c r="A127" s="64" t="n">
        <v>126</v>
      </c>
      <c r="B127" s="65" t="n"/>
      <c r="C127" s="65" t="n"/>
      <c r="D127" s="65" t="n"/>
      <c r="E127" s="65" t="n"/>
      <c r="F127" s="66" t="n"/>
      <c r="G127" s="65" t="n"/>
      <c r="H127" s="74" t="n"/>
      <c r="I127" s="74" t="n"/>
      <c r="J127" s="67" t="n"/>
      <c r="K127" s="68">
        <f>IFERROR(VLOOKUP(G127,Stage_Lookup!$A$2:$B$8,2,0),"")</f>
        <v/>
      </c>
      <c r="L127" s="69" t="n"/>
      <c r="M127" s="69" t="n"/>
      <c r="N127" s="67" t="n"/>
      <c r="O127" s="65" t="n"/>
      <c r="P127" s="65" t="n"/>
      <c r="Q127" s="106" t="n"/>
      <c r="R127" s="106" t="n"/>
      <c r="S127" s="106" t="n"/>
      <c r="T127">
        <f>IF(OR(G127="Closed Lost",G127="",NOT(ISNUMBER(H127))),"",H127)</f>
        <v/>
      </c>
    </row>
    <row r="128" ht="18" customHeight="1" s="96">
      <c r="A128" s="57" t="n">
        <v>127</v>
      </c>
      <c r="B128" s="70" t="n"/>
      <c r="C128" s="70" t="n"/>
      <c r="D128" s="70" t="n"/>
      <c r="E128" s="70" t="n"/>
      <c r="F128" s="71" t="n"/>
      <c r="G128" s="70" t="n"/>
      <c r="H128" s="75" t="n"/>
      <c r="I128" s="75" t="n"/>
      <c r="J128" s="72" t="n"/>
      <c r="K128" s="73">
        <f>IFERROR(VLOOKUP(G128,Stage_Lookup!$A$2:$B$8,2,0),"")</f>
        <v/>
      </c>
      <c r="L128" s="69" t="n"/>
      <c r="M128" s="69" t="n"/>
      <c r="N128" s="72" t="n"/>
      <c r="O128" s="70" t="n"/>
      <c r="P128" s="70" t="n"/>
      <c r="Q128" s="106" t="n"/>
      <c r="R128" s="106" t="n"/>
      <c r="S128" s="106" t="n"/>
      <c r="T128">
        <f>IF(OR(G128="Closed Lost",G128="",NOT(ISNUMBER(H128))),"",H128)</f>
        <v/>
      </c>
    </row>
    <row r="129" ht="18" customHeight="1" s="96">
      <c r="A129" s="64" t="n">
        <v>128</v>
      </c>
      <c r="B129" s="65" t="n"/>
      <c r="C129" s="65" t="n"/>
      <c r="D129" s="65" t="n"/>
      <c r="E129" s="65" t="n"/>
      <c r="F129" s="66" t="n"/>
      <c r="G129" s="65" t="n"/>
      <c r="H129" s="74" t="n"/>
      <c r="I129" s="74" t="n"/>
      <c r="J129" s="67" t="n"/>
      <c r="K129" s="68">
        <f>IFERROR(VLOOKUP(G129,Stage_Lookup!$A$2:$B$8,2,0),"")</f>
        <v/>
      </c>
      <c r="L129" s="69" t="n"/>
      <c r="M129" s="69" t="n"/>
      <c r="N129" s="67" t="n"/>
      <c r="O129" s="65" t="n"/>
      <c r="P129" s="65" t="n"/>
      <c r="Q129" s="106" t="n"/>
      <c r="R129" s="106" t="n"/>
      <c r="S129" s="106" t="n"/>
      <c r="T129">
        <f>IF(OR(G129="Closed Lost",G129="",NOT(ISNUMBER(H129))),"",H129)</f>
        <v/>
      </c>
    </row>
    <row r="130" ht="18" customHeight="1" s="96">
      <c r="A130" s="57" t="n">
        <v>129</v>
      </c>
      <c r="B130" s="70" t="n"/>
      <c r="C130" s="70" t="n"/>
      <c r="D130" s="70" t="n"/>
      <c r="E130" s="70" t="n"/>
      <c r="F130" s="71" t="n"/>
      <c r="G130" s="70" t="n"/>
      <c r="H130" s="75" t="n"/>
      <c r="I130" s="75" t="n"/>
      <c r="J130" s="72" t="n"/>
      <c r="K130" s="73">
        <f>IFERROR(VLOOKUP(G130,Stage_Lookup!$A$2:$B$8,2,0),"")</f>
        <v/>
      </c>
      <c r="L130" s="69" t="n"/>
      <c r="M130" s="69" t="n"/>
      <c r="N130" s="72" t="n"/>
      <c r="O130" s="70" t="n"/>
      <c r="P130" s="70" t="n"/>
      <c r="Q130" s="106" t="n"/>
      <c r="R130" s="106" t="n"/>
      <c r="S130" s="106" t="n"/>
      <c r="T130">
        <f>IF(OR(G130="Closed Lost",G130="",NOT(ISNUMBER(H130))),"",H130)</f>
        <v/>
      </c>
    </row>
    <row r="131" ht="18" customHeight="1" s="96">
      <c r="A131" s="64" t="n">
        <v>130</v>
      </c>
      <c r="B131" s="65" t="n"/>
      <c r="C131" s="65" t="n"/>
      <c r="D131" s="65" t="n"/>
      <c r="E131" s="65" t="n"/>
      <c r="F131" s="66" t="n"/>
      <c r="G131" s="65" t="n"/>
      <c r="H131" s="74" t="n"/>
      <c r="I131" s="74" t="n"/>
      <c r="J131" s="67" t="n"/>
      <c r="K131" s="68">
        <f>IFERROR(VLOOKUP(G131,Stage_Lookup!$A$2:$B$8,2,0),"")</f>
        <v/>
      </c>
      <c r="L131" s="69" t="n"/>
      <c r="M131" s="69" t="n"/>
      <c r="N131" s="67" t="n"/>
      <c r="O131" s="65" t="n"/>
      <c r="P131" s="65" t="n"/>
      <c r="Q131" s="106" t="n"/>
      <c r="R131" s="106" t="n"/>
      <c r="S131" s="106" t="n"/>
      <c r="T131">
        <f>IF(OR(G131="Closed Lost",G131="",NOT(ISNUMBER(H131))),"",H131)</f>
        <v/>
      </c>
    </row>
    <row r="132" ht="18" customHeight="1" s="96">
      <c r="A132" s="57" t="n">
        <v>131</v>
      </c>
      <c r="B132" s="70" t="n"/>
      <c r="C132" s="70" t="n"/>
      <c r="D132" s="70" t="n"/>
      <c r="E132" s="70" t="n"/>
      <c r="F132" s="71" t="n"/>
      <c r="G132" s="70" t="n"/>
      <c r="H132" s="75" t="n"/>
      <c r="I132" s="75" t="n"/>
      <c r="J132" s="72" t="n"/>
      <c r="K132" s="73">
        <f>IFERROR(VLOOKUP(G132,Stage_Lookup!$A$2:$B$8,2,0),"")</f>
        <v/>
      </c>
      <c r="L132" s="69" t="n"/>
      <c r="M132" s="69" t="n"/>
      <c r="N132" s="72" t="n"/>
      <c r="O132" s="70" t="n"/>
      <c r="P132" s="70" t="n"/>
      <c r="Q132" s="106" t="n"/>
      <c r="R132" s="106" t="n"/>
      <c r="S132" s="106" t="n"/>
      <c r="T132">
        <f>IF(OR(G132="Closed Lost",G132="",NOT(ISNUMBER(H132))),"",H132)</f>
        <v/>
      </c>
    </row>
    <row r="133" ht="18" customHeight="1" s="96">
      <c r="A133" s="64" t="n">
        <v>132</v>
      </c>
      <c r="B133" s="65" t="n"/>
      <c r="C133" s="65" t="n"/>
      <c r="D133" s="65" t="n"/>
      <c r="E133" s="65" t="n"/>
      <c r="F133" s="66" t="n"/>
      <c r="G133" s="65" t="n"/>
      <c r="H133" s="74" t="n"/>
      <c r="I133" s="74" t="n"/>
      <c r="J133" s="67" t="n"/>
      <c r="K133" s="68">
        <f>IFERROR(VLOOKUP(G133,Stage_Lookup!$A$2:$B$8,2,0),"")</f>
        <v/>
      </c>
      <c r="L133" s="69" t="n"/>
      <c r="M133" s="69" t="n"/>
      <c r="N133" s="67" t="n"/>
      <c r="O133" s="65" t="n"/>
      <c r="P133" s="65" t="n"/>
      <c r="Q133" s="106" t="n"/>
      <c r="R133" s="106" t="n"/>
      <c r="S133" s="106" t="n"/>
      <c r="T133">
        <f>IF(OR(G133="Closed Lost",G133="",NOT(ISNUMBER(H133))),"",H133)</f>
        <v/>
      </c>
    </row>
    <row r="134" ht="18" customHeight="1" s="96">
      <c r="A134" s="57" t="n">
        <v>133</v>
      </c>
      <c r="B134" s="70" t="n"/>
      <c r="C134" s="70" t="n"/>
      <c r="D134" s="70" t="n"/>
      <c r="E134" s="70" t="n"/>
      <c r="F134" s="71" t="n"/>
      <c r="G134" s="70" t="n"/>
      <c r="H134" s="75" t="n"/>
      <c r="I134" s="75" t="n"/>
      <c r="J134" s="72" t="n"/>
      <c r="K134" s="73">
        <f>IFERROR(VLOOKUP(G134,Stage_Lookup!$A$2:$B$8,2,0),"")</f>
        <v/>
      </c>
      <c r="L134" s="69" t="n"/>
      <c r="M134" s="69" t="n"/>
      <c r="N134" s="72" t="n"/>
      <c r="O134" s="70" t="n"/>
      <c r="P134" s="70" t="n"/>
      <c r="Q134" s="106" t="n"/>
      <c r="R134" s="106" t="n"/>
      <c r="S134" s="106" t="n"/>
      <c r="T134">
        <f>IF(OR(G134="Closed Lost",G134="",NOT(ISNUMBER(H134))),"",H134)</f>
        <v/>
      </c>
    </row>
    <row r="135" ht="18" customHeight="1" s="96">
      <c r="A135" s="64" t="n">
        <v>134</v>
      </c>
      <c r="B135" s="65" t="n"/>
      <c r="C135" s="65" t="n"/>
      <c r="D135" s="65" t="n"/>
      <c r="E135" s="65" t="n"/>
      <c r="F135" s="66" t="n"/>
      <c r="G135" s="65" t="n"/>
      <c r="H135" s="74" t="n"/>
      <c r="I135" s="74" t="n"/>
      <c r="J135" s="67" t="n"/>
      <c r="K135" s="68">
        <f>IFERROR(VLOOKUP(G135,Stage_Lookup!$A$2:$B$8,2,0),"")</f>
        <v/>
      </c>
      <c r="L135" s="69" t="n"/>
      <c r="M135" s="69" t="n"/>
      <c r="N135" s="67" t="n"/>
      <c r="O135" s="65" t="n"/>
      <c r="P135" s="65" t="n"/>
      <c r="Q135" s="106" t="n"/>
      <c r="R135" s="106" t="n"/>
      <c r="S135" s="106" t="n"/>
      <c r="T135">
        <f>IF(OR(G135="Closed Lost",G135="",NOT(ISNUMBER(H135))),"",H135)</f>
        <v/>
      </c>
    </row>
    <row r="136" ht="18" customHeight="1" s="96">
      <c r="A136" s="57" t="n">
        <v>135</v>
      </c>
      <c r="B136" s="70" t="n"/>
      <c r="C136" s="70" t="n"/>
      <c r="D136" s="70" t="n"/>
      <c r="E136" s="70" t="n"/>
      <c r="F136" s="71" t="n"/>
      <c r="G136" s="70" t="n"/>
      <c r="H136" s="75" t="n"/>
      <c r="I136" s="75" t="n"/>
      <c r="J136" s="72" t="n"/>
      <c r="K136" s="73">
        <f>IFERROR(VLOOKUP(G136,Stage_Lookup!$A$2:$B$8,2,0),"")</f>
        <v/>
      </c>
      <c r="L136" s="69" t="n"/>
      <c r="M136" s="69" t="n"/>
      <c r="N136" s="72" t="n"/>
      <c r="O136" s="70" t="n"/>
      <c r="P136" s="70" t="n"/>
      <c r="Q136" s="106" t="n"/>
      <c r="R136" s="106" t="n"/>
      <c r="S136" s="106" t="n"/>
      <c r="T136">
        <f>IF(OR(G136="Closed Lost",G136="",NOT(ISNUMBER(H136))),"",H136)</f>
        <v/>
      </c>
    </row>
    <row r="137" ht="18" customHeight="1" s="96">
      <c r="A137" s="64" t="n">
        <v>136</v>
      </c>
      <c r="B137" s="65" t="n"/>
      <c r="C137" s="65" t="n"/>
      <c r="D137" s="65" t="n"/>
      <c r="E137" s="65" t="n"/>
      <c r="F137" s="66" t="n"/>
      <c r="G137" s="65" t="n"/>
      <c r="H137" s="74" t="n"/>
      <c r="I137" s="74" t="n"/>
      <c r="J137" s="67" t="n"/>
      <c r="K137" s="68">
        <f>IFERROR(VLOOKUP(G137,Stage_Lookup!$A$2:$B$8,2,0),"")</f>
        <v/>
      </c>
      <c r="L137" s="69" t="n"/>
      <c r="M137" s="69" t="n"/>
      <c r="N137" s="67" t="n"/>
      <c r="O137" s="65" t="n"/>
      <c r="P137" s="65" t="n"/>
      <c r="Q137" s="106" t="n"/>
      <c r="R137" s="106" t="n"/>
      <c r="S137" s="106" t="n"/>
      <c r="T137">
        <f>IF(OR(G137="Closed Lost",G137="",NOT(ISNUMBER(H137))),"",H137)</f>
        <v/>
      </c>
    </row>
    <row r="138" ht="18" customHeight="1" s="96">
      <c r="A138" s="57" t="n">
        <v>137</v>
      </c>
      <c r="B138" s="70" t="n"/>
      <c r="C138" s="70" t="n"/>
      <c r="D138" s="70" t="n"/>
      <c r="E138" s="70" t="n"/>
      <c r="F138" s="71" t="n"/>
      <c r="G138" s="70" t="n"/>
      <c r="H138" s="75" t="n"/>
      <c r="I138" s="75" t="n"/>
      <c r="J138" s="72" t="n"/>
      <c r="K138" s="73">
        <f>IFERROR(VLOOKUP(G138,Stage_Lookup!$A$2:$B$8,2,0),"")</f>
        <v/>
      </c>
      <c r="L138" s="69" t="n"/>
      <c r="M138" s="69" t="n"/>
      <c r="N138" s="72" t="n"/>
      <c r="O138" s="70" t="n"/>
      <c r="P138" s="70" t="n"/>
      <c r="Q138" s="106" t="n"/>
      <c r="R138" s="106" t="n"/>
      <c r="S138" s="106" t="n"/>
      <c r="T138">
        <f>IF(OR(G138="Closed Lost",G138="",NOT(ISNUMBER(H138))),"",H138)</f>
        <v/>
      </c>
    </row>
    <row r="139" ht="18" customHeight="1" s="96">
      <c r="A139" s="64" t="n">
        <v>138</v>
      </c>
      <c r="B139" s="65" t="n"/>
      <c r="C139" s="65" t="n"/>
      <c r="D139" s="65" t="n"/>
      <c r="E139" s="65" t="n"/>
      <c r="F139" s="66" t="n"/>
      <c r="G139" s="65" t="n"/>
      <c r="H139" s="74" t="n"/>
      <c r="I139" s="74" t="n"/>
      <c r="J139" s="67" t="n"/>
      <c r="K139" s="68">
        <f>IFERROR(VLOOKUP(G139,Stage_Lookup!$A$2:$B$8,2,0),"")</f>
        <v/>
      </c>
      <c r="L139" s="69" t="n"/>
      <c r="M139" s="69" t="n"/>
      <c r="N139" s="67" t="n"/>
      <c r="O139" s="65" t="n"/>
      <c r="P139" s="65" t="n"/>
      <c r="Q139" s="106" t="n"/>
      <c r="R139" s="106" t="n"/>
      <c r="S139" s="106" t="n"/>
      <c r="T139">
        <f>IF(OR(G139="Closed Lost",G139="",NOT(ISNUMBER(H139))),"",H139)</f>
        <v/>
      </c>
    </row>
    <row r="140" ht="18" customHeight="1" s="96">
      <c r="A140" s="57" t="n">
        <v>139</v>
      </c>
      <c r="B140" s="70" t="n"/>
      <c r="C140" s="70" t="n"/>
      <c r="D140" s="70" t="n"/>
      <c r="E140" s="70" t="n"/>
      <c r="F140" s="71" t="n"/>
      <c r="G140" s="70" t="n"/>
      <c r="H140" s="75" t="n"/>
      <c r="I140" s="75" t="n"/>
      <c r="J140" s="72" t="n"/>
      <c r="K140" s="73">
        <f>IFERROR(VLOOKUP(G140,Stage_Lookup!$A$2:$B$8,2,0),"")</f>
        <v/>
      </c>
      <c r="L140" s="69" t="n"/>
      <c r="M140" s="69" t="n"/>
      <c r="N140" s="72" t="n"/>
      <c r="O140" s="70" t="n"/>
      <c r="P140" s="70" t="n"/>
      <c r="Q140" s="106" t="n"/>
      <c r="R140" s="106" t="n"/>
      <c r="S140" s="106" t="n"/>
      <c r="T140">
        <f>IF(OR(G140="Closed Lost",G140="",NOT(ISNUMBER(H140))),"",H140)</f>
        <v/>
      </c>
    </row>
    <row r="141" ht="18" customHeight="1" s="96">
      <c r="A141" s="64" t="n">
        <v>140</v>
      </c>
      <c r="B141" s="65" t="n"/>
      <c r="C141" s="65" t="n"/>
      <c r="D141" s="65" t="n"/>
      <c r="E141" s="65" t="n"/>
      <c r="F141" s="66" t="n"/>
      <c r="G141" s="65" t="n"/>
      <c r="H141" s="74" t="n"/>
      <c r="I141" s="74" t="n"/>
      <c r="J141" s="67" t="n"/>
      <c r="K141" s="68">
        <f>IFERROR(VLOOKUP(G141,Stage_Lookup!$A$2:$B$8,2,0),"")</f>
        <v/>
      </c>
      <c r="L141" s="69" t="n"/>
      <c r="M141" s="69" t="n"/>
      <c r="N141" s="67" t="n"/>
      <c r="O141" s="65" t="n"/>
      <c r="P141" s="65" t="n"/>
      <c r="Q141" s="106" t="n"/>
      <c r="R141" s="106" t="n"/>
      <c r="S141" s="106" t="n"/>
      <c r="T141">
        <f>IF(OR(G141="Closed Lost",G141="",NOT(ISNUMBER(H141))),"",H141)</f>
        <v/>
      </c>
    </row>
    <row r="142" ht="18" customHeight="1" s="96">
      <c r="A142" s="57" t="n">
        <v>141</v>
      </c>
      <c r="B142" s="70" t="n"/>
      <c r="C142" s="70" t="n"/>
      <c r="D142" s="70" t="n"/>
      <c r="E142" s="70" t="n"/>
      <c r="F142" s="71" t="n"/>
      <c r="G142" s="70" t="n"/>
      <c r="H142" s="75" t="n"/>
      <c r="I142" s="75" t="n"/>
      <c r="J142" s="72" t="n"/>
      <c r="K142" s="73">
        <f>IFERROR(VLOOKUP(G142,Stage_Lookup!$A$2:$B$8,2,0),"")</f>
        <v/>
      </c>
      <c r="L142" s="69" t="n"/>
      <c r="M142" s="69" t="n"/>
      <c r="N142" s="72" t="n"/>
      <c r="O142" s="70" t="n"/>
      <c r="P142" s="70" t="n"/>
      <c r="Q142" s="106" t="n"/>
      <c r="R142" s="106" t="n"/>
      <c r="S142" s="106" t="n"/>
      <c r="T142">
        <f>IF(OR(G142="Closed Lost",G142="",NOT(ISNUMBER(H142))),"",H142)</f>
        <v/>
      </c>
    </row>
    <row r="143" ht="18" customHeight="1" s="96">
      <c r="A143" s="64" t="n">
        <v>142</v>
      </c>
      <c r="B143" s="65" t="n"/>
      <c r="C143" s="65" t="n"/>
      <c r="D143" s="65" t="n"/>
      <c r="E143" s="65" t="n"/>
      <c r="F143" s="66" t="n"/>
      <c r="G143" s="65" t="n"/>
      <c r="H143" s="74" t="n"/>
      <c r="I143" s="74" t="n"/>
      <c r="J143" s="67" t="n"/>
      <c r="K143" s="68">
        <f>IFERROR(VLOOKUP(G143,Stage_Lookup!$A$2:$B$8,2,0),"")</f>
        <v/>
      </c>
      <c r="L143" s="69" t="n"/>
      <c r="M143" s="69" t="n"/>
      <c r="N143" s="67" t="n"/>
      <c r="O143" s="65" t="n"/>
      <c r="P143" s="65" t="n"/>
      <c r="Q143" s="106" t="n"/>
      <c r="R143" s="106" t="n"/>
      <c r="S143" s="106" t="n"/>
      <c r="T143">
        <f>IF(OR(G143="Closed Lost",G143="",NOT(ISNUMBER(H143))),"",H143)</f>
        <v/>
      </c>
    </row>
    <row r="144" ht="18" customHeight="1" s="96">
      <c r="A144" s="57" t="n">
        <v>143</v>
      </c>
      <c r="B144" s="70" t="n"/>
      <c r="C144" s="70" t="n"/>
      <c r="D144" s="70" t="n"/>
      <c r="E144" s="70" t="n"/>
      <c r="F144" s="71" t="n"/>
      <c r="G144" s="70" t="n"/>
      <c r="H144" s="75" t="n"/>
      <c r="I144" s="75" t="n"/>
      <c r="J144" s="72" t="n"/>
      <c r="K144" s="73">
        <f>IFERROR(VLOOKUP(G144,Stage_Lookup!$A$2:$B$8,2,0),"")</f>
        <v/>
      </c>
      <c r="L144" s="69" t="n"/>
      <c r="M144" s="69" t="n"/>
      <c r="N144" s="72" t="n"/>
      <c r="O144" s="70" t="n"/>
      <c r="P144" s="70" t="n"/>
      <c r="Q144" s="106" t="n"/>
      <c r="R144" s="106" t="n"/>
      <c r="S144" s="106" t="n"/>
      <c r="T144">
        <f>IF(OR(G144="Closed Lost",G144="",NOT(ISNUMBER(H144))),"",H144)</f>
        <v/>
      </c>
    </row>
    <row r="145" ht="18" customHeight="1" s="96">
      <c r="A145" s="64" t="n">
        <v>144</v>
      </c>
      <c r="B145" s="65" t="n"/>
      <c r="C145" s="65" t="n"/>
      <c r="D145" s="65" t="n"/>
      <c r="E145" s="65" t="n"/>
      <c r="F145" s="66" t="n"/>
      <c r="G145" s="65" t="n"/>
      <c r="H145" s="74" t="n"/>
      <c r="I145" s="74" t="n"/>
      <c r="J145" s="67" t="n"/>
      <c r="K145" s="68">
        <f>IFERROR(VLOOKUP(G145,Stage_Lookup!$A$2:$B$8,2,0),"")</f>
        <v/>
      </c>
      <c r="L145" s="69" t="n"/>
      <c r="M145" s="69" t="n"/>
      <c r="N145" s="67" t="n"/>
      <c r="O145" s="65" t="n"/>
      <c r="P145" s="65" t="n"/>
      <c r="Q145" s="106" t="n"/>
      <c r="R145" s="106" t="n"/>
      <c r="S145" s="106" t="n"/>
      <c r="T145">
        <f>IF(OR(G145="Closed Lost",G145="",NOT(ISNUMBER(H145))),"",H145)</f>
        <v/>
      </c>
    </row>
    <row r="146" ht="18" customHeight="1" s="96">
      <c r="A146" s="57" t="n">
        <v>145</v>
      </c>
      <c r="B146" s="70" t="n"/>
      <c r="C146" s="70" t="n"/>
      <c r="D146" s="70" t="n"/>
      <c r="E146" s="70" t="n"/>
      <c r="F146" s="71" t="n"/>
      <c r="G146" s="70" t="n"/>
      <c r="H146" s="75" t="n"/>
      <c r="I146" s="75" t="n"/>
      <c r="J146" s="72" t="n"/>
      <c r="K146" s="73">
        <f>IFERROR(VLOOKUP(G146,Stage_Lookup!$A$2:$B$8,2,0),"")</f>
        <v/>
      </c>
      <c r="L146" s="69" t="n"/>
      <c r="M146" s="69" t="n"/>
      <c r="N146" s="72" t="n"/>
      <c r="O146" s="70" t="n"/>
      <c r="P146" s="70" t="n"/>
      <c r="Q146" s="106" t="n"/>
      <c r="R146" s="106" t="n"/>
      <c r="S146" s="106" t="n"/>
      <c r="T146">
        <f>IF(OR(G146="Closed Lost",G146="",NOT(ISNUMBER(H146))),"",H146)</f>
        <v/>
      </c>
    </row>
    <row r="147" ht="18" customHeight="1" s="96">
      <c r="A147" s="64" t="n">
        <v>146</v>
      </c>
      <c r="B147" s="65" t="n"/>
      <c r="C147" s="65" t="n"/>
      <c r="D147" s="65" t="n"/>
      <c r="E147" s="65" t="n"/>
      <c r="F147" s="66" t="n"/>
      <c r="G147" s="65" t="n"/>
      <c r="H147" s="74" t="n"/>
      <c r="I147" s="74" t="n"/>
      <c r="J147" s="67" t="n"/>
      <c r="K147" s="68">
        <f>IFERROR(VLOOKUP(G147,Stage_Lookup!$A$2:$B$8,2,0),"")</f>
        <v/>
      </c>
      <c r="L147" s="69" t="n"/>
      <c r="M147" s="69" t="n"/>
      <c r="N147" s="67" t="n"/>
      <c r="O147" s="65" t="n"/>
      <c r="P147" s="65" t="n"/>
      <c r="Q147" s="106" t="n"/>
      <c r="R147" s="106" t="n"/>
      <c r="S147" s="106" t="n"/>
      <c r="T147">
        <f>IF(OR(G147="Closed Lost",G147="",NOT(ISNUMBER(H147))),"",H147)</f>
        <v/>
      </c>
    </row>
    <row r="148" ht="18" customHeight="1" s="96">
      <c r="A148" s="57" t="n">
        <v>147</v>
      </c>
      <c r="B148" s="70" t="n"/>
      <c r="C148" s="70" t="n"/>
      <c r="D148" s="70" t="n"/>
      <c r="E148" s="70" t="n"/>
      <c r="F148" s="71" t="n"/>
      <c r="G148" s="70" t="n"/>
      <c r="H148" s="75" t="n"/>
      <c r="I148" s="75" t="n"/>
      <c r="J148" s="72" t="n"/>
      <c r="K148" s="73">
        <f>IFERROR(VLOOKUP(G148,Stage_Lookup!$A$2:$B$8,2,0),"")</f>
        <v/>
      </c>
      <c r="L148" s="69" t="n"/>
      <c r="M148" s="69" t="n"/>
      <c r="N148" s="72" t="n"/>
      <c r="O148" s="70" t="n"/>
      <c r="P148" s="70" t="n"/>
      <c r="Q148" s="106" t="n"/>
      <c r="R148" s="106" t="n"/>
      <c r="S148" s="106" t="n"/>
      <c r="T148">
        <f>IF(OR(G148="Closed Lost",G148="",NOT(ISNUMBER(H148))),"",H148)</f>
        <v/>
      </c>
    </row>
    <row r="149" ht="18" customHeight="1" s="96">
      <c r="A149" s="64" t="n">
        <v>148</v>
      </c>
      <c r="B149" s="65" t="n"/>
      <c r="C149" s="65" t="n"/>
      <c r="D149" s="65" t="n"/>
      <c r="E149" s="65" t="n"/>
      <c r="F149" s="66" t="n"/>
      <c r="G149" s="65" t="n"/>
      <c r="H149" s="74" t="n"/>
      <c r="I149" s="74" t="n"/>
      <c r="J149" s="67" t="n"/>
      <c r="K149" s="68">
        <f>IFERROR(VLOOKUP(G149,Stage_Lookup!$A$2:$B$8,2,0),"")</f>
        <v/>
      </c>
      <c r="L149" s="69" t="n"/>
      <c r="M149" s="69" t="n"/>
      <c r="N149" s="67" t="n"/>
      <c r="O149" s="65" t="n"/>
      <c r="P149" s="65" t="n"/>
      <c r="Q149" s="106" t="n"/>
      <c r="R149" s="106" t="n"/>
      <c r="S149" s="106" t="n"/>
      <c r="T149">
        <f>IF(OR(G149="Closed Lost",G149="",NOT(ISNUMBER(H149))),"",H149)</f>
        <v/>
      </c>
    </row>
    <row r="150" ht="18" customHeight="1" s="96">
      <c r="A150" s="57" t="n">
        <v>149</v>
      </c>
      <c r="B150" s="70" t="n"/>
      <c r="C150" s="70" t="n"/>
      <c r="D150" s="70" t="n"/>
      <c r="E150" s="70" t="n"/>
      <c r="F150" s="71" t="n"/>
      <c r="G150" s="70" t="n"/>
      <c r="H150" s="75" t="n"/>
      <c r="I150" s="75" t="n"/>
      <c r="J150" s="72" t="n"/>
      <c r="K150" s="73">
        <f>IFERROR(VLOOKUP(G150,Stage_Lookup!$A$2:$B$8,2,0),"")</f>
        <v/>
      </c>
      <c r="L150" s="69" t="n"/>
      <c r="M150" s="69" t="n"/>
      <c r="N150" s="72" t="n"/>
      <c r="O150" s="70" t="n"/>
      <c r="P150" s="70" t="n"/>
      <c r="Q150" s="106" t="n"/>
      <c r="R150" s="106" t="n"/>
      <c r="S150" s="106" t="n"/>
      <c r="T150">
        <f>IF(OR(G150="Closed Lost",G150="",NOT(ISNUMBER(H150))),"",H150)</f>
        <v/>
      </c>
    </row>
    <row r="151" ht="18" customHeight="1" s="96">
      <c r="A151" s="64" t="n">
        <v>150</v>
      </c>
      <c r="B151" s="65" t="n"/>
      <c r="C151" s="65" t="n"/>
      <c r="D151" s="65" t="n"/>
      <c r="E151" s="65" t="n"/>
      <c r="F151" s="66" t="n"/>
      <c r="G151" s="65" t="n"/>
      <c r="H151" s="74" t="n"/>
      <c r="I151" s="74" t="n"/>
      <c r="J151" s="67" t="n"/>
      <c r="K151" s="68">
        <f>IFERROR(VLOOKUP(G151,Stage_Lookup!$A$2:$B$8,2,0),"")</f>
        <v/>
      </c>
      <c r="L151" s="69" t="n"/>
      <c r="M151" s="69" t="n"/>
      <c r="N151" s="67" t="n"/>
      <c r="O151" s="65" t="n"/>
      <c r="P151" s="65" t="n"/>
      <c r="Q151" s="106" t="n"/>
      <c r="R151" s="106" t="n"/>
      <c r="S151" s="106" t="n"/>
      <c r="T151">
        <f>IF(OR(G151="Closed Lost",G151="",NOT(ISNUMBER(H151))),"",H151)</f>
        <v/>
      </c>
    </row>
    <row r="152" ht="18" customHeight="1" s="96">
      <c r="A152" s="57" t="n">
        <v>151</v>
      </c>
      <c r="B152" s="70" t="n"/>
      <c r="C152" s="70" t="n"/>
      <c r="D152" s="70" t="n"/>
      <c r="E152" s="70" t="n"/>
      <c r="F152" s="71" t="n"/>
      <c r="G152" s="70" t="n"/>
      <c r="H152" s="75" t="n"/>
      <c r="I152" s="75" t="n"/>
      <c r="J152" s="72" t="n"/>
      <c r="K152" s="73">
        <f>IFERROR(VLOOKUP(G152,Stage_Lookup!$A$2:$B$8,2,0),"")</f>
        <v/>
      </c>
      <c r="L152" s="69" t="n"/>
      <c r="M152" s="69" t="n"/>
      <c r="N152" s="72" t="n"/>
      <c r="O152" s="70" t="n"/>
      <c r="P152" s="70" t="n"/>
      <c r="Q152" s="106" t="n"/>
      <c r="R152" s="106" t="n"/>
      <c r="S152" s="106" t="n"/>
      <c r="T152">
        <f>IF(OR(G152="Closed Lost",G152="",NOT(ISNUMBER(H152))),"",H152)</f>
        <v/>
      </c>
    </row>
    <row r="153" ht="18" customHeight="1" s="96">
      <c r="A153" s="64" t="n">
        <v>152</v>
      </c>
      <c r="B153" s="65" t="n"/>
      <c r="C153" s="65" t="n"/>
      <c r="D153" s="65" t="n"/>
      <c r="E153" s="65" t="n"/>
      <c r="F153" s="66" t="n"/>
      <c r="G153" s="65" t="n"/>
      <c r="H153" s="74" t="n"/>
      <c r="I153" s="74" t="n"/>
      <c r="J153" s="67" t="n"/>
      <c r="K153" s="68">
        <f>IFERROR(VLOOKUP(G153,Stage_Lookup!$A$2:$B$8,2,0),"")</f>
        <v/>
      </c>
      <c r="L153" s="69" t="n"/>
      <c r="M153" s="69" t="n"/>
      <c r="N153" s="67" t="n"/>
      <c r="O153" s="65" t="n"/>
      <c r="P153" s="65" t="n"/>
      <c r="Q153" s="106" t="n"/>
      <c r="R153" s="106" t="n"/>
      <c r="S153" s="106" t="n"/>
      <c r="T153">
        <f>IF(OR(G153="Closed Lost",G153="",NOT(ISNUMBER(H153))),"",H153)</f>
        <v/>
      </c>
    </row>
    <row r="154" ht="18" customHeight="1" s="96">
      <c r="A154" s="57" t="n">
        <v>153</v>
      </c>
      <c r="B154" s="70" t="n"/>
      <c r="C154" s="70" t="n"/>
      <c r="D154" s="70" t="n"/>
      <c r="E154" s="70" t="n"/>
      <c r="F154" s="71" t="n"/>
      <c r="G154" s="70" t="n"/>
      <c r="H154" s="75" t="n"/>
      <c r="I154" s="75" t="n"/>
      <c r="J154" s="72" t="n"/>
      <c r="K154" s="73">
        <f>IFERROR(VLOOKUP(G154,Stage_Lookup!$A$2:$B$8,2,0),"")</f>
        <v/>
      </c>
      <c r="L154" s="69" t="n"/>
      <c r="M154" s="69" t="n"/>
      <c r="N154" s="72" t="n"/>
      <c r="O154" s="70" t="n"/>
      <c r="P154" s="70" t="n"/>
      <c r="Q154" s="106" t="n"/>
      <c r="R154" s="106" t="n"/>
      <c r="S154" s="106" t="n"/>
      <c r="T154">
        <f>IF(OR(G154="Closed Lost",G154="",NOT(ISNUMBER(H154))),"",H154)</f>
        <v/>
      </c>
    </row>
    <row r="155" ht="18" customHeight="1" s="96">
      <c r="A155" s="64" t="n">
        <v>154</v>
      </c>
      <c r="B155" s="65" t="n"/>
      <c r="C155" s="65" t="n"/>
      <c r="D155" s="65" t="n"/>
      <c r="E155" s="65" t="n"/>
      <c r="F155" s="66" t="n"/>
      <c r="G155" s="65" t="n"/>
      <c r="H155" s="74" t="n"/>
      <c r="I155" s="74" t="n"/>
      <c r="J155" s="67" t="n"/>
      <c r="K155" s="68">
        <f>IFERROR(VLOOKUP(G155,Stage_Lookup!$A$2:$B$8,2,0),"")</f>
        <v/>
      </c>
      <c r="L155" s="69" t="n"/>
      <c r="M155" s="69" t="n"/>
      <c r="N155" s="67" t="n"/>
      <c r="O155" s="65" t="n"/>
      <c r="P155" s="65" t="n"/>
      <c r="Q155" s="106" t="n"/>
      <c r="R155" s="106" t="n"/>
      <c r="S155" s="106" t="n"/>
      <c r="T155">
        <f>IF(OR(G155="Closed Lost",G155="",NOT(ISNUMBER(H155))),"",H155)</f>
        <v/>
      </c>
    </row>
    <row r="156" ht="18" customHeight="1" s="96">
      <c r="A156" s="57" t="n">
        <v>155</v>
      </c>
      <c r="B156" s="70" t="n"/>
      <c r="C156" s="70" t="n"/>
      <c r="D156" s="70" t="n"/>
      <c r="E156" s="70" t="n"/>
      <c r="F156" s="71" t="n"/>
      <c r="G156" s="70" t="n"/>
      <c r="H156" s="75" t="n"/>
      <c r="I156" s="75" t="n"/>
      <c r="J156" s="72" t="n"/>
      <c r="K156" s="73">
        <f>IFERROR(VLOOKUP(G156,Stage_Lookup!$A$2:$B$8,2,0),"")</f>
        <v/>
      </c>
      <c r="L156" s="69" t="n"/>
      <c r="M156" s="69" t="n"/>
      <c r="N156" s="72" t="n"/>
      <c r="O156" s="70" t="n"/>
      <c r="P156" s="70" t="n"/>
      <c r="Q156" s="106" t="n"/>
      <c r="R156" s="106" t="n"/>
      <c r="S156" s="106" t="n"/>
      <c r="T156">
        <f>IF(OR(G156="Closed Lost",G156="",NOT(ISNUMBER(H156))),"",H156)</f>
        <v/>
      </c>
    </row>
    <row r="157" ht="18" customHeight="1" s="96">
      <c r="A157" s="64" t="n">
        <v>156</v>
      </c>
      <c r="B157" s="65" t="n"/>
      <c r="C157" s="65" t="n"/>
      <c r="D157" s="65" t="n"/>
      <c r="E157" s="65" t="n"/>
      <c r="F157" s="66" t="n"/>
      <c r="G157" s="65" t="n"/>
      <c r="H157" s="74" t="n"/>
      <c r="I157" s="74" t="n"/>
      <c r="J157" s="67" t="n"/>
      <c r="K157" s="68">
        <f>IFERROR(VLOOKUP(G157,Stage_Lookup!$A$2:$B$8,2,0),"")</f>
        <v/>
      </c>
      <c r="L157" s="69" t="n"/>
      <c r="M157" s="69" t="n"/>
      <c r="N157" s="67" t="n"/>
      <c r="O157" s="65" t="n"/>
      <c r="P157" s="65" t="n"/>
      <c r="Q157" s="106" t="n"/>
      <c r="R157" s="106" t="n"/>
      <c r="S157" s="106" t="n"/>
      <c r="T157">
        <f>IF(OR(G157="Closed Lost",G157="",NOT(ISNUMBER(H157))),"",H157)</f>
        <v/>
      </c>
    </row>
    <row r="158" ht="18" customHeight="1" s="96">
      <c r="A158" s="57" t="n">
        <v>157</v>
      </c>
      <c r="B158" s="70" t="n"/>
      <c r="C158" s="70" t="n"/>
      <c r="D158" s="70" t="n"/>
      <c r="E158" s="70" t="n"/>
      <c r="F158" s="71" t="n"/>
      <c r="G158" s="70" t="n"/>
      <c r="H158" s="75" t="n"/>
      <c r="I158" s="75" t="n"/>
      <c r="J158" s="72" t="n"/>
      <c r="K158" s="73">
        <f>IFERROR(VLOOKUP(G158,Stage_Lookup!$A$2:$B$8,2,0),"")</f>
        <v/>
      </c>
      <c r="L158" s="69" t="n"/>
      <c r="M158" s="69" t="n"/>
      <c r="N158" s="72" t="n"/>
      <c r="O158" s="70" t="n"/>
      <c r="P158" s="70" t="n"/>
      <c r="Q158" s="106" t="n"/>
      <c r="R158" s="106" t="n"/>
      <c r="S158" s="106" t="n"/>
      <c r="T158">
        <f>IF(OR(G158="Closed Lost",G158="",NOT(ISNUMBER(H158))),"",H158)</f>
        <v/>
      </c>
    </row>
    <row r="159" ht="18" customHeight="1" s="96">
      <c r="A159" s="64" t="n">
        <v>158</v>
      </c>
      <c r="B159" s="65" t="n"/>
      <c r="C159" s="65" t="n"/>
      <c r="D159" s="65" t="n"/>
      <c r="E159" s="65" t="n"/>
      <c r="F159" s="66" t="n"/>
      <c r="G159" s="65" t="n"/>
      <c r="H159" s="74" t="n"/>
      <c r="I159" s="74" t="n"/>
      <c r="J159" s="67" t="n"/>
      <c r="K159" s="68">
        <f>IFERROR(VLOOKUP(G159,Stage_Lookup!$A$2:$B$8,2,0),"")</f>
        <v/>
      </c>
      <c r="L159" s="69" t="n"/>
      <c r="M159" s="69" t="n"/>
      <c r="N159" s="67" t="n"/>
      <c r="O159" s="65" t="n"/>
      <c r="P159" s="65" t="n"/>
      <c r="Q159" s="106" t="n"/>
      <c r="R159" s="106" t="n"/>
      <c r="S159" s="106" t="n"/>
      <c r="T159">
        <f>IF(OR(G159="Closed Lost",G159="",NOT(ISNUMBER(H159))),"",H159)</f>
        <v/>
      </c>
    </row>
    <row r="160" ht="18" customHeight="1" s="96">
      <c r="A160" s="57" t="n">
        <v>159</v>
      </c>
      <c r="B160" s="70" t="n"/>
      <c r="C160" s="70" t="n"/>
      <c r="D160" s="70" t="n"/>
      <c r="E160" s="70" t="n"/>
      <c r="F160" s="71" t="n"/>
      <c r="G160" s="70" t="n"/>
      <c r="H160" s="75" t="n"/>
      <c r="I160" s="75" t="n"/>
      <c r="J160" s="72" t="n"/>
      <c r="K160" s="73">
        <f>IFERROR(VLOOKUP(G160,Stage_Lookup!$A$2:$B$8,2,0),"")</f>
        <v/>
      </c>
      <c r="L160" s="69" t="n"/>
      <c r="M160" s="69" t="n"/>
      <c r="N160" s="72" t="n"/>
      <c r="O160" s="70" t="n"/>
      <c r="P160" s="70" t="n"/>
      <c r="Q160" s="106" t="n"/>
      <c r="R160" s="106" t="n"/>
      <c r="S160" s="106" t="n"/>
      <c r="T160">
        <f>IF(OR(G160="Closed Lost",G160="",NOT(ISNUMBER(H160))),"",H160)</f>
        <v/>
      </c>
    </row>
    <row r="161" ht="18" customHeight="1" s="96">
      <c r="A161" s="64" t="n">
        <v>160</v>
      </c>
      <c r="B161" s="65" t="n"/>
      <c r="C161" s="65" t="n"/>
      <c r="D161" s="65" t="n"/>
      <c r="E161" s="65" t="n"/>
      <c r="F161" s="66" t="n"/>
      <c r="G161" s="65" t="n"/>
      <c r="H161" s="74" t="n"/>
      <c r="I161" s="74" t="n"/>
      <c r="J161" s="67" t="n"/>
      <c r="K161" s="68">
        <f>IFERROR(VLOOKUP(G161,Stage_Lookup!$A$2:$B$8,2,0),"")</f>
        <v/>
      </c>
      <c r="L161" s="69" t="n"/>
      <c r="M161" s="69" t="n"/>
      <c r="N161" s="67" t="n"/>
      <c r="O161" s="65" t="n"/>
      <c r="P161" s="65" t="n"/>
      <c r="Q161" s="106" t="n"/>
      <c r="R161" s="106" t="n"/>
      <c r="S161" s="106" t="n"/>
      <c r="T161">
        <f>IF(OR(G161="Closed Lost",G161="",NOT(ISNUMBER(H161))),"",H161)</f>
        <v/>
      </c>
    </row>
    <row r="162" ht="18" customHeight="1" s="96">
      <c r="A162" s="57" t="n">
        <v>161</v>
      </c>
      <c r="B162" s="70" t="n"/>
      <c r="C162" s="70" t="n"/>
      <c r="D162" s="70" t="n"/>
      <c r="E162" s="70" t="n"/>
      <c r="F162" s="71" t="n"/>
      <c r="G162" s="70" t="n"/>
      <c r="H162" s="75" t="n"/>
      <c r="I162" s="75" t="n"/>
      <c r="J162" s="72" t="n"/>
      <c r="K162" s="73">
        <f>IFERROR(VLOOKUP(G162,Stage_Lookup!$A$2:$B$8,2,0),"")</f>
        <v/>
      </c>
      <c r="L162" s="69" t="n"/>
      <c r="M162" s="69" t="n"/>
      <c r="N162" s="72" t="n"/>
      <c r="O162" s="70" t="n"/>
      <c r="P162" s="70" t="n"/>
      <c r="Q162" s="106" t="n"/>
      <c r="R162" s="106" t="n"/>
      <c r="S162" s="106" t="n"/>
      <c r="T162">
        <f>IF(OR(G162="Closed Lost",G162="",NOT(ISNUMBER(H162))),"",H162)</f>
        <v/>
      </c>
    </row>
    <row r="163" ht="18" customHeight="1" s="96">
      <c r="A163" s="64" t="n">
        <v>162</v>
      </c>
      <c r="B163" s="65" t="n"/>
      <c r="C163" s="65" t="n"/>
      <c r="D163" s="65" t="n"/>
      <c r="E163" s="65" t="n"/>
      <c r="F163" s="66" t="n"/>
      <c r="G163" s="65" t="n"/>
      <c r="H163" s="74" t="n"/>
      <c r="I163" s="74" t="n"/>
      <c r="J163" s="67" t="n"/>
      <c r="K163" s="68">
        <f>IFERROR(VLOOKUP(G163,Stage_Lookup!$A$2:$B$8,2,0),"")</f>
        <v/>
      </c>
      <c r="L163" s="69" t="n"/>
      <c r="M163" s="69" t="n"/>
      <c r="N163" s="67" t="n"/>
      <c r="O163" s="65" t="n"/>
      <c r="P163" s="65" t="n"/>
      <c r="Q163" s="106" t="n"/>
      <c r="R163" s="106" t="n"/>
      <c r="S163" s="106" t="n"/>
      <c r="T163">
        <f>IF(OR(G163="Closed Lost",G163="",NOT(ISNUMBER(H163))),"",H163)</f>
        <v/>
      </c>
    </row>
    <row r="164" ht="18" customHeight="1" s="96">
      <c r="A164" s="57" t="n">
        <v>163</v>
      </c>
      <c r="B164" s="70" t="n"/>
      <c r="C164" s="70" t="n"/>
      <c r="D164" s="70" t="n"/>
      <c r="E164" s="70" t="n"/>
      <c r="F164" s="71" t="n"/>
      <c r="G164" s="70" t="n"/>
      <c r="H164" s="75" t="n"/>
      <c r="I164" s="75" t="n"/>
      <c r="J164" s="72" t="n"/>
      <c r="K164" s="73">
        <f>IFERROR(VLOOKUP(G164,Stage_Lookup!$A$2:$B$8,2,0),"")</f>
        <v/>
      </c>
      <c r="L164" s="69" t="n"/>
      <c r="M164" s="69" t="n"/>
      <c r="N164" s="72" t="n"/>
      <c r="O164" s="70" t="n"/>
      <c r="P164" s="70" t="n"/>
      <c r="Q164" s="106" t="n"/>
      <c r="R164" s="106" t="n"/>
      <c r="S164" s="106" t="n"/>
      <c r="T164">
        <f>IF(OR(G164="Closed Lost",G164="",NOT(ISNUMBER(H164))),"",H164)</f>
        <v/>
      </c>
    </row>
    <row r="165" ht="18" customHeight="1" s="96">
      <c r="A165" s="64" t="n">
        <v>164</v>
      </c>
      <c r="B165" s="65" t="n"/>
      <c r="C165" s="65" t="n"/>
      <c r="D165" s="65" t="n"/>
      <c r="E165" s="65" t="n"/>
      <c r="F165" s="66" t="n"/>
      <c r="G165" s="65" t="n"/>
      <c r="H165" s="74" t="n"/>
      <c r="I165" s="74" t="n"/>
      <c r="J165" s="67" t="n"/>
      <c r="K165" s="68">
        <f>IFERROR(VLOOKUP(G165,Stage_Lookup!$A$2:$B$8,2,0),"")</f>
        <v/>
      </c>
      <c r="L165" s="69" t="n"/>
      <c r="M165" s="69" t="n"/>
      <c r="N165" s="67" t="n"/>
      <c r="O165" s="65" t="n"/>
      <c r="P165" s="65" t="n"/>
      <c r="Q165" s="106" t="n"/>
      <c r="R165" s="106" t="n"/>
      <c r="S165" s="106" t="n"/>
      <c r="T165">
        <f>IF(OR(G165="Closed Lost",G165="",NOT(ISNUMBER(H165))),"",H165)</f>
        <v/>
      </c>
    </row>
    <row r="166" ht="18" customHeight="1" s="96">
      <c r="A166" s="57" t="n">
        <v>165</v>
      </c>
      <c r="B166" s="70" t="n"/>
      <c r="C166" s="70" t="n"/>
      <c r="D166" s="70" t="n"/>
      <c r="E166" s="70" t="n"/>
      <c r="F166" s="71" t="n"/>
      <c r="G166" s="70" t="n"/>
      <c r="H166" s="75" t="n"/>
      <c r="I166" s="75" t="n"/>
      <c r="J166" s="72" t="n"/>
      <c r="K166" s="73">
        <f>IFERROR(VLOOKUP(G166,Stage_Lookup!$A$2:$B$8,2,0),"")</f>
        <v/>
      </c>
      <c r="L166" s="69" t="n"/>
      <c r="M166" s="69" t="n"/>
      <c r="N166" s="72" t="n"/>
      <c r="O166" s="70" t="n"/>
      <c r="P166" s="70" t="n"/>
      <c r="Q166" s="106" t="n"/>
      <c r="R166" s="106" t="n"/>
      <c r="S166" s="106" t="n"/>
      <c r="T166">
        <f>IF(OR(G166="Closed Lost",G166="",NOT(ISNUMBER(H166))),"",H166)</f>
        <v/>
      </c>
    </row>
    <row r="167" ht="18" customHeight="1" s="96">
      <c r="A167" s="64" t="n">
        <v>166</v>
      </c>
      <c r="B167" s="65" t="n"/>
      <c r="C167" s="65" t="n"/>
      <c r="D167" s="65" t="n"/>
      <c r="E167" s="65" t="n"/>
      <c r="F167" s="66" t="n"/>
      <c r="G167" s="65" t="n"/>
      <c r="H167" s="74" t="n"/>
      <c r="I167" s="74" t="n"/>
      <c r="J167" s="67" t="n"/>
      <c r="K167" s="68">
        <f>IFERROR(VLOOKUP(G167,Stage_Lookup!$A$2:$B$8,2,0),"")</f>
        <v/>
      </c>
      <c r="L167" s="69" t="n"/>
      <c r="M167" s="69" t="n"/>
      <c r="N167" s="67" t="n"/>
      <c r="O167" s="65" t="n"/>
      <c r="P167" s="65" t="n"/>
      <c r="Q167" s="106" t="n"/>
      <c r="R167" s="106" t="n"/>
      <c r="S167" s="106" t="n"/>
      <c r="T167">
        <f>IF(OR(G167="Closed Lost",G167="",NOT(ISNUMBER(H167))),"",H167)</f>
        <v/>
      </c>
    </row>
    <row r="168" ht="18" customHeight="1" s="96">
      <c r="A168" s="57" t="n">
        <v>167</v>
      </c>
      <c r="B168" s="70" t="n"/>
      <c r="C168" s="70" t="n"/>
      <c r="D168" s="70" t="n"/>
      <c r="E168" s="70" t="n"/>
      <c r="F168" s="71" t="n"/>
      <c r="G168" s="70" t="n"/>
      <c r="H168" s="75" t="n"/>
      <c r="I168" s="75" t="n"/>
      <c r="J168" s="72" t="n"/>
      <c r="K168" s="73">
        <f>IFERROR(VLOOKUP(G168,Stage_Lookup!$A$2:$B$8,2,0),"")</f>
        <v/>
      </c>
      <c r="L168" s="69" t="n"/>
      <c r="M168" s="69" t="n"/>
      <c r="N168" s="72" t="n"/>
      <c r="O168" s="70" t="n"/>
      <c r="P168" s="70" t="n"/>
      <c r="Q168" s="106" t="n"/>
      <c r="R168" s="106" t="n"/>
      <c r="S168" s="106" t="n"/>
      <c r="T168">
        <f>IF(OR(G168="Closed Lost",G168="",NOT(ISNUMBER(H168))),"",H168)</f>
        <v/>
      </c>
    </row>
    <row r="169" ht="18" customHeight="1" s="96">
      <c r="A169" s="64" t="n">
        <v>168</v>
      </c>
      <c r="B169" s="65" t="n"/>
      <c r="C169" s="65" t="n"/>
      <c r="D169" s="65" t="n"/>
      <c r="E169" s="65" t="n"/>
      <c r="F169" s="66" t="n"/>
      <c r="G169" s="65" t="n"/>
      <c r="H169" s="74" t="n"/>
      <c r="I169" s="74" t="n"/>
      <c r="J169" s="67" t="n"/>
      <c r="K169" s="68">
        <f>IFERROR(VLOOKUP(G169,Stage_Lookup!$A$2:$B$8,2,0),"")</f>
        <v/>
      </c>
      <c r="L169" s="69" t="n"/>
      <c r="M169" s="69" t="n"/>
      <c r="N169" s="67" t="n"/>
      <c r="O169" s="65" t="n"/>
      <c r="P169" s="65" t="n"/>
      <c r="Q169" s="106" t="n"/>
      <c r="R169" s="106" t="n"/>
      <c r="S169" s="106" t="n"/>
      <c r="T169">
        <f>IF(OR(G169="Closed Lost",G169="",NOT(ISNUMBER(H169))),"",H169)</f>
        <v/>
      </c>
    </row>
    <row r="170" ht="18" customHeight="1" s="96">
      <c r="A170" s="57" t="n">
        <v>169</v>
      </c>
      <c r="B170" s="70" t="n"/>
      <c r="C170" s="70" t="n"/>
      <c r="D170" s="70" t="n"/>
      <c r="E170" s="70" t="n"/>
      <c r="F170" s="71" t="n"/>
      <c r="G170" s="70" t="n"/>
      <c r="H170" s="75" t="n"/>
      <c r="I170" s="75" t="n"/>
      <c r="J170" s="72" t="n"/>
      <c r="K170" s="73">
        <f>IFERROR(VLOOKUP(G170,Stage_Lookup!$A$2:$B$8,2,0),"")</f>
        <v/>
      </c>
      <c r="L170" s="69" t="n"/>
      <c r="M170" s="69" t="n"/>
      <c r="N170" s="72" t="n"/>
      <c r="O170" s="70" t="n"/>
      <c r="P170" s="70" t="n"/>
      <c r="Q170" s="106" t="n"/>
      <c r="R170" s="106" t="n"/>
      <c r="S170" s="106" t="n"/>
      <c r="T170">
        <f>IF(OR(G170="Closed Lost",G170="",NOT(ISNUMBER(H170))),"",H170)</f>
        <v/>
      </c>
    </row>
    <row r="171" ht="18" customHeight="1" s="96">
      <c r="A171" s="64" t="n">
        <v>170</v>
      </c>
      <c r="B171" s="65" t="n"/>
      <c r="C171" s="65" t="n"/>
      <c r="D171" s="65" t="n"/>
      <c r="E171" s="65" t="n"/>
      <c r="F171" s="66" t="n"/>
      <c r="G171" s="65" t="n"/>
      <c r="H171" s="74" t="n"/>
      <c r="I171" s="74" t="n"/>
      <c r="J171" s="67" t="n"/>
      <c r="K171" s="68">
        <f>IFERROR(VLOOKUP(G171,Stage_Lookup!$A$2:$B$8,2,0),"")</f>
        <v/>
      </c>
      <c r="L171" s="69" t="n"/>
      <c r="M171" s="69" t="n"/>
      <c r="N171" s="67" t="n"/>
      <c r="O171" s="65" t="n"/>
      <c r="P171" s="65" t="n"/>
      <c r="Q171" s="106" t="n"/>
      <c r="R171" s="106" t="n"/>
      <c r="S171" s="106" t="n"/>
      <c r="T171">
        <f>IF(OR(G171="Closed Lost",G171="",NOT(ISNUMBER(H171))),"",H171)</f>
        <v/>
      </c>
    </row>
    <row r="172" ht="18" customHeight="1" s="96">
      <c r="A172" s="57" t="n">
        <v>171</v>
      </c>
      <c r="B172" s="70" t="n"/>
      <c r="C172" s="70" t="n"/>
      <c r="D172" s="70" t="n"/>
      <c r="E172" s="70" t="n"/>
      <c r="F172" s="71" t="n"/>
      <c r="G172" s="70" t="n"/>
      <c r="H172" s="75" t="n"/>
      <c r="I172" s="75" t="n"/>
      <c r="J172" s="72" t="n"/>
      <c r="K172" s="73">
        <f>IFERROR(VLOOKUP(G172,Stage_Lookup!$A$2:$B$8,2,0),"")</f>
        <v/>
      </c>
      <c r="L172" s="69" t="n"/>
      <c r="M172" s="69" t="n"/>
      <c r="N172" s="72" t="n"/>
      <c r="O172" s="70" t="n"/>
      <c r="P172" s="70" t="n"/>
      <c r="Q172" s="106" t="n"/>
      <c r="R172" s="106" t="n"/>
      <c r="S172" s="106" t="n"/>
      <c r="T172">
        <f>IF(OR(G172="Closed Lost",G172="",NOT(ISNUMBER(H172))),"",H172)</f>
        <v/>
      </c>
    </row>
    <row r="173" ht="18" customHeight="1" s="96">
      <c r="A173" s="64" t="n">
        <v>172</v>
      </c>
      <c r="B173" s="65" t="n"/>
      <c r="C173" s="65" t="n"/>
      <c r="D173" s="65" t="n"/>
      <c r="E173" s="65" t="n"/>
      <c r="F173" s="66" t="n"/>
      <c r="G173" s="65" t="n"/>
      <c r="H173" s="74" t="n"/>
      <c r="I173" s="74" t="n"/>
      <c r="J173" s="67" t="n"/>
      <c r="K173" s="68">
        <f>IFERROR(VLOOKUP(G173,Stage_Lookup!$A$2:$B$8,2,0),"")</f>
        <v/>
      </c>
      <c r="L173" s="69" t="n"/>
      <c r="M173" s="69" t="n"/>
      <c r="N173" s="67" t="n"/>
      <c r="O173" s="65" t="n"/>
      <c r="P173" s="65" t="n"/>
      <c r="Q173" s="106" t="n"/>
      <c r="R173" s="106" t="n"/>
      <c r="S173" s="106" t="n"/>
      <c r="T173">
        <f>IF(OR(G173="Closed Lost",G173="",NOT(ISNUMBER(H173))),"",H173)</f>
        <v/>
      </c>
    </row>
    <row r="174" ht="18" customHeight="1" s="96">
      <c r="A174" s="57" t="n">
        <v>173</v>
      </c>
      <c r="B174" s="70" t="n"/>
      <c r="C174" s="70" t="n"/>
      <c r="D174" s="70" t="n"/>
      <c r="E174" s="70" t="n"/>
      <c r="F174" s="71" t="n"/>
      <c r="G174" s="70" t="n"/>
      <c r="H174" s="75" t="n"/>
      <c r="I174" s="75" t="n"/>
      <c r="J174" s="72" t="n"/>
      <c r="K174" s="73">
        <f>IFERROR(VLOOKUP(G174,Stage_Lookup!$A$2:$B$8,2,0),"")</f>
        <v/>
      </c>
      <c r="L174" s="69" t="n"/>
      <c r="M174" s="69" t="n"/>
      <c r="N174" s="72" t="n"/>
      <c r="O174" s="70" t="n"/>
      <c r="P174" s="70" t="n"/>
      <c r="Q174" s="106" t="n"/>
      <c r="R174" s="106" t="n"/>
      <c r="S174" s="106" t="n"/>
      <c r="T174">
        <f>IF(OR(G174="Closed Lost",G174="",NOT(ISNUMBER(H174))),"",H174)</f>
        <v/>
      </c>
    </row>
    <row r="175" ht="18" customHeight="1" s="96">
      <c r="A175" s="64" t="n">
        <v>174</v>
      </c>
      <c r="B175" s="65" t="n"/>
      <c r="C175" s="65" t="n"/>
      <c r="D175" s="65" t="n"/>
      <c r="E175" s="65" t="n"/>
      <c r="F175" s="66" t="n"/>
      <c r="G175" s="65" t="n"/>
      <c r="H175" s="74" t="n"/>
      <c r="I175" s="74" t="n"/>
      <c r="J175" s="67" t="n"/>
      <c r="K175" s="68">
        <f>IFERROR(VLOOKUP(G175,Stage_Lookup!$A$2:$B$8,2,0),"")</f>
        <v/>
      </c>
      <c r="L175" s="69" t="n"/>
      <c r="M175" s="69" t="n"/>
      <c r="N175" s="67" t="n"/>
      <c r="O175" s="65" t="n"/>
      <c r="P175" s="65" t="n"/>
      <c r="Q175" s="106" t="n"/>
      <c r="R175" s="106" t="n"/>
      <c r="S175" s="106" t="n"/>
      <c r="T175">
        <f>IF(OR(G175="Closed Lost",G175="",NOT(ISNUMBER(H175))),"",H175)</f>
        <v/>
      </c>
    </row>
    <row r="176" ht="18" customHeight="1" s="96">
      <c r="A176" s="57" t="n">
        <v>175</v>
      </c>
      <c r="B176" s="70" t="n"/>
      <c r="C176" s="70" t="n"/>
      <c r="D176" s="70" t="n"/>
      <c r="E176" s="70" t="n"/>
      <c r="F176" s="71" t="n"/>
      <c r="G176" s="70" t="n"/>
      <c r="H176" s="75" t="n"/>
      <c r="I176" s="75" t="n"/>
      <c r="J176" s="72" t="n"/>
      <c r="K176" s="73">
        <f>IFERROR(VLOOKUP(G176,Stage_Lookup!$A$2:$B$8,2,0),"")</f>
        <v/>
      </c>
      <c r="L176" s="69" t="n"/>
      <c r="M176" s="69" t="n"/>
      <c r="N176" s="72" t="n"/>
      <c r="O176" s="70" t="n"/>
      <c r="P176" s="70" t="n"/>
      <c r="Q176" s="106" t="n"/>
      <c r="R176" s="106" t="n"/>
      <c r="S176" s="106" t="n"/>
      <c r="T176">
        <f>IF(OR(G176="Closed Lost",G176="",NOT(ISNUMBER(H176))),"",H176)</f>
        <v/>
      </c>
    </row>
    <row r="177" ht="18" customHeight="1" s="96">
      <c r="A177" s="64" t="n">
        <v>176</v>
      </c>
      <c r="B177" s="65" t="n"/>
      <c r="C177" s="65" t="n"/>
      <c r="D177" s="65" t="n"/>
      <c r="E177" s="65" t="n"/>
      <c r="F177" s="66" t="n"/>
      <c r="G177" s="65" t="n"/>
      <c r="H177" s="74" t="n"/>
      <c r="I177" s="74" t="n"/>
      <c r="J177" s="67" t="n"/>
      <c r="K177" s="68">
        <f>IFERROR(VLOOKUP(G177,Stage_Lookup!$A$2:$B$8,2,0),"")</f>
        <v/>
      </c>
      <c r="L177" s="69" t="n"/>
      <c r="M177" s="69" t="n"/>
      <c r="N177" s="67" t="n"/>
      <c r="O177" s="65" t="n"/>
      <c r="P177" s="65" t="n"/>
      <c r="Q177" s="106" t="n"/>
      <c r="R177" s="106" t="n"/>
      <c r="S177" s="106" t="n"/>
      <c r="T177">
        <f>IF(OR(G177="Closed Lost",G177="",NOT(ISNUMBER(H177))),"",H177)</f>
        <v/>
      </c>
    </row>
    <row r="178" ht="18" customHeight="1" s="96">
      <c r="A178" s="57" t="n">
        <v>177</v>
      </c>
      <c r="B178" s="70" t="n"/>
      <c r="C178" s="70" t="n"/>
      <c r="D178" s="70" t="n"/>
      <c r="E178" s="70" t="n"/>
      <c r="F178" s="71" t="n"/>
      <c r="G178" s="70" t="n"/>
      <c r="H178" s="75" t="n"/>
      <c r="I178" s="75" t="n"/>
      <c r="J178" s="72" t="n"/>
      <c r="K178" s="73">
        <f>IFERROR(VLOOKUP(G178,Stage_Lookup!$A$2:$B$8,2,0),"")</f>
        <v/>
      </c>
      <c r="L178" s="69" t="n"/>
      <c r="M178" s="69" t="n"/>
      <c r="N178" s="72" t="n"/>
      <c r="O178" s="70" t="n"/>
      <c r="P178" s="70" t="n"/>
      <c r="Q178" s="106" t="n"/>
      <c r="R178" s="106" t="n"/>
      <c r="S178" s="106" t="n"/>
      <c r="T178">
        <f>IF(OR(G178="Closed Lost",G178="",NOT(ISNUMBER(H178))),"",H178)</f>
        <v/>
      </c>
    </row>
    <row r="179" ht="18" customHeight="1" s="96">
      <c r="A179" s="64" t="n">
        <v>178</v>
      </c>
      <c r="B179" s="65" t="n"/>
      <c r="C179" s="65" t="n"/>
      <c r="D179" s="65" t="n"/>
      <c r="E179" s="65" t="n"/>
      <c r="F179" s="66" t="n"/>
      <c r="G179" s="65" t="n"/>
      <c r="H179" s="74" t="n"/>
      <c r="I179" s="74" t="n"/>
      <c r="J179" s="67" t="n"/>
      <c r="K179" s="68">
        <f>IFERROR(VLOOKUP(G179,Stage_Lookup!$A$2:$B$8,2,0),"")</f>
        <v/>
      </c>
      <c r="L179" s="69" t="n"/>
      <c r="M179" s="69" t="n"/>
      <c r="N179" s="67" t="n"/>
      <c r="O179" s="65" t="n"/>
      <c r="P179" s="65" t="n"/>
      <c r="Q179" s="106" t="n"/>
      <c r="R179" s="106" t="n"/>
      <c r="S179" s="106" t="n"/>
      <c r="T179">
        <f>IF(OR(G179="Closed Lost",G179="",NOT(ISNUMBER(H179))),"",H179)</f>
        <v/>
      </c>
    </row>
    <row r="180" ht="18" customHeight="1" s="96">
      <c r="A180" s="57" t="n">
        <v>179</v>
      </c>
      <c r="B180" s="70" t="n"/>
      <c r="C180" s="70" t="n"/>
      <c r="D180" s="70" t="n"/>
      <c r="E180" s="70" t="n"/>
      <c r="F180" s="71" t="n"/>
      <c r="G180" s="70" t="n"/>
      <c r="H180" s="75" t="n"/>
      <c r="I180" s="75" t="n"/>
      <c r="J180" s="72" t="n"/>
      <c r="K180" s="73">
        <f>IFERROR(VLOOKUP(G180,Stage_Lookup!$A$2:$B$8,2,0),"")</f>
        <v/>
      </c>
      <c r="L180" s="69" t="n"/>
      <c r="M180" s="69" t="n"/>
      <c r="N180" s="72" t="n"/>
      <c r="O180" s="70" t="n"/>
      <c r="P180" s="70" t="n"/>
      <c r="Q180" s="106" t="n"/>
      <c r="R180" s="106" t="n"/>
      <c r="S180" s="106" t="n"/>
      <c r="T180">
        <f>IF(OR(G180="Closed Lost",G180="",NOT(ISNUMBER(H180))),"",H180)</f>
        <v/>
      </c>
    </row>
    <row r="181" ht="18" customHeight="1" s="96">
      <c r="A181" s="64" t="n">
        <v>180</v>
      </c>
      <c r="B181" s="65" t="n"/>
      <c r="C181" s="65" t="n"/>
      <c r="D181" s="65" t="n"/>
      <c r="E181" s="65" t="n"/>
      <c r="F181" s="66" t="n"/>
      <c r="G181" s="65" t="n"/>
      <c r="H181" s="74" t="n"/>
      <c r="I181" s="74" t="n"/>
      <c r="J181" s="67" t="n"/>
      <c r="K181" s="68">
        <f>IFERROR(VLOOKUP(G181,Stage_Lookup!$A$2:$B$8,2,0),"")</f>
        <v/>
      </c>
      <c r="L181" s="69" t="n"/>
      <c r="M181" s="69" t="n"/>
      <c r="N181" s="67" t="n"/>
      <c r="O181" s="65" t="n"/>
      <c r="P181" s="65" t="n"/>
      <c r="Q181" s="106" t="n"/>
      <c r="R181" s="106" t="n"/>
      <c r="S181" s="106" t="n"/>
      <c r="T181">
        <f>IF(OR(G181="Closed Lost",G181="",NOT(ISNUMBER(H181))),"",H181)</f>
        <v/>
      </c>
    </row>
    <row r="182" ht="18" customHeight="1" s="96">
      <c r="A182" s="57" t="n">
        <v>181</v>
      </c>
      <c r="B182" s="70" t="n"/>
      <c r="C182" s="70" t="n"/>
      <c r="D182" s="70" t="n"/>
      <c r="E182" s="70" t="n"/>
      <c r="F182" s="71" t="n"/>
      <c r="G182" s="70" t="n"/>
      <c r="H182" s="75" t="n"/>
      <c r="I182" s="75" t="n"/>
      <c r="J182" s="72" t="n"/>
      <c r="K182" s="73">
        <f>IFERROR(VLOOKUP(G182,Stage_Lookup!$A$2:$B$8,2,0),"")</f>
        <v/>
      </c>
      <c r="L182" s="69" t="n"/>
      <c r="M182" s="69" t="n"/>
      <c r="N182" s="72" t="n"/>
      <c r="O182" s="70" t="n"/>
      <c r="P182" s="70" t="n"/>
      <c r="Q182" s="106" t="n"/>
      <c r="R182" s="106" t="n"/>
      <c r="S182" s="106" t="n"/>
      <c r="T182">
        <f>IF(OR(G182="Closed Lost",G182="",NOT(ISNUMBER(H182))),"",H182)</f>
        <v/>
      </c>
    </row>
    <row r="183" ht="18" customHeight="1" s="96">
      <c r="A183" s="64" t="n">
        <v>182</v>
      </c>
      <c r="B183" s="65" t="n"/>
      <c r="C183" s="65" t="n"/>
      <c r="D183" s="65" t="n"/>
      <c r="E183" s="65" t="n"/>
      <c r="F183" s="66" t="n"/>
      <c r="G183" s="65" t="n"/>
      <c r="H183" s="74" t="n"/>
      <c r="I183" s="74" t="n"/>
      <c r="J183" s="67" t="n"/>
      <c r="K183" s="68">
        <f>IFERROR(VLOOKUP(G183,Stage_Lookup!$A$2:$B$8,2,0),"")</f>
        <v/>
      </c>
      <c r="L183" s="69" t="n"/>
      <c r="M183" s="69" t="n"/>
      <c r="N183" s="67" t="n"/>
      <c r="O183" s="65" t="n"/>
      <c r="P183" s="65" t="n"/>
      <c r="Q183" s="106" t="n"/>
      <c r="R183" s="106" t="n"/>
      <c r="S183" s="106" t="n"/>
      <c r="T183">
        <f>IF(OR(G183="Closed Lost",G183="",NOT(ISNUMBER(H183))),"",H183)</f>
        <v/>
      </c>
    </row>
    <row r="184" ht="18" customHeight="1" s="96">
      <c r="A184" s="57" t="n">
        <v>183</v>
      </c>
      <c r="B184" s="70" t="n"/>
      <c r="C184" s="70" t="n"/>
      <c r="D184" s="70" t="n"/>
      <c r="E184" s="70" t="n"/>
      <c r="F184" s="71" t="n"/>
      <c r="G184" s="70" t="n"/>
      <c r="H184" s="75" t="n"/>
      <c r="I184" s="75" t="n"/>
      <c r="J184" s="72" t="n"/>
      <c r="K184" s="73">
        <f>IFERROR(VLOOKUP(G184,Stage_Lookup!$A$2:$B$8,2,0),"")</f>
        <v/>
      </c>
      <c r="L184" s="69" t="n"/>
      <c r="M184" s="69" t="n"/>
      <c r="N184" s="72" t="n"/>
      <c r="O184" s="70" t="n"/>
      <c r="P184" s="70" t="n"/>
      <c r="Q184" s="106" t="n"/>
      <c r="R184" s="106" t="n"/>
      <c r="S184" s="106" t="n"/>
      <c r="T184">
        <f>IF(OR(G184="Closed Lost",G184="",NOT(ISNUMBER(H184))),"",H184)</f>
        <v/>
      </c>
    </row>
    <row r="185" ht="18" customHeight="1" s="96">
      <c r="A185" s="64" t="n">
        <v>184</v>
      </c>
      <c r="B185" s="65" t="n"/>
      <c r="C185" s="65" t="n"/>
      <c r="D185" s="65" t="n"/>
      <c r="E185" s="65" t="n"/>
      <c r="F185" s="66" t="n"/>
      <c r="G185" s="65" t="n"/>
      <c r="H185" s="74" t="n"/>
      <c r="I185" s="74" t="n"/>
      <c r="J185" s="67" t="n"/>
      <c r="K185" s="68">
        <f>IFERROR(VLOOKUP(G185,Stage_Lookup!$A$2:$B$8,2,0),"")</f>
        <v/>
      </c>
      <c r="L185" s="69" t="n"/>
      <c r="M185" s="69" t="n"/>
      <c r="N185" s="67" t="n"/>
      <c r="O185" s="65" t="n"/>
      <c r="P185" s="65" t="n"/>
      <c r="Q185" s="106" t="n"/>
      <c r="R185" s="106" t="n"/>
      <c r="S185" s="106" t="n"/>
      <c r="T185">
        <f>IF(OR(G185="Closed Lost",G185="",NOT(ISNUMBER(H185))),"",H185)</f>
        <v/>
      </c>
    </row>
    <row r="186" ht="18" customHeight="1" s="96">
      <c r="A186" s="57" t="n">
        <v>185</v>
      </c>
      <c r="B186" s="70" t="n"/>
      <c r="C186" s="70" t="n"/>
      <c r="D186" s="70" t="n"/>
      <c r="E186" s="70" t="n"/>
      <c r="F186" s="71" t="n"/>
      <c r="G186" s="70" t="n"/>
      <c r="H186" s="75" t="n"/>
      <c r="I186" s="75" t="n"/>
      <c r="J186" s="72" t="n"/>
      <c r="K186" s="73">
        <f>IFERROR(VLOOKUP(G186,Stage_Lookup!$A$2:$B$8,2,0),"")</f>
        <v/>
      </c>
      <c r="L186" s="69" t="n"/>
      <c r="M186" s="69" t="n"/>
      <c r="N186" s="72" t="n"/>
      <c r="O186" s="70" t="n"/>
      <c r="P186" s="70" t="n"/>
      <c r="Q186" s="106" t="n"/>
      <c r="R186" s="106" t="n"/>
      <c r="S186" s="106" t="n"/>
      <c r="T186">
        <f>IF(OR(G186="Closed Lost",G186="",NOT(ISNUMBER(H186))),"",H186)</f>
        <v/>
      </c>
    </row>
    <row r="187" ht="18" customHeight="1" s="96">
      <c r="A187" s="64" t="n">
        <v>186</v>
      </c>
      <c r="B187" s="65" t="n"/>
      <c r="C187" s="65" t="n"/>
      <c r="D187" s="65" t="n"/>
      <c r="E187" s="65" t="n"/>
      <c r="F187" s="66" t="n"/>
      <c r="G187" s="65" t="n"/>
      <c r="H187" s="74" t="n"/>
      <c r="I187" s="74" t="n"/>
      <c r="J187" s="67" t="n"/>
      <c r="K187" s="68">
        <f>IFERROR(VLOOKUP(G187,Stage_Lookup!$A$2:$B$8,2,0),"")</f>
        <v/>
      </c>
      <c r="L187" s="69" t="n"/>
      <c r="M187" s="69" t="n"/>
      <c r="N187" s="67" t="n"/>
      <c r="O187" s="65" t="n"/>
      <c r="P187" s="65" t="n"/>
      <c r="Q187" s="106" t="n"/>
      <c r="R187" s="106" t="n"/>
      <c r="S187" s="106" t="n"/>
      <c r="T187">
        <f>IF(OR(G187="Closed Lost",G187="",NOT(ISNUMBER(H187))),"",H187)</f>
        <v/>
      </c>
    </row>
    <row r="188" ht="18" customHeight="1" s="96">
      <c r="A188" s="57" t="n">
        <v>187</v>
      </c>
      <c r="B188" s="70" t="n"/>
      <c r="C188" s="70" t="n"/>
      <c r="D188" s="70" t="n"/>
      <c r="E188" s="70" t="n"/>
      <c r="F188" s="71" t="n"/>
      <c r="G188" s="70" t="n"/>
      <c r="H188" s="75" t="n"/>
      <c r="I188" s="75" t="n"/>
      <c r="J188" s="72" t="n"/>
      <c r="K188" s="73">
        <f>IFERROR(VLOOKUP(G188,Stage_Lookup!$A$2:$B$8,2,0),"")</f>
        <v/>
      </c>
      <c r="L188" s="69" t="n"/>
      <c r="M188" s="69" t="n"/>
      <c r="N188" s="72" t="n"/>
      <c r="O188" s="70" t="n"/>
      <c r="P188" s="70" t="n"/>
      <c r="Q188" s="106" t="n"/>
      <c r="R188" s="106" t="n"/>
      <c r="S188" s="106" t="n"/>
      <c r="T188">
        <f>IF(OR(G188="Closed Lost",G188="",NOT(ISNUMBER(H188))),"",H188)</f>
        <v/>
      </c>
    </row>
    <row r="189" ht="18" customHeight="1" s="96">
      <c r="A189" s="64" t="n">
        <v>188</v>
      </c>
      <c r="B189" s="65" t="n"/>
      <c r="C189" s="65" t="n"/>
      <c r="D189" s="65" t="n"/>
      <c r="E189" s="65" t="n"/>
      <c r="F189" s="66" t="n"/>
      <c r="G189" s="65" t="n"/>
      <c r="H189" s="74" t="n"/>
      <c r="I189" s="74" t="n"/>
      <c r="J189" s="67" t="n"/>
      <c r="K189" s="68">
        <f>IFERROR(VLOOKUP(G189,Stage_Lookup!$A$2:$B$8,2,0),"")</f>
        <v/>
      </c>
      <c r="L189" s="69" t="n"/>
      <c r="M189" s="69" t="n"/>
      <c r="N189" s="67" t="n"/>
      <c r="O189" s="65" t="n"/>
      <c r="P189" s="65" t="n"/>
      <c r="Q189" s="106" t="n"/>
      <c r="R189" s="106" t="n"/>
      <c r="S189" s="106" t="n"/>
      <c r="T189">
        <f>IF(OR(G189="Closed Lost",G189="",NOT(ISNUMBER(H189))),"",H189)</f>
        <v/>
      </c>
    </row>
    <row r="190" ht="18" customHeight="1" s="96">
      <c r="A190" s="57" t="n">
        <v>189</v>
      </c>
      <c r="B190" s="70" t="n"/>
      <c r="C190" s="70" t="n"/>
      <c r="D190" s="70" t="n"/>
      <c r="E190" s="70" t="n"/>
      <c r="F190" s="71" t="n"/>
      <c r="G190" s="70" t="n"/>
      <c r="H190" s="75" t="n"/>
      <c r="I190" s="75" t="n"/>
      <c r="J190" s="72" t="n"/>
      <c r="K190" s="73">
        <f>IFERROR(VLOOKUP(G190,Stage_Lookup!$A$2:$B$8,2,0),"")</f>
        <v/>
      </c>
      <c r="L190" s="69" t="n"/>
      <c r="M190" s="69" t="n"/>
      <c r="N190" s="72" t="n"/>
      <c r="O190" s="70" t="n"/>
      <c r="P190" s="70" t="n"/>
      <c r="Q190" s="106" t="n"/>
      <c r="R190" s="106" t="n"/>
      <c r="S190" s="106" t="n"/>
      <c r="T190">
        <f>IF(OR(G190="Closed Lost",G190="",NOT(ISNUMBER(H190))),"",H190)</f>
        <v/>
      </c>
    </row>
    <row r="191" ht="18" customHeight="1" s="96">
      <c r="A191" s="64" t="n">
        <v>190</v>
      </c>
      <c r="B191" s="65" t="n"/>
      <c r="C191" s="65" t="n"/>
      <c r="D191" s="65" t="n"/>
      <c r="E191" s="65" t="n"/>
      <c r="F191" s="66" t="n"/>
      <c r="G191" s="65" t="n"/>
      <c r="H191" s="74" t="n"/>
      <c r="I191" s="74" t="n"/>
      <c r="J191" s="67" t="n"/>
      <c r="K191" s="68">
        <f>IFERROR(VLOOKUP(G191,Stage_Lookup!$A$2:$B$8,2,0),"")</f>
        <v/>
      </c>
      <c r="L191" s="69" t="n"/>
      <c r="M191" s="69" t="n"/>
      <c r="N191" s="67" t="n"/>
      <c r="O191" s="65" t="n"/>
      <c r="P191" s="65" t="n"/>
      <c r="Q191" s="106" t="n"/>
      <c r="R191" s="106" t="n"/>
      <c r="S191" s="106" t="n"/>
      <c r="T191">
        <f>IF(OR(G191="Closed Lost",G191="",NOT(ISNUMBER(H191))),"",H191)</f>
        <v/>
      </c>
    </row>
    <row r="192" ht="18" customHeight="1" s="96">
      <c r="A192" s="57" t="n">
        <v>191</v>
      </c>
      <c r="B192" s="70" t="n"/>
      <c r="C192" s="70" t="n"/>
      <c r="D192" s="70" t="n"/>
      <c r="E192" s="70" t="n"/>
      <c r="F192" s="71" t="n"/>
      <c r="G192" s="70" t="n"/>
      <c r="H192" s="75" t="n"/>
      <c r="I192" s="75" t="n"/>
      <c r="J192" s="72" t="n"/>
      <c r="K192" s="73">
        <f>IFERROR(VLOOKUP(G192,Stage_Lookup!$A$2:$B$8,2,0),"")</f>
        <v/>
      </c>
      <c r="L192" s="69" t="n"/>
      <c r="M192" s="69" t="n"/>
      <c r="N192" s="72" t="n"/>
      <c r="O192" s="70" t="n"/>
      <c r="P192" s="70" t="n"/>
      <c r="Q192" s="106" t="n"/>
      <c r="R192" s="106" t="n"/>
      <c r="S192" s="106" t="n"/>
      <c r="T192">
        <f>IF(OR(G192="Closed Lost",G192="",NOT(ISNUMBER(H192))),"",H192)</f>
        <v/>
      </c>
    </row>
    <row r="193" ht="18" customHeight="1" s="96">
      <c r="A193" s="64" t="n">
        <v>192</v>
      </c>
      <c r="B193" s="65" t="n"/>
      <c r="C193" s="65" t="n"/>
      <c r="D193" s="65" t="n"/>
      <c r="E193" s="65" t="n"/>
      <c r="F193" s="66" t="n"/>
      <c r="G193" s="65" t="n"/>
      <c r="H193" s="74" t="n"/>
      <c r="I193" s="74" t="n"/>
      <c r="J193" s="67" t="n"/>
      <c r="K193" s="68">
        <f>IFERROR(VLOOKUP(G193,Stage_Lookup!$A$2:$B$8,2,0),"")</f>
        <v/>
      </c>
      <c r="L193" s="69" t="n"/>
      <c r="M193" s="69" t="n"/>
      <c r="N193" s="67" t="n"/>
      <c r="O193" s="65" t="n"/>
      <c r="P193" s="65" t="n"/>
      <c r="Q193" s="106" t="n"/>
      <c r="R193" s="106" t="n"/>
      <c r="S193" s="106" t="n"/>
      <c r="T193">
        <f>IF(OR(G193="Closed Lost",G193="",NOT(ISNUMBER(H193))),"",H193)</f>
        <v/>
      </c>
    </row>
    <row r="194" ht="18" customHeight="1" s="96">
      <c r="A194" s="57" t="n">
        <v>193</v>
      </c>
      <c r="B194" s="70" t="n"/>
      <c r="C194" s="70" t="n"/>
      <c r="D194" s="70" t="n"/>
      <c r="E194" s="70" t="n"/>
      <c r="F194" s="71" t="n"/>
      <c r="G194" s="70" t="n"/>
      <c r="H194" s="75" t="n"/>
      <c r="I194" s="75" t="n"/>
      <c r="J194" s="72" t="n"/>
      <c r="K194" s="73">
        <f>IFERROR(VLOOKUP(G194,Stage_Lookup!$A$2:$B$8,2,0),"")</f>
        <v/>
      </c>
      <c r="L194" s="69" t="n"/>
      <c r="M194" s="69" t="n"/>
      <c r="N194" s="72" t="n"/>
      <c r="O194" s="70" t="n"/>
      <c r="P194" s="70" t="n"/>
      <c r="Q194" s="106" t="n"/>
      <c r="R194" s="106" t="n"/>
      <c r="S194" s="106" t="n"/>
      <c r="T194">
        <f>IF(OR(G194="Closed Lost",G194="",NOT(ISNUMBER(H194))),"",H194)</f>
        <v/>
      </c>
    </row>
    <row r="195" ht="18" customHeight="1" s="96">
      <c r="A195" s="64" t="n">
        <v>194</v>
      </c>
      <c r="B195" s="65" t="n"/>
      <c r="C195" s="65" t="n"/>
      <c r="D195" s="65" t="n"/>
      <c r="E195" s="65" t="n"/>
      <c r="F195" s="66" t="n"/>
      <c r="G195" s="65" t="n"/>
      <c r="H195" s="74" t="n"/>
      <c r="I195" s="74" t="n"/>
      <c r="J195" s="67" t="n"/>
      <c r="K195" s="68">
        <f>IFERROR(VLOOKUP(G195,Stage_Lookup!$A$2:$B$8,2,0),"")</f>
        <v/>
      </c>
      <c r="L195" s="69" t="n"/>
      <c r="M195" s="69" t="n"/>
      <c r="N195" s="67" t="n"/>
      <c r="O195" s="65" t="n"/>
      <c r="P195" s="65" t="n"/>
      <c r="Q195" s="106" t="n"/>
      <c r="R195" s="106" t="n"/>
      <c r="S195" s="106" t="n"/>
      <c r="T195">
        <f>IF(OR(G195="Closed Lost",G195="",NOT(ISNUMBER(H195))),"",H195)</f>
        <v/>
      </c>
    </row>
    <row r="196" ht="18" customHeight="1" s="96">
      <c r="A196" s="57" t="n">
        <v>195</v>
      </c>
      <c r="B196" s="70" t="n"/>
      <c r="C196" s="70" t="n"/>
      <c r="D196" s="70" t="n"/>
      <c r="E196" s="70" t="n"/>
      <c r="F196" s="71" t="n"/>
      <c r="G196" s="70" t="n"/>
      <c r="H196" s="75" t="n"/>
      <c r="I196" s="75" t="n"/>
      <c r="J196" s="72" t="n"/>
      <c r="K196" s="73">
        <f>IFERROR(VLOOKUP(G196,Stage_Lookup!$A$2:$B$8,2,0),"")</f>
        <v/>
      </c>
      <c r="L196" s="69" t="n"/>
      <c r="M196" s="69" t="n"/>
      <c r="N196" s="72" t="n"/>
      <c r="O196" s="70" t="n"/>
      <c r="P196" s="70" t="n"/>
      <c r="Q196" s="106" t="n"/>
      <c r="R196" s="106" t="n"/>
      <c r="S196" s="106" t="n"/>
      <c r="T196">
        <f>IF(OR(G196="Closed Lost",G196="",NOT(ISNUMBER(H196))),"",H196)</f>
        <v/>
      </c>
    </row>
    <row r="197" ht="18" customHeight="1" s="96">
      <c r="A197" s="64" t="n">
        <v>196</v>
      </c>
      <c r="B197" s="65" t="n"/>
      <c r="C197" s="65" t="n"/>
      <c r="D197" s="65" t="n"/>
      <c r="E197" s="65" t="n"/>
      <c r="F197" s="66" t="n"/>
      <c r="G197" s="65" t="n"/>
      <c r="H197" s="74" t="n"/>
      <c r="I197" s="74" t="n"/>
      <c r="J197" s="67" t="n"/>
      <c r="K197" s="68">
        <f>IFERROR(VLOOKUP(G197,Stage_Lookup!$A$2:$B$8,2,0),"")</f>
        <v/>
      </c>
      <c r="L197" s="69" t="n"/>
      <c r="M197" s="69" t="n"/>
      <c r="N197" s="67" t="n"/>
      <c r="O197" s="65" t="n"/>
      <c r="P197" s="65" t="n"/>
      <c r="Q197" s="106" t="n"/>
      <c r="R197" s="106" t="n"/>
      <c r="S197" s="106" t="n"/>
      <c r="T197">
        <f>IF(OR(G197="Closed Lost",G197="",NOT(ISNUMBER(H197))),"",H197)</f>
        <v/>
      </c>
    </row>
    <row r="198" ht="18" customHeight="1" s="96">
      <c r="A198" s="57" t="n">
        <v>197</v>
      </c>
      <c r="B198" s="70" t="n"/>
      <c r="C198" s="70" t="n"/>
      <c r="D198" s="70" t="n"/>
      <c r="E198" s="70" t="n"/>
      <c r="F198" s="71" t="n"/>
      <c r="G198" s="70" t="n"/>
      <c r="H198" s="75" t="n"/>
      <c r="I198" s="75" t="n"/>
      <c r="J198" s="72" t="n"/>
      <c r="K198" s="73">
        <f>IFERROR(VLOOKUP(G198,Stage_Lookup!$A$2:$B$8,2,0),"")</f>
        <v/>
      </c>
      <c r="L198" s="69" t="n"/>
      <c r="M198" s="69" t="n"/>
      <c r="N198" s="72" t="n"/>
      <c r="O198" s="70" t="n"/>
      <c r="P198" s="70" t="n"/>
      <c r="Q198" s="106" t="n"/>
      <c r="R198" s="106" t="n"/>
      <c r="S198" s="106" t="n"/>
      <c r="T198">
        <f>IF(OR(G198="Closed Lost",G198="",NOT(ISNUMBER(H198))),"",H198)</f>
        <v/>
      </c>
    </row>
    <row r="199" ht="18" customHeight="1" s="96">
      <c r="A199" s="64" t="n">
        <v>198</v>
      </c>
      <c r="B199" s="65" t="n"/>
      <c r="C199" s="65" t="n"/>
      <c r="D199" s="65" t="n"/>
      <c r="E199" s="65" t="n"/>
      <c r="F199" s="66" t="n"/>
      <c r="G199" s="65" t="n"/>
      <c r="H199" s="74" t="n"/>
      <c r="I199" s="74" t="n"/>
      <c r="J199" s="67" t="n"/>
      <c r="K199" s="68">
        <f>IFERROR(VLOOKUP(G199,Stage_Lookup!$A$2:$B$8,2,0),"")</f>
        <v/>
      </c>
      <c r="L199" s="69" t="n"/>
      <c r="M199" s="69" t="n"/>
      <c r="N199" s="67" t="n"/>
      <c r="O199" s="65" t="n"/>
      <c r="P199" s="65" t="n"/>
      <c r="Q199" s="106" t="n"/>
      <c r="R199" s="106" t="n"/>
      <c r="S199" s="106" t="n"/>
      <c r="T199">
        <f>IF(OR(G199="Closed Lost",G199="",NOT(ISNUMBER(H199))),"",H199)</f>
        <v/>
      </c>
    </row>
    <row r="200" ht="18" customHeight="1" s="96">
      <c r="A200" s="57" t="n">
        <v>199</v>
      </c>
      <c r="B200" s="70" t="n"/>
      <c r="C200" s="70" t="n"/>
      <c r="D200" s="70" t="n"/>
      <c r="E200" s="70" t="n"/>
      <c r="F200" s="71" t="n"/>
      <c r="G200" s="70" t="n"/>
      <c r="H200" s="75" t="n"/>
      <c r="I200" s="75" t="n"/>
      <c r="J200" s="72" t="n"/>
      <c r="K200" s="73">
        <f>IFERROR(VLOOKUP(G200,Stage_Lookup!$A$2:$B$8,2,0),"")</f>
        <v/>
      </c>
      <c r="L200" s="69" t="n"/>
      <c r="M200" s="69" t="n"/>
      <c r="N200" s="72" t="n"/>
      <c r="O200" s="70" t="n"/>
      <c r="P200" s="70" t="n"/>
      <c r="Q200" s="106" t="n"/>
      <c r="R200" s="106" t="n"/>
      <c r="S200" s="106" t="n"/>
      <c r="T200">
        <f>IF(OR(G200="Closed Lost",G200="",NOT(ISNUMBER(H200))),"",H200)</f>
        <v/>
      </c>
    </row>
    <row r="201" ht="18" customHeight="1" s="96">
      <c r="A201" s="64" t="n">
        <v>200</v>
      </c>
      <c r="B201" s="65" t="n"/>
      <c r="C201" s="65" t="n"/>
      <c r="D201" s="65" t="n"/>
      <c r="E201" s="65" t="n"/>
      <c r="F201" s="66" t="n"/>
      <c r="G201" s="65" t="n"/>
      <c r="H201" s="74" t="n"/>
      <c r="I201" s="74" t="n"/>
      <c r="J201" s="67" t="n"/>
      <c r="K201" s="68">
        <f>IFERROR(VLOOKUP(G201,Stage_Lookup!$A$2:$B$8,2,0),"")</f>
        <v/>
      </c>
      <c r="L201" s="69" t="n"/>
      <c r="M201" s="69" t="n"/>
      <c r="N201" s="67" t="n"/>
      <c r="O201" s="65" t="n"/>
      <c r="P201" s="65" t="n"/>
      <c r="Q201" s="106" t="n"/>
      <c r="R201" s="106" t="n"/>
      <c r="S201" s="106" t="n"/>
      <c r="T201">
        <f>IF(OR(G201="Closed Lost",G201="",NOT(ISNUMBER(H201))),"",H201)</f>
        <v/>
      </c>
    </row>
    <row r="202" ht="24" customHeight="1" s="96">
      <c r="A202" s="76" t="inlineStr">
        <is>
          <t>TOTALS</t>
        </is>
      </c>
      <c r="B202" s="77" t="n"/>
      <c r="C202" s="78" t="inlineStr">
        <is>
          <t># DEALS:</t>
        </is>
      </c>
      <c r="D202" s="79">
        <f>COUNTA(D2:D201)</f>
        <v/>
      </c>
      <c r="E202" s="77" t="n"/>
      <c r="F202" s="80">
        <f>SUM(F2:F201)</f>
        <v/>
      </c>
      <c r="G202" s="77" t="n"/>
      <c r="H202" s="81">
        <f>SUM(H2:H201)</f>
        <v/>
      </c>
      <c r="I202" s="81">
        <f>SUM(I2:I201)</f>
        <v/>
      </c>
      <c r="J202" s="77" t="n"/>
      <c r="K202" s="77" t="n"/>
      <c r="L202" s="82" t="n"/>
      <c r="M202" s="82" t="n"/>
      <c r="N202" s="77" t="n"/>
      <c r="O202" s="77" t="n"/>
      <c r="P202" s="77" t="n"/>
      <c r="Q202" s="106" t="n"/>
      <c r="R202" s="106" t="n"/>
      <c r="S202" s="10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P1"/>
  </mergeCells>
  <conditionalFormatting sqref="L3:M202">
    <cfRule type="expression" priority="1" dxfId="1">
      <formula>$K3=0.9</formula>
    </cfRule>
    <cfRule type="expression" priority="2" dxfId="0">
      <formula>$K3&lt;&gt;0.9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3"/>
  <sheetViews>
    <sheetView showGridLines="0" zoomScaleNormal="100" workbookViewId="0">
      <pane ySplit="3" topLeftCell="A4" activePane="bottomLeft" state="frozen"/>
      <selection pane="bottomLeft" activeCell="I7" sqref="I7"/>
    </sheetView>
  </sheetViews>
  <sheetFormatPr baseColWidth="8" defaultColWidth="8.7421875" defaultRowHeight="15"/>
  <cols>
    <col width="4.9765625" customWidth="1" style="96" min="1" max="1"/>
    <col width="16.0078125" customWidth="1" style="96" min="2" max="2"/>
    <col width="27.98046875" customWidth="1" style="96" min="3" max="3"/>
    <col width="22.05859375" customWidth="1" style="96" min="4" max="4"/>
    <col width="29.99609375" customWidth="1" style="96" min="5" max="5"/>
    <col width="13.98828125" customWidth="1" style="96" min="6" max="6"/>
    <col width="16.0078125" customWidth="1" style="96" min="7" max="8"/>
    <col width="13.98828125" customWidth="1" style="96" min="9" max="9"/>
    <col width="29.99609375" customWidth="1" style="96" min="10" max="10"/>
    <col width="13.046875" customWidth="1" style="96" min="11" max="11"/>
  </cols>
  <sheetData>
    <row r="1" ht="30" customHeight="1" s="96">
      <c r="A1" s="104" t="inlineStr">
        <is>
          <t>SALES COVERAGE — Person C</t>
        </is>
      </c>
    </row>
    <row r="2" ht="18" customHeight="1" s="96">
      <c r="A2" s="97" t="inlineStr">
        <is>
          <t>ℹ  Rows are unlimited. Add as many opportunities as needed. Totals row auto-updates.</t>
        </is>
      </c>
    </row>
    <row r="3" ht="18" customHeight="1" s="96">
      <c r="A3" s="2" t="n">
        <v>1</v>
      </c>
      <c r="B3" s="3" t="inlineStr">
        <is>
          <t>BDM</t>
        </is>
      </c>
      <c r="C3" s="3" t="inlineStr">
        <is>
          <t>ACCOUNT NAME</t>
        </is>
      </c>
      <c r="D3" s="3" t="inlineStr">
        <is>
          <t>OPPORTUNITY TYPE</t>
        </is>
      </c>
      <c r="E3" s="3" t="inlineStr">
        <is>
          <t>OPPORTUNITY DETAILS</t>
        </is>
      </c>
      <c r="F3" s="4" t="inlineStr">
        <is>
          <t>AREA (IN SQM)</t>
        </is>
      </c>
      <c r="G3" s="5" t="inlineStr">
        <is>
          <t>TCV</t>
        </is>
      </c>
      <c r="H3" s="5" t="inlineStr">
        <is>
          <t>GP</t>
        </is>
      </c>
      <c r="I3" s="6" t="inlineStr">
        <is>
          <t>CLOSING DATE</t>
        </is>
      </c>
      <c r="J3" s="3" t="inlineStr">
        <is>
          <t>REMARKS</t>
        </is>
      </c>
      <c r="K3" s="7" t="inlineStr">
        <is>
          <t>PROBABILITY</t>
        </is>
      </c>
    </row>
    <row r="4" ht="18" customHeight="1" s="96">
      <c r="A4" s="93" t="n">
        <v>2</v>
      </c>
      <c r="B4" s="8" t="inlineStr">
        <is>
          <t xml:space="preserve">Home </t>
        </is>
      </c>
      <c r="C4" s="8" t="inlineStr">
        <is>
          <t>EY PH Lead</t>
        </is>
      </c>
      <c r="D4" s="8" t="inlineStr">
        <is>
          <t>Fit out</t>
        </is>
      </c>
      <c r="E4" s="8" t="n"/>
      <c r="F4" s="9" t="n">
        <v>2500</v>
      </c>
      <c r="G4" s="10" t="n">
        <v>112500000</v>
      </c>
      <c r="H4" s="10">
        <f>G4*20%</f>
        <v/>
      </c>
      <c r="I4" s="11" t="n">
        <v>46203</v>
      </c>
      <c r="J4" s="8" t="inlineStr">
        <is>
          <t xml:space="preserve">EY led opportunity, client Meeting rescheduled </t>
        </is>
      </c>
      <c r="K4" s="12" t="n"/>
    </row>
    <row r="5" ht="18" customHeight="1" s="96">
      <c r="A5" s="2" t="n">
        <v>3</v>
      </c>
      <c r="B5" s="3" t="inlineStr">
        <is>
          <t xml:space="preserve">Home </t>
        </is>
      </c>
      <c r="C5" s="3" t="inlineStr">
        <is>
          <t>KPMG Philippines_RG Manabat</t>
        </is>
      </c>
      <c r="D5" s="3" t="inlineStr">
        <is>
          <t>Fit out</t>
        </is>
      </c>
      <c r="E5" s="3" t="inlineStr">
        <is>
          <t>Expansion</t>
        </is>
      </c>
      <c r="F5" s="4" t="n">
        <v>7500</v>
      </c>
      <c r="G5" s="5">
        <f>40000*F5</f>
        <v/>
      </c>
      <c r="H5" s="5">
        <f>G5*20%</f>
        <v/>
      </c>
      <c r="I5" s="11" t="n">
        <v>46537</v>
      </c>
      <c r="J5" s="3" t="inlineStr">
        <is>
          <t>Meeting May 5</t>
        </is>
      </c>
      <c r="K5" s="13" t="n"/>
    </row>
    <row r="6" ht="18" customHeight="1" s="96">
      <c r="A6" s="93" t="n">
        <v>4</v>
      </c>
      <c r="B6" s="8" t="inlineStr">
        <is>
          <t xml:space="preserve">Home </t>
        </is>
      </c>
      <c r="C6" s="8" t="inlineStr">
        <is>
          <t>Fourth Iq</t>
        </is>
      </c>
      <c r="D6" s="8" t="inlineStr">
        <is>
          <t>Fit out</t>
        </is>
      </c>
      <c r="E6" s="8" t="n"/>
      <c r="F6" s="9" t="n"/>
      <c r="G6" s="10" t="n"/>
      <c r="H6" s="10" t="n"/>
      <c r="I6" s="11" t="n"/>
      <c r="J6" s="8" t="inlineStr">
        <is>
          <t>Teams Meeting with CEO May 06</t>
        </is>
      </c>
      <c r="K6" s="12" t="n"/>
    </row>
    <row r="7" ht="18" customHeight="1" s="96">
      <c r="A7" s="2" t="n">
        <v>5</v>
      </c>
      <c r="B7" s="3" t="inlineStr">
        <is>
          <t xml:space="preserve">Home </t>
        </is>
      </c>
      <c r="C7" s="3" t="inlineStr">
        <is>
          <t>Tata Consultacy</t>
        </is>
      </c>
      <c r="D7" s="3" t="inlineStr">
        <is>
          <t>Fit out</t>
        </is>
      </c>
      <c r="E7" s="3" t="n"/>
      <c r="F7" s="4" t="n"/>
      <c r="G7" s="5" t="n"/>
      <c r="H7" s="5" t="n"/>
      <c r="I7" s="6" t="n"/>
      <c r="J7" s="3" t="n"/>
      <c r="K7" s="13" t="n"/>
    </row>
    <row r="8" ht="18" customHeight="1" s="96">
      <c r="A8" s="93" t="n">
        <v>6</v>
      </c>
      <c r="B8" s="8" t="inlineStr">
        <is>
          <t xml:space="preserve">Home </t>
        </is>
      </c>
      <c r="C8" s="8" t="inlineStr">
        <is>
          <t xml:space="preserve">PLDT Filinvest </t>
        </is>
      </c>
      <c r="D8" s="8" t="inlineStr">
        <is>
          <t>CSA Fit Out</t>
        </is>
      </c>
      <c r="E8" s="8" t="n"/>
      <c r="F8" s="9" t="n"/>
      <c r="G8" s="10" t="n"/>
      <c r="H8" s="10" t="n"/>
      <c r="I8" s="11" t="n"/>
      <c r="J8" s="8" t="n"/>
      <c r="K8" s="12" t="n"/>
    </row>
    <row r="9" ht="18" customHeight="1" s="96">
      <c r="A9" s="2" t="n">
        <v>7</v>
      </c>
      <c r="B9" s="3" t="n"/>
      <c r="C9" s="3" t="n"/>
      <c r="D9" s="3" t="n"/>
      <c r="E9" s="3" t="n"/>
      <c r="F9" s="4" t="n"/>
      <c r="G9" s="5" t="n"/>
      <c r="H9" s="5" t="n"/>
      <c r="I9" s="6" t="n"/>
      <c r="J9" s="3" t="n"/>
      <c r="K9" s="13" t="n"/>
    </row>
    <row r="10" ht="18" customHeight="1" s="96">
      <c r="A10" s="93" t="n">
        <v>8</v>
      </c>
      <c r="B10" s="8" t="n"/>
      <c r="C10" s="8" t="n"/>
      <c r="D10" s="8" t="n"/>
      <c r="E10" s="8" t="n"/>
      <c r="F10" s="9" t="n"/>
      <c r="G10" s="10" t="n"/>
      <c r="H10" s="10" t="n"/>
      <c r="I10" s="11" t="n"/>
      <c r="J10" s="8" t="n"/>
      <c r="K10" s="12" t="n"/>
    </row>
    <row r="11" ht="18" customHeight="1" s="96">
      <c r="A11" s="2" t="n">
        <v>9</v>
      </c>
      <c r="B11" s="3" t="n"/>
      <c r="C11" s="3" t="n"/>
      <c r="D11" s="3" t="n"/>
      <c r="E11" s="3" t="n"/>
      <c r="F11" s="4" t="n"/>
      <c r="G11" s="5" t="n"/>
      <c r="H11" s="5" t="n"/>
      <c r="I11" s="6" t="n"/>
      <c r="J11" s="3" t="n"/>
      <c r="K11" s="13" t="n"/>
    </row>
    <row r="12" ht="18" customHeight="1" s="96">
      <c r="A12" s="93" t="n">
        <v>10</v>
      </c>
      <c r="B12" s="8" t="n"/>
      <c r="C12" s="8" t="n"/>
      <c r="D12" s="8" t="n"/>
      <c r="E12" s="8" t="n"/>
      <c r="F12" s="9" t="n"/>
      <c r="G12" s="10" t="n"/>
      <c r="H12" s="10" t="n"/>
      <c r="I12" s="11" t="n"/>
      <c r="J12" s="8" t="n"/>
      <c r="K12" s="12" t="n"/>
    </row>
    <row r="13" ht="18" customHeight="1" s="96">
      <c r="A13" s="2" t="n">
        <v>11</v>
      </c>
      <c r="B13" s="3" t="n"/>
      <c r="C13" s="3" t="n"/>
      <c r="D13" s="3" t="n"/>
      <c r="E13" s="3" t="n"/>
      <c r="F13" s="4" t="n"/>
      <c r="G13" s="5" t="n"/>
      <c r="H13" s="5" t="n"/>
      <c r="I13" s="6" t="n"/>
      <c r="J13" s="3" t="n"/>
      <c r="K13" s="13" t="n"/>
    </row>
    <row r="14" ht="18" customHeight="1" s="96">
      <c r="A14" s="93" t="n">
        <v>12</v>
      </c>
      <c r="B14" s="8" t="n"/>
      <c r="C14" s="8" t="n"/>
      <c r="D14" s="8" t="n"/>
      <c r="E14" s="8" t="n"/>
      <c r="F14" s="9" t="n"/>
      <c r="G14" s="10" t="n"/>
      <c r="H14" s="10" t="n"/>
      <c r="I14" s="11" t="n"/>
      <c r="J14" s="8" t="n"/>
      <c r="K14" s="12" t="n"/>
    </row>
    <row r="15" ht="18" customHeight="1" s="96">
      <c r="A15" s="2" t="n">
        <v>13</v>
      </c>
      <c r="B15" s="3" t="n"/>
      <c r="C15" s="3" t="n"/>
      <c r="D15" s="3" t="n"/>
      <c r="E15" s="3" t="n"/>
      <c r="F15" s="4" t="n"/>
      <c r="G15" s="5" t="n"/>
      <c r="H15" s="5" t="n"/>
      <c r="I15" s="6" t="n"/>
      <c r="J15" s="3" t="n"/>
      <c r="K15" s="13" t="n"/>
    </row>
    <row r="16" ht="18" customHeight="1" s="96">
      <c r="A16" s="93" t="n">
        <v>14</v>
      </c>
      <c r="B16" s="8" t="n"/>
      <c r="C16" s="8" t="n"/>
      <c r="D16" s="8" t="n"/>
      <c r="E16" s="8" t="n"/>
      <c r="F16" s="9" t="n"/>
      <c r="G16" s="10" t="n"/>
      <c r="H16" s="10" t="n"/>
      <c r="I16" s="11" t="n"/>
      <c r="J16" s="8" t="n"/>
      <c r="K16" s="12" t="n"/>
    </row>
    <row r="17" ht="18" customHeight="1" s="96">
      <c r="A17" s="2" t="n">
        <v>15</v>
      </c>
      <c r="B17" s="3" t="n"/>
      <c r="C17" s="3" t="n"/>
      <c r="D17" s="3" t="n"/>
      <c r="E17" s="3" t="n"/>
      <c r="F17" s="4" t="n"/>
      <c r="G17" s="5" t="n"/>
      <c r="H17" s="5" t="n"/>
      <c r="I17" s="6" t="n"/>
      <c r="J17" s="3" t="n"/>
      <c r="K17" s="13" t="n"/>
    </row>
    <row r="18" ht="18" customHeight="1" s="96">
      <c r="A18" s="93" t="n">
        <v>16</v>
      </c>
      <c r="B18" s="8" t="n"/>
      <c r="C18" s="8" t="n"/>
      <c r="D18" s="8" t="n"/>
      <c r="E18" s="8" t="n"/>
      <c r="F18" s="9" t="n"/>
      <c r="G18" s="10" t="n"/>
      <c r="H18" s="10" t="n"/>
      <c r="I18" s="11" t="n"/>
      <c r="J18" s="8" t="n"/>
      <c r="K18" s="12" t="n"/>
    </row>
    <row r="19" ht="18" customHeight="1" s="96">
      <c r="A19" s="2" t="n">
        <v>17</v>
      </c>
      <c r="B19" s="3" t="n"/>
      <c r="C19" s="3" t="n"/>
      <c r="D19" s="3" t="n"/>
      <c r="E19" s="3" t="n"/>
      <c r="F19" s="4" t="n"/>
      <c r="G19" s="5" t="n"/>
      <c r="H19" s="5" t="n"/>
      <c r="I19" s="6" t="n"/>
      <c r="J19" s="3" t="n"/>
      <c r="K19" s="13" t="n"/>
    </row>
    <row r="20" ht="18" customHeight="1" s="96">
      <c r="A20" s="93" t="n">
        <v>18</v>
      </c>
      <c r="B20" s="8" t="n"/>
      <c r="C20" s="8" t="n"/>
      <c r="D20" s="8" t="n"/>
      <c r="E20" s="8" t="n"/>
      <c r="F20" s="9" t="n"/>
      <c r="G20" s="10" t="n"/>
      <c r="H20" s="10" t="n"/>
      <c r="I20" s="11" t="n"/>
      <c r="J20" s="8" t="n"/>
      <c r="K20" s="12" t="n"/>
    </row>
    <row r="21" ht="18" customHeight="1" s="96">
      <c r="A21" s="2" t="n">
        <v>19</v>
      </c>
      <c r="B21" s="3" t="n"/>
      <c r="C21" s="3" t="n"/>
      <c r="D21" s="3" t="n"/>
      <c r="E21" s="3" t="n"/>
      <c r="F21" s="4" t="n"/>
      <c r="G21" s="5" t="n"/>
      <c r="H21" s="5" t="n"/>
      <c r="I21" s="6" t="n"/>
      <c r="J21" s="3" t="n"/>
      <c r="K21" s="13" t="n"/>
    </row>
    <row r="22" ht="18" customHeight="1" s="96">
      <c r="A22" s="93" t="n">
        <v>20</v>
      </c>
      <c r="B22" s="8" t="n"/>
      <c r="C22" s="8" t="n"/>
      <c r="D22" s="8" t="n"/>
      <c r="E22" s="8" t="n"/>
      <c r="F22" s="9" t="n"/>
      <c r="G22" s="10" t="n"/>
      <c r="H22" s="10" t="n"/>
      <c r="I22" s="11" t="n"/>
      <c r="J22" s="8" t="n"/>
      <c r="K22" s="12" t="n"/>
    </row>
    <row r="23" ht="18" customHeight="1" s="96">
      <c r="A23" s="2" t="n">
        <v>21</v>
      </c>
      <c r="B23" s="3" t="n"/>
      <c r="C23" s="3" t="n"/>
      <c r="D23" s="3" t="n"/>
      <c r="E23" s="3" t="n"/>
      <c r="F23" s="4" t="n"/>
      <c r="G23" s="5" t="n"/>
      <c r="H23" s="5" t="n"/>
      <c r="I23" s="6" t="n"/>
      <c r="J23" s="3" t="n"/>
      <c r="K23" s="13" t="n"/>
    </row>
    <row r="24" ht="18" customHeight="1" s="96">
      <c r="A24" s="93" t="n">
        <v>22</v>
      </c>
      <c r="B24" s="8" t="n"/>
      <c r="C24" s="8" t="n"/>
      <c r="D24" s="8" t="n"/>
      <c r="E24" s="8" t="n"/>
      <c r="F24" s="9" t="n"/>
      <c r="G24" s="10" t="n"/>
      <c r="H24" s="10" t="n"/>
      <c r="I24" s="11" t="n"/>
      <c r="J24" s="8" t="n"/>
      <c r="K24" s="12" t="n"/>
    </row>
    <row r="25" ht="18" customHeight="1" s="96">
      <c r="A25" s="2" t="n">
        <v>23</v>
      </c>
      <c r="B25" s="3" t="n"/>
      <c r="C25" s="3" t="n"/>
      <c r="D25" s="3" t="n"/>
      <c r="E25" s="3" t="n"/>
      <c r="F25" s="4" t="n"/>
      <c r="G25" s="5" t="n"/>
      <c r="H25" s="5" t="n"/>
      <c r="I25" s="6" t="n"/>
      <c r="J25" s="3" t="n"/>
      <c r="K25" s="13" t="n"/>
    </row>
    <row r="26" ht="18" customHeight="1" s="96">
      <c r="A26" s="93" t="n">
        <v>24</v>
      </c>
      <c r="B26" s="8" t="n"/>
      <c r="C26" s="8" t="n"/>
      <c r="D26" s="8" t="n"/>
      <c r="E26" s="8" t="n"/>
      <c r="F26" s="9" t="n"/>
      <c r="G26" s="10" t="n"/>
      <c r="H26" s="10" t="n"/>
      <c r="I26" s="11" t="n"/>
      <c r="J26" s="8" t="n"/>
      <c r="K26" s="12" t="n"/>
    </row>
    <row r="27" ht="18" customHeight="1" s="96">
      <c r="A27" s="2" t="n">
        <v>25</v>
      </c>
      <c r="B27" s="3" t="n"/>
      <c r="C27" s="3" t="n"/>
      <c r="D27" s="3" t="n"/>
      <c r="E27" s="3" t="n"/>
      <c r="F27" s="4" t="n"/>
      <c r="G27" s="5" t="n"/>
      <c r="H27" s="5" t="n"/>
      <c r="I27" s="6" t="n"/>
      <c r="J27" s="3" t="n"/>
      <c r="K27" s="13" t="n"/>
    </row>
    <row r="28" ht="18" customHeight="1" s="96">
      <c r="A28" s="93" t="n">
        <v>26</v>
      </c>
      <c r="B28" s="8" t="n"/>
      <c r="C28" s="8" t="n"/>
      <c r="D28" s="8" t="n"/>
      <c r="E28" s="8" t="n"/>
      <c r="F28" s="9" t="n"/>
      <c r="G28" s="10" t="n"/>
      <c r="H28" s="10" t="n"/>
      <c r="I28" s="11" t="n"/>
      <c r="J28" s="8" t="n"/>
      <c r="K28" s="12" t="n"/>
    </row>
    <row r="29" ht="18" customHeight="1" s="96">
      <c r="A29" s="2" t="n">
        <v>27</v>
      </c>
      <c r="B29" s="3" t="n"/>
      <c r="C29" s="3" t="n"/>
      <c r="D29" s="3" t="n"/>
      <c r="E29" s="3" t="n"/>
      <c r="F29" s="4" t="n"/>
      <c r="G29" s="5" t="n"/>
      <c r="H29" s="5" t="n"/>
      <c r="I29" s="6" t="n"/>
      <c r="J29" s="3" t="n"/>
      <c r="K29" s="13" t="n"/>
    </row>
    <row r="30" ht="18" customHeight="1" s="96">
      <c r="A30" s="93" t="n">
        <v>28</v>
      </c>
      <c r="B30" s="8" t="n"/>
      <c r="C30" s="8" t="n"/>
      <c r="D30" s="8" t="n"/>
      <c r="E30" s="8" t="n"/>
      <c r="F30" s="9" t="n"/>
      <c r="G30" s="10" t="n"/>
      <c r="H30" s="10" t="n"/>
      <c r="I30" s="11" t="n"/>
      <c r="J30" s="8" t="n"/>
      <c r="K30" s="12" t="n"/>
    </row>
    <row r="31" ht="18" customHeight="1" s="96">
      <c r="A31" s="2" t="n">
        <v>29</v>
      </c>
      <c r="B31" s="3" t="n"/>
      <c r="C31" s="3" t="n"/>
      <c r="D31" s="3" t="n"/>
      <c r="E31" s="3" t="n"/>
      <c r="F31" s="4" t="n"/>
      <c r="G31" s="5" t="n"/>
      <c r="H31" s="5" t="n"/>
      <c r="I31" s="6" t="n"/>
      <c r="J31" s="3" t="n"/>
      <c r="K31" s="13" t="n"/>
    </row>
    <row r="32" ht="18" customHeight="1" s="96">
      <c r="A32" s="93" t="n">
        <v>30</v>
      </c>
      <c r="B32" s="8" t="n"/>
      <c r="C32" s="8" t="n"/>
      <c r="D32" s="8" t="n"/>
      <c r="E32" s="8" t="n"/>
      <c r="F32" s="9" t="n"/>
      <c r="G32" s="10" t="n"/>
      <c r="H32" s="10" t="n"/>
      <c r="I32" s="11" t="n"/>
      <c r="J32" s="8" t="n"/>
      <c r="K32" s="12" t="n"/>
    </row>
    <row r="33" ht="18" customHeight="1" s="96">
      <c r="A33" s="2" t="n">
        <v>31</v>
      </c>
      <c r="B33" s="3" t="n"/>
      <c r="C33" s="3" t="n"/>
      <c r="D33" s="3" t="n"/>
      <c r="E33" s="3" t="n"/>
      <c r="F33" s="4" t="n"/>
      <c r="G33" s="5" t="n"/>
      <c r="H33" s="5" t="n"/>
      <c r="I33" s="6" t="n"/>
      <c r="J33" s="3" t="n"/>
      <c r="K33" s="13" t="n"/>
    </row>
    <row r="34" ht="18" customHeight="1" s="96">
      <c r="A34" s="93" t="n">
        <v>32</v>
      </c>
      <c r="B34" s="8" t="n"/>
      <c r="C34" s="8" t="n"/>
      <c r="D34" s="8" t="n"/>
      <c r="E34" s="8" t="n"/>
      <c r="F34" s="9" t="n"/>
      <c r="G34" s="10" t="n"/>
      <c r="H34" s="10" t="n"/>
      <c r="I34" s="11" t="n"/>
      <c r="J34" s="8" t="n"/>
      <c r="K34" s="12" t="n"/>
    </row>
    <row r="35" ht="18" customHeight="1" s="96">
      <c r="A35" s="2" t="n">
        <v>33</v>
      </c>
      <c r="B35" s="3" t="n"/>
      <c r="C35" s="3" t="n"/>
      <c r="D35" s="3" t="n"/>
      <c r="E35" s="3" t="n"/>
      <c r="F35" s="4" t="n"/>
      <c r="G35" s="5" t="n"/>
      <c r="H35" s="5" t="n"/>
      <c r="I35" s="6" t="n"/>
      <c r="J35" s="3" t="n"/>
      <c r="K35" s="13" t="n"/>
    </row>
    <row r="36" ht="18" customHeight="1" s="96">
      <c r="A36" s="93" t="n">
        <v>34</v>
      </c>
      <c r="B36" s="8" t="n"/>
      <c r="C36" s="8" t="n"/>
      <c r="D36" s="8" t="n"/>
      <c r="E36" s="8" t="n"/>
      <c r="F36" s="9" t="n"/>
      <c r="G36" s="10" t="n"/>
      <c r="H36" s="10" t="n"/>
      <c r="I36" s="11" t="n"/>
      <c r="J36" s="8" t="n"/>
      <c r="K36" s="12" t="n"/>
    </row>
    <row r="37" ht="18" customHeight="1" s="96">
      <c r="A37" s="2" t="n">
        <v>35</v>
      </c>
      <c r="B37" s="3" t="n"/>
      <c r="C37" s="3" t="n"/>
      <c r="D37" s="3" t="n"/>
      <c r="E37" s="3" t="n"/>
      <c r="F37" s="4" t="n"/>
      <c r="G37" s="5" t="n"/>
      <c r="H37" s="5" t="n"/>
      <c r="I37" s="6" t="n"/>
      <c r="J37" s="3" t="n"/>
      <c r="K37" s="13" t="n"/>
    </row>
    <row r="38" ht="18" customHeight="1" s="96">
      <c r="A38" s="93" t="n">
        <v>36</v>
      </c>
      <c r="B38" s="8" t="n"/>
      <c r="C38" s="8" t="n"/>
      <c r="D38" s="8" t="n"/>
      <c r="E38" s="8" t="n"/>
      <c r="F38" s="9" t="n"/>
      <c r="G38" s="10" t="n"/>
      <c r="H38" s="10" t="n"/>
      <c r="I38" s="11" t="n"/>
      <c r="J38" s="8" t="n"/>
      <c r="K38" s="12" t="n"/>
    </row>
    <row r="39" ht="18" customHeight="1" s="96">
      <c r="A39" s="2" t="n">
        <v>37</v>
      </c>
      <c r="B39" s="3" t="n"/>
      <c r="C39" s="3" t="n"/>
      <c r="D39" s="3" t="n"/>
      <c r="E39" s="3" t="n"/>
      <c r="F39" s="4" t="n"/>
      <c r="G39" s="5" t="n"/>
      <c r="H39" s="5" t="n"/>
      <c r="I39" s="6" t="n"/>
      <c r="J39" s="3" t="n"/>
      <c r="K39" s="13" t="n"/>
    </row>
    <row r="40" ht="18" customHeight="1" s="96">
      <c r="A40" s="93" t="n">
        <v>38</v>
      </c>
      <c r="B40" s="8" t="n"/>
      <c r="C40" s="8" t="n"/>
      <c r="D40" s="8" t="n"/>
      <c r="E40" s="8" t="n"/>
      <c r="F40" s="9" t="n"/>
      <c r="G40" s="10" t="n"/>
      <c r="H40" s="10" t="n"/>
      <c r="I40" s="11" t="n"/>
      <c r="J40" s="8" t="n"/>
      <c r="K40" s="12" t="n"/>
    </row>
    <row r="41" ht="18" customHeight="1" s="96">
      <c r="A41" s="2" t="n">
        <v>39</v>
      </c>
      <c r="B41" s="3" t="n"/>
      <c r="C41" s="3" t="n"/>
      <c r="D41" s="3" t="n"/>
      <c r="E41" s="3" t="n"/>
      <c r="F41" s="4" t="n"/>
      <c r="G41" s="5" t="n"/>
      <c r="H41" s="5" t="n"/>
      <c r="I41" s="6" t="n"/>
      <c r="J41" s="3" t="n"/>
      <c r="K41" s="13" t="n"/>
    </row>
    <row r="42" ht="18" customHeight="1" s="96">
      <c r="A42" s="93" t="n">
        <v>40</v>
      </c>
      <c r="B42" s="8" t="n"/>
      <c r="C42" s="8" t="n"/>
      <c r="D42" s="8" t="n"/>
      <c r="E42" s="8" t="n"/>
      <c r="F42" s="9" t="n"/>
      <c r="G42" s="10" t="n"/>
      <c r="H42" s="10" t="n"/>
      <c r="I42" s="11" t="n"/>
      <c r="J42" s="8" t="n"/>
      <c r="K42" s="12" t="n"/>
    </row>
    <row r="43" ht="18" customHeight="1" s="96">
      <c r="A43" s="2" t="n">
        <v>41</v>
      </c>
      <c r="B43" s="3" t="n"/>
      <c r="C43" s="3" t="n"/>
      <c r="D43" s="3" t="n"/>
      <c r="E43" s="3" t="n"/>
      <c r="F43" s="4" t="n"/>
      <c r="G43" s="5" t="n"/>
      <c r="H43" s="5" t="n"/>
      <c r="I43" s="6" t="n"/>
      <c r="J43" s="3" t="n"/>
      <c r="K43" s="13" t="n"/>
    </row>
    <row r="44" ht="18" customHeight="1" s="96">
      <c r="A44" s="93" t="n">
        <v>42</v>
      </c>
      <c r="B44" s="8" t="n"/>
      <c r="C44" s="8" t="n"/>
      <c r="D44" s="8" t="n"/>
      <c r="E44" s="8" t="n"/>
      <c r="F44" s="9" t="n"/>
      <c r="G44" s="10" t="n"/>
      <c r="H44" s="10" t="n"/>
      <c r="I44" s="11" t="n"/>
      <c r="J44" s="8" t="n"/>
      <c r="K44" s="12" t="n"/>
    </row>
    <row r="45" ht="18" customHeight="1" s="96">
      <c r="A45" s="2" t="n">
        <v>43</v>
      </c>
      <c r="B45" s="3" t="n"/>
      <c r="C45" s="3" t="n"/>
      <c r="D45" s="3" t="n"/>
      <c r="E45" s="3" t="n"/>
      <c r="F45" s="4" t="n"/>
      <c r="G45" s="5" t="n"/>
      <c r="H45" s="5" t="n"/>
      <c r="I45" s="6" t="n"/>
      <c r="J45" s="3" t="n"/>
      <c r="K45" s="13" t="n"/>
    </row>
    <row r="46" ht="18" customHeight="1" s="96">
      <c r="A46" s="93" t="n">
        <v>44</v>
      </c>
      <c r="B46" s="8" t="n"/>
      <c r="C46" s="8" t="n"/>
      <c r="D46" s="8" t="n"/>
      <c r="E46" s="8" t="n"/>
      <c r="F46" s="9" t="n"/>
      <c r="G46" s="10" t="n"/>
      <c r="H46" s="10" t="n"/>
      <c r="I46" s="11" t="n"/>
      <c r="J46" s="8" t="n"/>
      <c r="K46" s="12" t="n"/>
    </row>
    <row r="47" ht="18" customHeight="1" s="96">
      <c r="A47" s="2" t="n">
        <v>45</v>
      </c>
      <c r="B47" s="3" t="n"/>
      <c r="C47" s="3" t="n"/>
      <c r="D47" s="3" t="n"/>
      <c r="E47" s="3" t="n"/>
      <c r="F47" s="4" t="n"/>
      <c r="G47" s="5" t="n"/>
      <c r="H47" s="5" t="n"/>
      <c r="I47" s="6" t="n"/>
      <c r="J47" s="3" t="n"/>
      <c r="K47" s="13" t="n"/>
    </row>
    <row r="48" ht="18" customHeight="1" s="96">
      <c r="A48" s="93" t="n">
        <v>46</v>
      </c>
      <c r="B48" s="8" t="n"/>
      <c r="C48" s="8" t="n"/>
      <c r="D48" s="8" t="n"/>
      <c r="E48" s="8" t="n"/>
      <c r="F48" s="9" t="n"/>
      <c r="G48" s="10" t="n"/>
      <c r="H48" s="10" t="n"/>
      <c r="I48" s="11" t="n"/>
      <c r="J48" s="8" t="n"/>
      <c r="K48" s="12" t="n"/>
    </row>
    <row r="49" ht="18" customHeight="1" s="96">
      <c r="A49" s="2" t="n">
        <v>47</v>
      </c>
      <c r="B49" s="3" t="n"/>
      <c r="C49" s="3" t="n"/>
      <c r="D49" s="3" t="n"/>
      <c r="E49" s="3" t="n"/>
      <c r="F49" s="4" t="n"/>
      <c r="G49" s="5" t="n"/>
      <c r="H49" s="5" t="n"/>
      <c r="I49" s="6" t="n"/>
      <c r="J49" s="3" t="n"/>
      <c r="K49" s="13" t="n"/>
    </row>
    <row r="50" ht="18" customHeight="1" s="96">
      <c r="A50" s="93" t="n">
        <v>48</v>
      </c>
      <c r="B50" s="8" t="n"/>
      <c r="C50" s="8" t="n"/>
      <c r="D50" s="8" t="n"/>
      <c r="E50" s="8" t="n"/>
      <c r="F50" s="9" t="n"/>
      <c r="G50" s="10" t="n"/>
      <c r="H50" s="10" t="n"/>
      <c r="I50" s="11" t="n"/>
      <c r="J50" s="8" t="n"/>
      <c r="K50" s="12" t="n"/>
    </row>
    <row r="51" ht="18" customHeight="1" s="96">
      <c r="A51" s="2" t="n">
        <v>49</v>
      </c>
      <c r="B51" s="3" t="n"/>
      <c r="C51" s="3" t="n"/>
      <c r="D51" s="3" t="n"/>
      <c r="E51" s="3" t="n"/>
      <c r="F51" s="4" t="n"/>
      <c r="G51" s="5" t="n"/>
      <c r="H51" s="5" t="n"/>
      <c r="I51" s="6" t="n"/>
      <c r="J51" s="3" t="n"/>
      <c r="K51" s="13" t="n"/>
    </row>
    <row r="52" ht="18" customHeight="1" s="96">
      <c r="A52" s="93" t="n">
        <v>50</v>
      </c>
      <c r="B52" s="8" t="n"/>
      <c r="C52" s="8" t="n"/>
      <c r="D52" s="8" t="n"/>
      <c r="E52" s="8" t="n"/>
      <c r="F52" s="9" t="n"/>
      <c r="G52" s="10" t="n"/>
      <c r="H52" s="10" t="n"/>
      <c r="I52" s="11" t="n"/>
      <c r="J52" s="8" t="n"/>
      <c r="K52" s="12" t="n"/>
    </row>
    <row r="53" ht="18" customHeight="1" s="96">
      <c r="A53" s="2" t="n">
        <v>51</v>
      </c>
      <c r="B53" s="3" t="n"/>
      <c r="C53" s="3" t="n"/>
      <c r="D53" s="3" t="n"/>
      <c r="E53" s="3" t="n"/>
      <c r="F53" s="4" t="n"/>
      <c r="G53" s="5" t="n"/>
      <c r="H53" s="5" t="n"/>
      <c r="I53" s="6" t="n"/>
      <c r="J53" s="3" t="n"/>
      <c r="K53" s="13" t="n"/>
    </row>
    <row r="54" ht="18" customHeight="1" s="96">
      <c r="A54" s="93" t="n">
        <v>52</v>
      </c>
      <c r="B54" s="8" t="n"/>
      <c r="C54" s="8" t="n"/>
      <c r="D54" s="8" t="n"/>
      <c r="E54" s="8" t="n"/>
      <c r="F54" s="9" t="n"/>
      <c r="G54" s="10" t="n"/>
      <c r="H54" s="10" t="n"/>
      <c r="I54" s="11" t="n"/>
      <c r="J54" s="8" t="n"/>
      <c r="K54" s="12" t="n"/>
    </row>
    <row r="55" ht="18" customHeight="1" s="96">
      <c r="A55" s="2" t="n">
        <v>53</v>
      </c>
      <c r="B55" s="3" t="n"/>
      <c r="C55" s="3" t="n"/>
      <c r="D55" s="3" t="n"/>
      <c r="E55" s="3" t="n"/>
      <c r="F55" s="4" t="n"/>
      <c r="G55" s="5" t="n"/>
      <c r="H55" s="5" t="n"/>
      <c r="I55" s="6" t="n"/>
      <c r="J55" s="3" t="n"/>
      <c r="K55" s="13" t="n"/>
    </row>
    <row r="56" ht="18" customHeight="1" s="96">
      <c r="A56" s="93" t="n">
        <v>54</v>
      </c>
      <c r="B56" s="8" t="n"/>
      <c r="C56" s="8" t="n"/>
      <c r="D56" s="8" t="n"/>
      <c r="E56" s="8" t="n"/>
      <c r="F56" s="9" t="n"/>
      <c r="G56" s="10" t="n"/>
      <c r="H56" s="10" t="n"/>
      <c r="I56" s="11" t="n"/>
      <c r="J56" s="8" t="n"/>
      <c r="K56" s="12" t="n"/>
    </row>
    <row r="57" ht="18" customHeight="1" s="96">
      <c r="A57" s="2" t="n">
        <v>55</v>
      </c>
      <c r="B57" s="3" t="n"/>
      <c r="C57" s="3" t="n"/>
      <c r="D57" s="3" t="n"/>
      <c r="E57" s="3" t="n"/>
      <c r="F57" s="4" t="n"/>
      <c r="G57" s="5" t="n"/>
      <c r="H57" s="5" t="n"/>
      <c r="I57" s="6" t="n"/>
      <c r="J57" s="3" t="n"/>
      <c r="K57" s="13" t="n"/>
    </row>
    <row r="58" ht="18" customHeight="1" s="96">
      <c r="A58" s="93" t="n">
        <v>56</v>
      </c>
      <c r="B58" s="8" t="n"/>
      <c r="C58" s="8" t="n"/>
      <c r="D58" s="8" t="n"/>
      <c r="E58" s="8" t="n"/>
      <c r="F58" s="9" t="n"/>
      <c r="G58" s="10" t="n"/>
      <c r="H58" s="10" t="n"/>
      <c r="I58" s="11" t="n"/>
      <c r="J58" s="8" t="n"/>
      <c r="K58" s="12" t="n"/>
    </row>
    <row r="59" ht="18" customHeight="1" s="96">
      <c r="A59" s="2" t="n">
        <v>57</v>
      </c>
      <c r="B59" s="3" t="n"/>
      <c r="C59" s="3" t="n"/>
      <c r="D59" s="3" t="n"/>
      <c r="E59" s="3" t="n"/>
      <c r="F59" s="4" t="n"/>
      <c r="G59" s="5" t="n"/>
      <c r="H59" s="5" t="n"/>
      <c r="I59" s="6" t="n"/>
      <c r="J59" s="3" t="n"/>
      <c r="K59" s="13" t="n"/>
    </row>
    <row r="60" ht="18" customHeight="1" s="96">
      <c r="A60" s="93" t="n">
        <v>58</v>
      </c>
      <c r="B60" s="8" t="n"/>
      <c r="C60" s="8" t="n"/>
      <c r="D60" s="8" t="n"/>
      <c r="E60" s="8" t="n"/>
      <c r="F60" s="9" t="n"/>
      <c r="G60" s="10" t="n"/>
      <c r="H60" s="10" t="n"/>
      <c r="I60" s="11" t="n"/>
      <c r="J60" s="8" t="n"/>
      <c r="K60" s="12" t="n"/>
    </row>
    <row r="61" ht="18" customHeight="1" s="96">
      <c r="A61" s="2" t="n">
        <v>59</v>
      </c>
      <c r="B61" s="3" t="n"/>
      <c r="C61" s="3" t="n"/>
      <c r="D61" s="3" t="n"/>
      <c r="E61" s="3" t="n"/>
      <c r="F61" s="4" t="n"/>
      <c r="G61" s="5" t="n"/>
      <c r="H61" s="5" t="n"/>
      <c r="I61" s="6" t="n"/>
      <c r="J61" s="3" t="n"/>
      <c r="K61" s="13" t="n"/>
    </row>
    <row r="62" ht="18" customHeight="1" s="96">
      <c r="A62" s="93" t="n">
        <v>60</v>
      </c>
      <c r="B62" s="8" t="n"/>
      <c r="C62" s="8" t="n"/>
      <c r="D62" s="8" t="n"/>
      <c r="E62" s="8" t="n"/>
      <c r="F62" s="9" t="n"/>
      <c r="G62" s="10" t="n"/>
      <c r="H62" s="10" t="n"/>
      <c r="I62" s="11" t="n"/>
      <c r="J62" s="8" t="n"/>
      <c r="K62" s="12" t="n"/>
    </row>
    <row r="63" ht="18" customHeight="1" s="96">
      <c r="A63" s="2" t="n">
        <v>61</v>
      </c>
      <c r="B63" s="3" t="n"/>
      <c r="C63" s="3" t="n"/>
      <c r="D63" s="3" t="n"/>
      <c r="E63" s="3" t="n"/>
      <c r="F63" s="4" t="n"/>
      <c r="G63" s="5" t="n"/>
      <c r="H63" s="5" t="n"/>
      <c r="I63" s="6" t="n"/>
      <c r="J63" s="3" t="n"/>
      <c r="K63" s="13" t="n"/>
    </row>
    <row r="64" ht="18" customHeight="1" s="96">
      <c r="A64" s="93" t="n">
        <v>62</v>
      </c>
      <c r="B64" s="8" t="n"/>
      <c r="C64" s="8" t="n"/>
      <c r="D64" s="8" t="n"/>
      <c r="E64" s="8" t="n"/>
      <c r="F64" s="9" t="n"/>
      <c r="G64" s="10" t="n"/>
      <c r="H64" s="10" t="n"/>
      <c r="I64" s="11" t="n"/>
      <c r="J64" s="8" t="n"/>
      <c r="K64" s="12" t="n"/>
    </row>
    <row r="65" ht="18" customHeight="1" s="96">
      <c r="A65" s="2" t="n">
        <v>63</v>
      </c>
      <c r="B65" s="3" t="n"/>
      <c r="C65" s="3" t="n"/>
      <c r="D65" s="3" t="n"/>
      <c r="E65" s="3" t="n"/>
      <c r="F65" s="4" t="n"/>
      <c r="G65" s="5" t="n"/>
      <c r="H65" s="5" t="n"/>
      <c r="I65" s="6" t="n"/>
      <c r="J65" s="3" t="n"/>
      <c r="K65" s="13" t="n"/>
    </row>
    <row r="66" ht="18" customHeight="1" s="96">
      <c r="A66" s="93" t="n">
        <v>64</v>
      </c>
      <c r="B66" s="8" t="n"/>
      <c r="C66" s="8" t="n"/>
      <c r="D66" s="8" t="n"/>
      <c r="E66" s="8" t="n"/>
      <c r="F66" s="9" t="n"/>
      <c r="G66" s="10" t="n"/>
      <c r="H66" s="10" t="n"/>
      <c r="I66" s="11" t="n"/>
      <c r="J66" s="8" t="n"/>
      <c r="K66" s="12" t="n"/>
    </row>
    <row r="67" ht="18" customHeight="1" s="96">
      <c r="A67" s="2" t="n">
        <v>65</v>
      </c>
      <c r="B67" s="3" t="n"/>
      <c r="C67" s="3" t="n"/>
      <c r="D67" s="3" t="n"/>
      <c r="E67" s="3" t="n"/>
      <c r="F67" s="4" t="n"/>
      <c r="G67" s="5" t="n"/>
      <c r="H67" s="5" t="n"/>
      <c r="I67" s="6" t="n"/>
      <c r="J67" s="3" t="n"/>
      <c r="K67" s="13" t="n"/>
    </row>
    <row r="68" ht="18" customHeight="1" s="96">
      <c r="A68" s="93" t="n">
        <v>66</v>
      </c>
      <c r="B68" s="8" t="n"/>
      <c r="C68" s="8" t="n"/>
      <c r="D68" s="8" t="n"/>
      <c r="E68" s="8" t="n"/>
      <c r="F68" s="9" t="n"/>
      <c r="G68" s="10" t="n"/>
      <c r="H68" s="10" t="n"/>
      <c r="I68" s="11" t="n"/>
      <c r="J68" s="8" t="n"/>
      <c r="K68" s="12" t="n"/>
    </row>
    <row r="69" ht="18" customHeight="1" s="96">
      <c r="A69" s="2" t="n">
        <v>67</v>
      </c>
      <c r="B69" s="3" t="n"/>
      <c r="C69" s="3" t="n"/>
      <c r="D69" s="3" t="n"/>
      <c r="E69" s="3" t="n"/>
      <c r="F69" s="4" t="n"/>
      <c r="G69" s="5" t="n"/>
      <c r="H69" s="5" t="n"/>
      <c r="I69" s="6" t="n"/>
      <c r="J69" s="3" t="n"/>
      <c r="K69" s="13" t="n"/>
    </row>
    <row r="70" ht="18" customHeight="1" s="96">
      <c r="A70" s="93" t="n">
        <v>68</v>
      </c>
      <c r="B70" s="8" t="n"/>
      <c r="C70" s="8" t="n"/>
      <c r="D70" s="8" t="n"/>
      <c r="E70" s="8" t="n"/>
      <c r="F70" s="9" t="n"/>
      <c r="G70" s="10" t="n"/>
      <c r="H70" s="10" t="n"/>
      <c r="I70" s="11" t="n"/>
      <c r="J70" s="8" t="n"/>
      <c r="K70" s="12" t="n"/>
    </row>
    <row r="71" ht="18" customHeight="1" s="96">
      <c r="A71" s="2" t="n">
        <v>69</v>
      </c>
      <c r="B71" s="3" t="n"/>
      <c r="C71" s="3" t="n"/>
      <c r="D71" s="3" t="n"/>
      <c r="E71" s="3" t="n"/>
      <c r="F71" s="4" t="n"/>
      <c r="G71" s="5" t="n"/>
      <c r="H71" s="5" t="n"/>
      <c r="I71" s="6" t="n"/>
      <c r="J71" s="3" t="n"/>
      <c r="K71" s="13" t="n"/>
    </row>
    <row r="72" ht="18" customHeight="1" s="96">
      <c r="A72" s="93" t="n">
        <v>70</v>
      </c>
      <c r="B72" s="8" t="n"/>
      <c r="C72" s="8" t="n"/>
      <c r="D72" s="8" t="n"/>
      <c r="E72" s="8" t="n"/>
      <c r="F72" s="9" t="n"/>
      <c r="G72" s="10" t="n"/>
      <c r="H72" s="10" t="n"/>
      <c r="I72" s="11" t="n"/>
      <c r="J72" s="8" t="n"/>
      <c r="K72" s="12" t="n"/>
    </row>
    <row r="73" ht="18" customHeight="1" s="96">
      <c r="A73" s="2" t="n">
        <v>71</v>
      </c>
      <c r="B73" s="3" t="n"/>
      <c r="C73" s="3" t="n"/>
      <c r="D73" s="3" t="n"/>
      <c r="E73" s="3" t="n"/>
      <c r="F73" s="4" t="n"/>
      <c r="G73" s="5" t="n"/>
      <c r="H73" s="5" t="n"/>
      <c r="I73" s="6" t="n"/>
      <c r="J73" s="3" t="n"/>
      <c r="K73" s="13" t="n"/>
    </row>
    <row r="74" ht="18" customHeight="1" s="96">
      <c r="A74" s="93" t="n">
        <v>72</v>
      </c>
      <c r="B74" s="8" t="n"/>
      <c r="C74" s="8" t="n"/>
      <c r="D74" s="8" t="n"/>
      <c r="E74" s="8" t="n"/>
      <c r="F74" s="9" t="n"/>
      <c r="G74" s="10" t="n"/>
      <c r="H74" s="10" t="n"/>
      <c r="I74" s="11" t="n"/>
      <c r="J74" s="8" t="n"/>
      <c r="K74" s="12" t="n"/>
    </row>
    <row r="75" ht="18" customHeight="1" s="96">
      <c r="A75" s="2" t="n">
        <v>73</v>
      </c>
      <c r="B75" s="3" t="n"/>
      <c r="C75" s="3" t="n"/>
      <c r="D75" s="3" t="n"/>
      <c r="E75" s="3" t="n"/>
      <c r="F75" s="4" t="n"/>
      <c r="G75" s="5" t="n"/>
      <c r="H75" s="5" t="n"/>
      <c r="I75" s="6" t="n"/>
      <c r="J75" s="3" t="n"/>
      <c r="K75" s="13" t="n"/>
    </row>
    <row r="76" ht="18" customHeight="1" s="96">
      <c r="A76" s="93" t="n">
        <v>74</v>
      </c>
      <c r="B76" s="8" t="n"/>
      <c r="C76" s="8" t="n"/>
      <c r="D76" s="8" t="n"/>
      <c r="E76" s="8" t="n"/>
      <c r="F76" s="9" t="n"/>
      <c r="G76" s="10" t="n"/>
      <c r="H76" s="10" t="n"/>
      <c r="I76" s="11" t="n"/>
      <c r="J76" s="8" t="n"/>
      <c r="K76" s="12" t="n"/>
    </row>
    <row r="77" ht="18" customHeight="1" s="96">
      <c r="A77" s="2" t="n">
        <v>75</v>
      </c>
      <c r="B77" s="3" t="n"/>
      <c r="C77" s="3" t="n"/>
      <c r="D77" s="3" t="n"/>
      <c r="E77" s="3" t="n"/>
      <c r="F77" s="4" t="n"/>
      <c r="G77" s="5" t="n"/>
      <c r="H77" s="5" t="n"/>
      <c r="I77" s="6" t="n"/>
      <c r="J77" s="3" t="n"/>
      <c r="K77" s="13" t="n"/>
    </row>
    <row r="78" ht="18" customHeight="1" s="96">
      <c r="A78" s="93" t="n">
        <v>76</v>
      </c>
      <c r="B78" s="8" t="n"/>
      <c r="C78" s="8" t="n"/>
      <c r="D78" s="8" t="n"/>
      <c r="E78" s="8" t="n"/>
      <c r="F78" s="9" t="n"/>
      <c r="G78" s="10" t="n"/>
      <c r="H78" s="10" t="n"/>
      <c r="I78" s="11" t="n"/>
      <c r="J78" s="8" t="n"/>
      <c r="K78" s="12" t="n"/>
    </row>
    <row r="79" ht="18" customHeight="1" s="96">
      <c r="A79" s="2" t="n">
        <v>77</v>
      </c>
      <c r="B79" s="3" t="n"/>
      <c r="C79" s="3" t="n"/>
      <c r="D79" s="3" t="n"/>
      <c r="E79" s="3" t="n"/>
      <c r="F79" s="4" t="n"/>
      <c r="G79" s="5" t="n"/>
      <c r="H79" s="5" t="n"/>
      <c r="I79" s="6" t="n"/>
      <c r="J79" s="3" t="n"/>
      <c r="K79" s="13" t="n"/>
    </row>
    <row r="80" ht="18" customHeight="1" s="96">
      <c r="A80" s="93" t="n">
        <v>78</v>
      </c>
      <c r="B80" s="8" t="n"/>
      <c r="C80" s="8" t="n"/>
      <c r="D80" s="8" t="n"/>
      <c r="E80" s="8" t="n"/>
      <c r="F80" s="9" t="n"/>
      <c r="G80" s="10" t="n"/>
      <c r="H80" s="10" t="n"/>
      <c r="I80" s="11" t="n"/>
      <c r="J80" s="8" t="n"/>
      <c r="K80" s="12" t="n"/>
    </row>
    <row r="81" ht="18" customHeight="1" s="96">
      <c r="A81" s="2" t="n">
        <v>79</v>
      </c>
      <c r="B81" s="3" t="n"/>
      <c r="C81" s="3" t="n"/>
      <c r="D81" s="3" t="n"/>
      <c r="E81" s="3" t="n"/>
      <c r="F81" s="4" t="n"/>
      <c r="G81" s="5" t="n"/>
      <c r="H81" s="5" t="n"/>
      <c r="I81" s="6" t="n"/>
      <c r="J81" s="3" t="n"/>
      <c r="K81" s="13" t="n"/>
    </row>
    <row r="82" ht="18" customHeight="1" s="96">
      <c r="A82" s="93" t="n">
        <v>80</v>
      </c>
      <c r="B82" s="8" t="n"/>
      <c r="C82" s="8" t="n"/>
      <c r="D82" s="8" t="n"/>
      <c r="E82" s="8" t="n"/>
      <c r="F82" s="9" t="n"/>
      <c r="G82" s="10" t="n"/>
      <c r="H82" s="10" t="n"/>
      <c r="I82" s="11" t="n"/>
      <c r="J82" s="8" t="n"/>
      <c r="K82" s="12" t="n"/>
    </row>
    <row r="83" ht="18" customHeight="1" s="96">
      <c r="A83" s="2" t="n">
        <v>81</v>
      </c>
      <c r="B83" s="3" t="n"/>
      <c r="C83" s="3" t="n"/>
      <c r="D83" s="3" t="n"/>
      <c r="E83" s="3" t="n"/>
      <c r="F83" s="4" t="n"/>
      <c r="G83" s="5" t="n"/>
      <c r="H83" s="5" t="n"/>
      <c r="I83" s="6" t="n"/>
      <c r="J83" s="3" t="n"/>
      <c r="K83" s="13" t="n"/>
    </row>
    <row r="84" ht="18" customHeight="1" s="96">
      <c r="A84" s="93" t="n">
        <v>82</v>
      </c>
      <c r="B84" s="8" t="n"/>
      <c r="C84" s="8" t="n"/>
      <c r="D84" s="8" t="n"/>
      <c r="E84" s="8" t="n"/>
      <c r="F84" s="9" t="n"/>
      <c r="G84" s="10" t="n"/>
      <c r="H84" s="10" t="n"/>
      <c r="I84" s="11" t="n"/>
      <c r="J84" s="8" t="n"/>
      <c r="K84" s="12" t="n"/>
    </row>
    <row r="85" ht="18" customHeight="1" s="96">
      <c r="A85" s="2" t="n">
        <v>83</v>
      </c>
      <c r="B85" s="3" t="n"/>
      <c r="C85" s="3" t="n"/>
      <c r="D85" s="3" t="n"/>
      <c r="E85" s="3" t="n"/>
      <c r="F85" s="4" t="n"/>
      <c r="G85" s="5" t="n"/>
      <c r="H85" s="5" t="n"/>
      <c r="I85" s="6" t="n"/>
      <c r="J85" s="3" t="n"/>
      <c r="K85" s="13" t="n"/>
    </row>
    <row r="86" ht="18" customHeight="1" s="96">
      <c r="A86" s="93" t="n">
        <v>84</v>
      </c>
      <c r="B86" s="8" t="n"/>
      <c r="C86" s="8" t="n"/>
      <c r="D86" s="8" t="n"/>
      <c r="E86" s="8" t="n"/>
      <c r="F86" s="9" t="n"/>
      <c r="G86" s="10" t="n"/>
      <c r="H86" s="10" t="n"/>
      <c r="I86" s="11" t="n"/>
      <c r="J86" s="8" t="n"/>
      <c r="K86" s="12" t="n"/>
    </row>
    <row r="87" ht="18" customHeight="1" s="96">
      <c r="A87" s="2" t="n">
        <v>85</v>
      </c>
      <c r="B87" s="3" t="n"/>
      <c r="C87" s="3" t="n"/>
      <c r="D87" s="3" t="n"/>
      <c r="E87" s="3" t="n"/>
      <c r="F87" s="4" t="n"/>
      <c r="G87" s="5" t="n"/>
      <c r="H87" s="5" t="n"/>
      <c r="I87" s="6" t="n"/>
      <c r="J87" s="3" t="n"/>
      <c r="K87" s="13" t="n"/>
    </row>
    <row r="88" ht="18" customHeight="1" s="96">
      <c r="A88" s="93" t="n">
        <v>86</v>
      </c>
      <c r="B88" s="8" t="n"/>
      <c r="C88" s="8" t="n"/>
      <c r="D88" s="8" t="n"/>
      <c r="E88" s="8" t="n"/>
      <c r="F88" s="9" t="n"/>
      <c r="G88" s="10" t="n"/>
      <c r="H88" s="10" t="n"/>
      <c r="I88" s="11" t="n"/>
      <c r="J88" s="8" t="n"/>
      <c r="K88" s="12" t="n"/>
    </row>
    <row r="89" ht="18" customHeight="1" s="96">
      <c r="A89" s="2" t="n">
        <v>87</v>
      </c>
      <c r="B89" s="3" t="n"/>
      <c r="C89" s="3" t="n"/>
      <c r="D89" s="3" t="n"/>
      <c r="E89" s="3" t="n"/>
      <c r="F89" s="4" t="n"/>
      <c r="G89" s="5" t="n"/>
      <c r="H89" s="5" t="n"/>
      <c r="I89" s="6" t="n"/>
      <c r="J89" s="3" t="n"/>
      <c r="K89" s="13" t="n"/>
    </row>
    <row r="90" ht="18" customHeight="1" s="96">
      <c r="A90" s="93" t="n">
        <v>88</v>
      </c>
      <c r="B90" s="8" t="n"/>
      <c r="C90" s="8" t="n"/>
      <c r="D90" s="8" t="n"/>
      <c r="E90" s="8" t="n"/>
      <c r="F90" s="9" t="n"/>
      <c r="G90" s="10" t="n"/>
      <c r="H90" s="10" t="n"/>
      <c r="I90" s="11" t="n"/>
      <c r="J90" s="8" t="n"/>
      <c r="K90" s="12" t="n"/>
    </row>
    <row r="91" ht="18" customHeight="1" s="96">
      <c r="A91" s="2" t="n">
        <v>89</v>
      </c>
      <c r="B91" s="3" t="n"/>
      <c r="C91" s="3" t="n"/>
      <c r="D91" s="3" t="n"/>
      <c r="E91" s="3" t="n"/>
      <c r="F91" s="4" t="n"/>
      <c r="G91" s="5" t="n"/>
      <c r="H91" s="5" t="n"/>
      <c r="I91" s="6" t="n"/>
      <c r="J91" s="3" t="n"/>
      <c r="K91" s="13" t="n"/>
    </row>
    <row r="92" ht="18" customHeight="1" s="96">
      <c r="A92" s="93" t="n">
        <v>90</v>
      </c>
      <c r="B92" s="8" t="n"/>
      <c r="C92" s="8" t="n"/>
      <c r="D92" s="8" t="n"/>
      <c r="E92" s="8" t="n"/>
      <c r="F92" s="9" t="n"/>
      <c r="G92" s="10" t="n"/>
      <c r="H92" s="10" t="n"/>
      <c r="I92" s="11" t="n"/>
      <c r="J92" s="8" t="n"/>
      <c r="K92" s="12" t="n"/>
    </row>
    <row r="93" ht="18" customHeight="1" s="96">
      <c r="A93" s="2" t="n">
        <v>91</v>
      </c>
      <c r="B93" s="3" t="n"/>
      <c r="C93" s="3" t="n"/>
      <c r="D93" s="3" t="n"/>
      <c r="E93" s="3" t="n"/>
      <c r="F93" s="4" t="n"/>
      <c r="G93" s="5" t="n"/>
      <c r="H93" s="5" t="n"/>
      <c r="I93" s="6" t="n"/>
      <c r="J93" s="3" t="n"/>
      <c r="K93" s="13" t="n"/>
    </row>
    <row r="94" ht="18" customHeight="1" s="96">
      <c r="A94" s="93" t="n">
        <v>92</v>
      </c>
      <c r="B94" s="8" t="n"/>
      <c r="C94" s="8" t="n"/>
      <c r="D94" s="8" t="n"/>
      <c r="E94" s="8" t="n"/>
      <c r="F94" s="9" t="n"/>
      <c r="G94" s="10" t="n"/>
      <c r="H94" s="10" t="n"/>
      <c r="I94" s="11" t="n"/>
      <c r="J94" s="8" t="n"/>
      <c r="K94" s="12" t="n"/>
    </row>
    <row r="95" ht="18" customHeight="1" s="96">
      <c r="A95" s="2" t="n">
        <v>93</v>
      </c>
      <c r="B95" s="3" t="n"/>
      <c r="C95" s="3" t="n"/>
      <c r="D95" s="3" t="n"/>
      <c r="E95" s="3" t="n"/>
      <c r="F95" s="4" t="n"/>
      <c r="G95" s="5" t="n"/>
      <c r="H95" s="5" t="n"/>
      <c r="I95" s="6" t="n"/>
      <c r="J95" s="3" t="n"/>
      <c r="K95" s="13" t="n"/>
    </row>
    <row r="96" ht="18" customHeight="1" s="96">
      <c r="A96" s="93" t="n">
        <v>94</v>
      </c>
      <c r="B96" s="8" t="n"/>
      <c r="C96" s="8" t="n"/>
      <c r="D96" s="8" t="n"/>
      <c r="E96" s="8" t="n"/>
      <c r="F96" s="9" t="n"/>
      <c r="G96" s="10" t="n"/>
      <c r="H96" s="10" t="n"/>
      <c r="I96" s="11" t="n"/>
      <c r="J96" s="8" t="n"/>
      <c r="K96" s="12" t="n"/>
    </row>
    <row r="97" ht="18" customHeight="1" s="96">
      <c r="A97" s="2" t="n">
        <v>95</v>
      </c>
      <c r="B97" s="3" t="n"/>
      <c r="C97" s="3" t="n"/>
      <c r="D97" s="3" t="n"/>
      <c r="E97" s="3" t="n"/>
      <c r="F97" s="4" t="n"/>
      <c r="G97" s="5" t="n"/>
      <c r="H97" s="5" t="n"/>
      <c r="I97" s="6" t="n"/>
      <c r="J97" s="3" t="n"/>
      <c r="K97" s="13" t="n"/>
    </row>
    <row r="98" ht="18" customHeight="1" s="96">
      <c r="A98" s="93" t="n">
        <v>96</v>
      </c>
      <c r="B98" s="8" t="n"/>
      <c r="C98" s="8" t="n"/>
      <c r="D98" s="8" t="n"/>
      <c r="E98" s="8" t="n"/>
      <c r="F98" s="9" t="n"/>
      <c r="G98" s="10" t="n"/>
      <c r="H98" s="10" t="n"/>
      <c r="I98" s="11" t="n"/>
      <c r="J98" s="8" t="n"/>
      <c r="K98" s="12" t="n"/>
    </row>
    <row r="99" ht="18" customHeight="1" s="96">
      <c r="A99" s="2" t="n">
        <v>97</v>
      </c>
      <c r="B99" s="3" t="n"/>
      <c r="C99" s="3" t="n"/>
      <c r="D99" s="3" t="n"/>
      <c r="E99" s="3" t="n"/>
      <c r="F99" s="4" t="n"/>
      <c r="G99" s="5" t="n"/>
      <c r="H99" s="5" t="n"/>
      <c r="I99" s="6" t="n"/>
      <c r="J99" s="3" t="n"/>
      <c r="K99" s="13" t="n"/>
    </row>
    <row r="100" ht="18" customHeight="1" s="96">
      <c r="A100" s="93" t="n">
        <v>98</v>
      </c>
      <c r="B100" s="8" t="n"/>
      <c r="C100" s="8" t="n"/>
      <c r="D100" s="8" t="n"/>
      <c r="E100" s="8" t="n"/>
      <c r="F100" s="9" t="n"/>
      <c r="G100" s="10" t="n"/>
      <c r="H100" s="10" t="n"/>
      <c r="I100" s="11" t="n"/>
      <c r="J100" s="8" t="n"/>
      <c r="K100" s="12" t="n"/>
    </row>
    <row r="101" ht="18" customHeight="1" s="96">
      <c r="A101" s="2" t="n">
        <v>99</v>
      </c>
      <c r="B101" s="3" t="n"/>
      <c r="C101" s="3" t="n"/>
      <c r="D101" s="3" t="n"/>
      <c r="E101" s="3" t="n"/>
      <c r="F101" s="4" t="n"/>
      <c r="G101" s="5" t="n"/>
      <c r="H101" s="5" t="n"/>
      <c r="I101" s="6" t="n"/>
      <c r="J101" s="3" t="n"/>
      <c r="K101" s="13" t="n"/>
    </row>
    <row r="102" ht="18" customHeight="1" s="96">
      <c r="A102" s="93" t="n">
        <v>100</v>
      </c>
      <c r="B102" s="8" t="n"/>
      <c r="C102" s="8" t="n"/>
      <c r="D102" s="8" t="n"/>
      <c r="E102" s="8" t="n"/>
      <c r="F102" s="9" t="n"/>
      <c r="G102" s="10" t="n"/>
      <c r="H102" s="10" t="n"/>
      <c r="I102" s="11" t="n"/>
      <c r="J102" s="8" t="n"/>
      <c r="K102" s="12" t="n"/>
    </row>
    <row r="103" ht="18" customHeight="1" s="96">
      <c r="A103" s="2" t="n">
        <v>101</v>
      </c>
      <c r="B103" s="3" t="n"/>
      <c r="C103" s="3" t="n"/>
      <c r="D103" s="3" t="n"/>
      <c r="E103" s="3" t="n"/>
      <c r="F103" s="4" t="n"/>
      <c r="G103" s="5" t="n"/>
      <c r="H103" s="5" t="n"/>
      <c r="I103" s="6" t="n"/>
      <c r="J103" s="3" t="n"/>
      <c r="K103" s="13" t="n"/>
    </row>
    <row r="104" ht="18" customHeight="1" s="96">
      <c r="A104" s="93" t="n">
        <v>102</v>
      </c>
      <c r="B104" s="8" t="n"/>
      <c r="C104" s="8" t="n"/>
      <c r="D104" s="8" t="n"/>
      <c r="E104" s="8" t="n"/>
      <c r="F104" s="9" t="n"/>
      <c r="G104" s="10" t="n"/>
      <c r="H104" s="10" t="n"/>
      <c r="I104" s="11" t="n"/>
      <c r="J104" s="8" t="n"/>
      <c r="K104" s="12" t="n"/>
    </row>
    <row r="105" ht="18" customHeight="1" s="96">
      <c r="A105" s="2" t="n">
        <v>103</v>
      </c>
      <c r="B105" s="3" t="n"/>
      <c r="C105" s="3" t="n"/>
      <c r="D105" s="3" t="n"/>
      <c r="E105" s="3" t="n"/>
      <c r="F105" s="4" t="n"/>
      <c r="G105" s="5" t="n"/>
      <c r="H105" s="5" t="n"/>
      <c r="I105" s="6" t="n"/>
      <c r="J105" s="3" t="n"/>
      <c r="K105" s="13" t="n"/>
    </row>
    <row r="106" ht="18" customHeight="1" s="96">
      <c r="A106" s="93" t="n">
        <v>104</v>
      </c>
      <c r="B106" s="8" t="n"/>
      <c r="C106" s="8" t="n"/>
      <c r="D106" s="8" t="n"/>
      <c r="E106" s="8" t="n"/>
      <c r="F106" s="9" t="n"/>
      <c r="G106" s="10" t="n"/>
      <c r="H106" s="10" t="n"/>
      <c r="I106" s="11" t="n"/>
      <c r="J106" s="8" t="n"/>
      <c r="K106" s="12" t="n"/>
    </row>
    <row r="107" ht="18" customHeight="1" s="96">
      <c r="A107" s="2" t="n">
        <v>105</v>
      </c>
      <c r="B107" s="3" t="n"/>
      <c r="C107" s="3" t="n"/>
      <c r="D107" s="3" t="n"/>
      <c r="E107" s="3" t="n"/>
      <c r="F107" s="4" t="n"/>
      <c r="G107" s="5" t="n"/>
      <c r="H107" s="5" t="n"/>
      <c r="I107" s="6" t="n"/>
      <c r="J107" s="3" t="n"/>
      <c r="K107" s="13" t="n"/>
    </row>
    <row r="108" ht="18" customHeight="1" s="96">
      <c r="A108" s="93" t="n">
        <v>106</v>
      </c>
      <c r="B108" s="8" t="n"/>
      <c r="C108" s="8" t="n"/>
      <c r="D108" s="8" t="n"/>
      <c r="E108" s="8" t="n"/>
      <c r="F108" s="9" t="n"/>
      <c r="G108" s="10" t="n"/>
      <c r="H108" s="10" t="n"/>
      <c r="I108" s="11" t="n"/>
      <c r="J108" s="8" t="n"/>
      <c r="K108" s="12" t="n"/>
    </row>
    <row r="109" ht="18" customHeight="1" s="96">
      <c r="A109" s="2" t="n">
        <v>107</v>
      </c>
      <c r="B109" s="3" t="n"/>
      <c r="C109" s="3" t="n"/>
      <c r="D109" s="3" t="n"/>
      <c r="E109" s="3" t="n"/>
      <c r="F109" s="4" t="n"/>
      <c r="G109" s="5" t="n"/>
      <c r="H109" s="5" t="n"/>
      <c r="I109" s="6" t="n"/>
      <c r="J109" s="3" t="n"/>
      <c r="K109" s="13" t="n"/>
    </row>
    <row r="110" ht="18" customHeight="1" s="96">
      <c r="A110" s="93" t="n">
        <v>108</v>
      </c>
      <c r="B110" s="8" t="n"/>
      <c r="C110" s="8" t="n"/>
      <c r="D110" s="8" t="n"/>
      <c r="E110" s="8" t="n"/>
      <c r="F110" s="9" t="n"/>
      <c r="G110" s="10" t="n"/>
      <c r="H110" s="10" t="n"/>
      <c r="I110" s="11" t="n"/>
      <c r="J110" s="8" t="n"/>
      <c r="K110" s="12" t="n"/>
    </row>
    <row r="111" ht="18" customHeight="1" s="96">
      <c r="A111" s="2" t="n">
        <v>109</v>
      </c>
      <c r="B111" s="3" t="n"/>
      <c r="C111" s="3" t="n"/>
      <c r="D111" s="3" t="n"/>
      <c r="E111" s="3" t="n"/>
      <c r="F111" s="4" t="n"/>
      <c r="G111" s="5" t="n"/>
      <c r="H111" s="5" t="n"/>
      <c r="I111" s="6" t="n"/>
      <c r="J111" s="3" t="n"/>
      <c r="K111" s="13" t="n"/>
    </row>
    <row r="112" ht="18" customHeight="1" s="96">
      <c r="A112" s="93" t="n">
        <v>110</v>
      </c>
      <c r="B112" s="8" t="n"/>
      <c r="C112" s="8" t="n"/>
      <c r="D112" s="8" t="n"/>
      <c r="E112" s="8" t="n"/>
      <c r="F112" s="9" t="n"/>
      <c r="G112" s="10" t="n"/>
      <c r="H112" s="10" t="n"/>
      <c r="I112" s="11" t="n"/>
      <c r="J112" s="8" t="n"/>
      <c r="K112" s="12" t="n"/>
    </row>
    <row r="113" ht="18" customHeight="1" s="96">
      <c r="A113" s="2" t="n">
        <v>111</v>
      </c>
      <c r="B113" s="3" t="n"/>
      <c r="C113" s="3" t="n"/>
      <c r="D113" s="3" t="n"/>
      <c r="E113" s="3" t="n"/>
      <c r="F113" s="4" t="n"/>
      <c r="G113" s="5" t="n"/>
      <c r="H113" s="5" t="n"/>
      <c r="I113" s="6" t="n"/>
      <c r="J113" s="3" t="n"/>
      <c r="K113" s="13" t="n"/>
    </row>
    <row r="114" ht="18" customHeight="1" s="96">
      <c r="A114" s="93" t="n">
        <v>112</v>
      </c>
      <c r="B114" s="8" t="n"/>
      <c r="C114" s="8" t="n"/>
      <c r="D114" s="8" t="n"/>
      <c r="E114" s="8" t="n"/>
      <c r="F114" s="9" t="n"/>
      <c r="G114" s="10" t="n"/>
      <c r="H114" s="10" t="n"/>
      <c r="I114" s="11" t="n"/>
      <c r="J114" s="8" t="n"/>
      <c r="K114" s="12" t="n"/>
    </row>
    <row r="115" ht="18" customHeight="1" s="96">
      <c r="A115" s="2" t="n">
        <v>113</v>
      </c>
      <c r="B115" s="3" t="n"/>
      <c r="C115" s="3" t="n"/>
      <c r="D115" s="3" t="n"/>
      <c r="E115" s="3" t="n"/>
      <c r="F115" s="4" t="n"/>
      <c r="G115" s="5" t="n"/>
      <c r="H115" s="5" t="n"/>
      <c r="I115" s="6" t="n"/>
      <c r="J115" s="3" t="n"/>
      <c r="K115" s="13" t="n"/>
    </row>
    <row r="116" ht="18" customHeight="1" s="96">
      <c r="A116" s="93" t="n">
        <v>114</v>
      </c>
      <c r="B116" s="8" t="n"/>
      <c r="C116" s="8" t="n"/>
      <c r="D116" s="8" t="n"/>
      <c r="E116" s="8" t="n"/>
      <c r="F116" s="9" t="n"/>
      <c r="G116" s="10" t="n"/>
      <c r="H116" s="10" t="n"/>
      <c r="I116" s="11" t="n"/>
      <c r="J116" s="8" t="n"/>
      <c r="K116" s="12" t="n"/>
    </row>
    <row r="117" ht="18" customHeight="1" s="96">
      <c r="A117" s="2" t="n">
        <v>115</v>
      </c>
      <c r="B117" s="3" t="n"/>
      <c r="C117" s="3" t="n"/>
      <c r="D117" s="3" t="n"/>
      <c r="E117" s="3" t="n"/>
      <c r="F117" s="4" t="n"/>
      <c r="G117" s="5" t="n"/>
      <c r="H117" s="5" t="n"/>
      <c r="I117" s="6" t="n"/>
      <c r="J117" s="3" t="n"/>
      <c r="K117" s="13" t="n"/>
    </row>
    <row r="118" ht="18" customHeight="1" s="96">
      <c r="A118" s="93" t="n">
        <v>116</v>
      </c>
      <c r="B118" s="8" t="n"/>
      <c r="C118" s="8" t="n"/>
      <c r="D118" s="8" t="n"/>
      <c r="E118" s="8" t="n"/>
      <c r="F118" s="9" t="n"/>
      <c r="G118" s="10" t="n"/>
      <c r="H118" s="10" t="n"/>
      <c r="I118" s="11" t="n"/>
      <c r="J118" s="8" t="n"/>
      <c r="K118" s="12" t="n"/>
    </row>
    <row r="119" ht="18" customHeight="1" s="96">
      <c r="A119" s="2" t="n">
        <v>117</v>
      </c>
      <c r="B119" s="3" t="n"/>
      <c r="C119" s="3" t="n"/>
      <c r="D119" s="3" t="n"/>
      <c r="E119" s="3" t="n"/>
      <c r="F119" s="4" t="n"/>
      <c r="G119" s="5" t="n"/>
      <c r="H119" s="5" t="n"/>
      <c r="I119" s="6" t="n"/>
      <c r="J119" s="3" t="n"/>
      <c r="K119" s="13" t="n"/>
    </row>
    <row r="120" ht="18" customHeight="1" s="96">
      <c r="A120" s="93" t="n">
        <v>118</v>
      </c>
      <c r="B120" s="8" t="n"/>
      <c r="C120" s="8" t="n"/>
      <c r="D120" s="8" t="n"/>
      <c r="E120" s="8" t="n"/>
      <c r="F120" s="9" t="n"/>
      <c r="G120" s="10" t="n"/>
      <c r="H120" s="10" t="n"/>
      <c r="I120" s="11" t="n"/>
      <c r="J120" s="8" t="n"/>
      <c r="K120" s="12" t="n"/>
    </row>
    <row r="121" ht="18" customHeight="1" s="96">
      <c r="A121" s="2" t="n">
        <v>119</v>
      </c>
      <c r="B121" s="3" t="n"/>
      <c r="C121" s="3" t="n"/>
      <c r="D121" s="3" t="n"/>
      <c r="E121" s="3" t="n"/>
      <c r="F121" s="4" t="n"/>
      <c r="G121" s="5" t="n"/>
      <c r="H121" s="5" t="n"/>
      <c r="I121" s="6" t="n"/>
      <c r="J121" s="3" t="n"/>
      <c r="K121" s="13" t="n"/>
    </row>
    <row r="122" ht="18" customHeight="1" s="96">
      <c r="A122" s="93" t="n">
        <v>120</v>
      </c>
      <c r="B122" s="8" t="n"/>
      <c r="C122" s="8" t="n"/>
      <c r="D122" s="8" t="n"/>
      <c r="E122" s="8" t="n"/>
      <c r="F122" s="9" t="n"/>
      <c r="G122" s="10" t="n"/>
      <c r="H122" s="10" t="n"/>
      <c r="I122" s="11" t="n"/>
      <c r="J122" s="8" t="n"/>
      <c r="K122" s="12" t="n"/>
    </row>
    <row r="123" ht="18" customHeight="1" s="96">
      <c r="A123" s="2" t="n">
        <v>121</v>
      </c>
      <c r="B123" s="3" t="n"/>
      <c r="C123" s="3" t="n"/>
      <c r="D123" s="3" t="n"/>
      <c r="E123" s="3" t="n"/>
      <c r="F123" s="4" t="n"/>
      <c r="G123" s="5" t="n"/>
      <c r="H123" s="5" t="n"/>
      <c r="I123" s="6" t="n"/>
      <c r="J123" s="3" t="n"/>
      <c r="K123" s="13" t="n"/>
    </row>
    <row r="124" ht="18" customHeight="1" s="96">
      <c r="A124" s="93" t="n">
        <v>122</v>
      </c>
      <c r="B124" s="8" t="n"/>
      <c r="C124" s="8" t="n"/>
      <c r="D124" s="8" t="n"/>
      <c r="E124" s="8" t="n"/>
      <c r="F124" s="9" t="n"/>
      <c r="G124" s="10" t="n"/>
      <c r="H124" s="10" t="n"/>
      <c r="I124" s="11" t="n"/>
      <c r="J124" s="8" t="n"/>
      <c r="K124" s="12" t="n"/>
    </row>
    <row r="125" ht="18" customHeight="1" s="96">
      <c r="A125" s="2" t="n">
        <v>123</v>
      </c>
      <c r="B125" s="3" t="n"/>
      <c r="C125" s="3" t="n"/>
      <c r="D125" s="3" t="n"/>
      <c r="E125" s="3" t="n"/>
      <c r="F125" s="4" t="n"/>
      <c r="G125" s="5" t="n"/>
      <c r="H125" s="5" t="n"/>
      <c r="I125" s="6" t="n"/>
      <c r="J125" s="3" t="n"/>
      <c r="K125" s="13" t="n"/>
    </row>
    <row r="126" ht="18" customHeight="1" s="96">
      <c r="A126" s="93" t="n">
        <v>124</v>
      </c>
      <c r="B126" s="8" t="n"/>
      <c r="C126" s="8" t="n"/>
      <c r="D126" s="8" t="n"/>
      <c r="E126" s="8" t="n"/>
      <c r="F126" s="9" t="n"/>
      <c r="G126" s="10" t="n"/>
      <c r="H126" s="10" t="n"/>
      <c r="I126" s="11" t="n"/>
      <c r="J126" s="8" t="n"/>
      <c r="K126" s="12" t="n"/>
    </row>
    <row r="127" ht="18" customHeight="1" s="96">
      <c r="A127" s="2" t="n">
        <v>125</v>
      </c>
      <c r="B127" s="3" t="n"/>
      <c r="C127" s="3" t="n"/>
      <c r="D127" s="3" t="n"/>
      <c r="E127" s="3" t="n"/>
      <c r="F127" s="4" t="n"/>
      <c r="G127" s="5" t="n"/>
      <c r="H127" s="5" t="n"/>
      <c r="I127" s="6" t="n"/>
      <c r="J127" s="3" t="n"/>
      <c r="K127" s="13" t="n"/>
    </row>
    <row r="128" ht="18" customHeight="1" s="96">
      <c r="A128" s="93" t="n">
        <v>126</v>
      </c>
      <c r="B128" s="8" t="n"/>
      <c r="C128" s="8" t="n"/>
      <c r="D128" s="8" t="n"/>
      <c r="E128" s="8" t="n"/>
      <c r="F128" s="9" t="n"/>
      <c r="G128" s="10" t="n"/>
      <c r="H128" s="10" t="n"/>
      <c r="I128" s="11" t="n"/>
      <c r="J128" s="8" t="n"/>
      <c r="K128" s="12" t="n"/>
    </row>
    <row r="129" ht="18" customHeight="1" s="96">
      <c r="A129" s="2" t="n">
        <v>127</v>
      </c>
      <c r="B129" s="3" t="n"/>
      <c r="C129" s="3" t="n"/>
      <c r="D129" s="3" t="n"/>
      <c r="E129" s="3" t="n"/>
      <c r="F129" s="4" t="n"/>
      <c r="G129" s="5" t="n"/>
      <c r="H129" s="5" t="n"/>
      <c r="I129" s="6" t="n"/>
      <c r="J129" s="3" t="n"/>
      <c r="K129" s="13" t="n"/>
    </row>
    <row r="130" ht="18" customHeight="1" s="96">
      <c r="A130" s="93" t="n">
        <v>128</v>
      </c>
      <c r="B130" s="8" t="n"/>
      <c r="C130" s="8" t="n"/>
      <c r="D130" s="8" t="n"/>
      <c r="E130" s="8" t="n"/>
      <c r="F130" s="9" t="n"/>
      <c r="G130" s="10" t="n"/>
      <c r="H130" s="10" t="n"/>
      <c r="I130" s="11" t="n"/>
      <c r="J130" s="8" t="n"/>
      <c r="K130" s="12" t="n"/>
    </row>
    <row r="131" ht="18" customHeight="1" s="96">
      <c r="A131" s="2" t="n">
        <v>129</v>
      </c>
      <c r="B131" s="3" t="n"/>
      <c r="C131" s="3" t="n"/>
      <c r="D131" s="3" t="n"/>
      <c r="E131" s="3" t="n"/>
      <c r="F131" s="4" t="n"/>
      <c r="G131" s="5" t="n"/>
      <c r="H131" s="5" t="n"/>
      <c r="I131" s="6" t="n"/>
      <c r="J131" s="3" t="n"/>
      <c r="K131" s="13" t="n"/>
    </row>
    <row r="132" ht="18" customHeight="1" s="96">
      <c r="A132" s="93" t="n">
        <v>130</v>
      </c>
      <c r="B132" s="8" t="n"/>
      <c r="C132" s="8" t="n"/>
      <c r="D132" s="8" t="n"/>
      <c r="E132" s="8" t="n"/>
      <c r="F132" s="9" t="n"/>
      <c r="G132" s="10" t="n"/>
      <c r="H132" s="10" t="n"/>
      <c r="I132" s="11" t="n"/>
      <c r="J132" s="8" t="n"/>
      <c r="K132" s="12" t="n"/>
    </row>
    <row r="133" ht="18" customHeight="1" s="96">
      <c r="A133" s="2" t="n">
        <v>131</v>
      </c>
      <c r="B133" s="3" t="n"/>
      <c r="C133" s="3" t="n"/>
      <c r="D133" s="3" t="n"/>
      <c r="E133" s="3" t="n"/>
      <c r="F133" s="4" t="n"/>
      <c r="G133" s="5" t="n"/>
      <c r="H133" s="5" t="n"/>
      <c r="I133" s="6" t="n"/>
      <c r="J133" s="3" t="n"/>
      <c r="K133" s="13" t="n"/>
    </row>
    <row r="134" ht="18" customHeight="1" s="96">
      <c r="A134" s="93" t="n">
        <v>132</v>
      </c>
      <c r="B134" s="8" t="n"/>
      <c r="C134" s="8" t="n"/>
      <c r="D134" s="8" t="n"/>
      <c r="E134" s="8" t="n"/>
      <c r="F134" s="9" t="n"/>
      <c r="G134" s="10" t="n"/>
      <c r="H134" s="10" t="n"/>
      <c r="I134" s="11" t="n"/>
      <c r="J134" s="8" t="n"/>
      <c r="K134" s="12" t="n"/>
    </row>
    <row r="135" ht="18" customHeight="1" s="96">
      <c r="A135" s="2" t="n">
        <v>133</v>
      </c>
      <c r="B135" s="3" t="n"/>
      <c r="C135" s="3" t="n"/>
      <c r="D135" s="3" t="n"/>
      <c r="E135" s="3" t="n"/>
      <c r="F135" s="4" t="n"/>
      <c r="G135" s="5" t="n"/>
      <c r="H135" s="5" t="n"/>
      <c r="I135" s="6" t="n"/>
      <c r="J135" s="3" t="n"/>
      <c r="K135" s="13" t="n"/>
    </row>
    <row r="136" ht="18" customHeight="1" s="96">
      <c r="A136" s="93" t="n">
        <v>134</v>
      </c>
      <c r="B136" s="8" t="n"/>
      <c r="C136" s="8" t="n"/>
      <c r="D136" s="8" t="n"/>
      <c r="E136" s="8" t="n"/>
      <c r="F136" s="9" t="n"/>
      <c r="G136" s="10" t="n"/>
      <c r="H136" s="10" t="n"/>
      <c r="I136" s="11" t="n"/>
      <c r="J136" s="8" t="n"/>
      <c r="K136" s="12" t="n"/>
    </row>
    <row r="137" ht="18" customHeight="1" s="96">
      <c r="A137" s="2" t="n">
        <v>135</v>
      </c>
      <c r="B137" s="3" t="n"/>
      <c r="C137" s="3" t="n"/>
      <c r="D137" s="3" t="n"/>
      <c r="E137" s="3" t="n"/>
      <c r="F137" s="4" t="n"/>
      <c r="G137" s="5" t="n"/>
      <c r="H137" s="5" t="n"/>
      <c r="I137" s="6" t="n"/>
      <c r="J137" s="3" t="n"/>
      <c r="K137" s="13" t="n"/>
    </row>
    <row r="138" ht="18" customHeight="1" s="96">
      <c r="A138" s="93" t="n">
        <v>136</v>
      </c>
      <c r="B138" s="8" t="n"/>
      <c r="C138" s="8" t="n"/>
      <c r="D138" s="8" t="n"/>
      <c r="E138" s="8" t="n"/>
      <c r="F138" s="9" t="n"/>
      <c r="G138" s="10" t="n"/>
      <c r="H138" s="10" t="n"/>
      <c r="I138" s="11" t="n"/>
      <c r="J138" s="8" t="n"/>
      <c r="K138" s="12" t="n"/>
    </row>
    <row r="139" ht="18" customHeight="1" s="96">
      <c r="A139" s="2" t="n">
        <v>137</v>
      </c>
      <c r="B139" s="3" t="n"/>
      <c r="C139" s="3" t="n"/>
      <c r="D139" s="3" t="n"/>
      <c r="E139" s="3" t="n"/>
      <c r="F139" s="4" t="n"/>
      <c r="G139" s="5" t="n"/>
      <c r="H139" s="5" t="n"/>
      <c r="I139" s="6" t="n"/>
      <c r="J139" s="3" t="n"/>
      <c r="K139" s="13" t="n"/>
    </row>
    <row r="140" ht="18" customHeight="1" s="96">
      <c r="A140" s="93" t="n">
        <v>138</v>
      </c>
      <c r="B140" s="8" t="n"/>
      <c r="C140" s="8" t="n"/>
      <c r="D140" s="8" t="n"/>
      <c r="E140" s="8" t="n"/>
      <c r="F140" s="9" t="n"/>
      <c r="G140" s="10" t="n"/>
      <c r="H140" s="10" t="n"/>
      <c r="I140" s="11" t="n"/>
      <c r="J140" s="8" t="n"/>
      <c r="K140" s="12" t="n"/>
    </row>
    <row r="141" ht="18" customHeight="1" s="96">
      <c r="A141" s="2" t="n">
        <v>139</v>
      </c>
      <c r="B141" s="3" t="n"/>
      <c r="C141" s="3" t="n"/>
      <c r="D141" s="3" t="n"/>
      <c r="E141" s="3" t="n"/>
      <c r="F141" s="4" t="n"/>
      <c r="G141" s="5" t="n"/>
      <c r="H141" s="5" t="n"/>
      <c r="I141" s="6" t="n"/>
      <c r="J141" s="3" t="n"/>
      <c r="K141" s="13" t="n"/>
    </row>
    <row r="142" ht="18" customHeight="1" s="96">
      <c r="A142" s="93" t="n">
        <v>140</v>
      </c>
      <c r="B142" s="8" t="n"/>
      <c r="C142" s="8" t="n"/>
      <c r="D142" s="8" t="n"/>
      <c r="E142" s="8" t="n"/>
      <c r="F142" s="9" t="n"/>
      <c r="G142" s="10" t="n"/>
      <c r="H142" s="10" t="n"/>
      <c r="I142" s="11" t="n"/>
      <c r="J142" s="8" t="n"/>
      <c r="K142" s="12" t="n"/>
    </row>
    <row r="143" ht="18" customHeight="1" s="96">
      <c r="A143" s="2" t="n">
        <v>141</v>
      </c>
      <c r="B143" s="3" t="n"/>
      <c r="C143" s="3" t="n"/>
      <c r="D143" s="3" t="n"/>
      <c r="E143" s="3" t="n"/>
      <c r="F143" s="4" t="n"/>
      <c r="G143" s="5" t="n"/>
      <c r="H143" s="5" t="n"/>
      <c r="I143" s="6" t="n"/>
      <c r="J143" s="3" t="n"/>
      <c r="K143" s="13" t="n"/>
    </row>
    <row r="144" ht="18" customHeight="1" s="96">
      <c r="A144" s="93" t="n">
        <v>142</v>
      </c>
      <c r="B144" s="8" t="n"/>
      <c r="C144" s="8" t="n"/>
      <c r="D144" s="8" t="n"/>
      <c r="E144" s="8" t="n"/>
      <c r="F144" s="9" t="n"/>
      <c r="G144" s="10" t="n"/>
      <c r="H144" s="10" t="n"/>
      <c r="I144" s="11" t="n"/>
      <c r="J144" s="8" t="n"/>
      <c r="K144" s="12" t="n"/>
    </row>
    <row r="145" ht="18" customHeight="1" s="96">
      <c r="A145" s="2" t="n">
        <v>143</v>
      </c>
      <c r="B145" s="3" t="n"/>
      <c r="C145" s="3" t="n"/>
      <c r="D145" s="3" t="n"/>
      <c r="E145" s="3" t="n"/>
      <c r="F145" s="4" t="n"/>
      <c r="G145" s="5" t="n"/>
      <c r="H145" s="5" t="n"/>
      <c r="I145" s="6" t="n"/>
      <c r="J145" s="3" t="n"/>
      <c r="K145" s="13" t="n"/>
    </row>
    <row r="146" ht="18" customHeight="1" s="96">
      <c r="A146" s="93" t="n">
        <v>144</v>
      </c>
      <c r="B146" s="8" t="n"/>
      <c r="C146" s="8" t="n"/>
      <c r="D146" s="8" t="n"/>
      <c r="E146" s="8" t="n"/>
      <c r="F146" s="9" t="n"/>
      <c r="G146" s="10" t="n"/>
      <c r="H146" s="10" t="n"/>
      <c r="I146" s="11" t="n"/>
      <c r="J146" s="8" t="n"/>
      <c r="K146" s="12" t="n"/>
    </row>
    <row r="147" ht="18" customHeight="1" s="96">
      <c r="A147" s="2" t="n">
        <v>145</v>
      </c>
      <c r="B147" s="3" t="n"/>
      <c r="C147" s="3" t="n"/>
      <c r="D147" s="3" t="n"/>
      <c r="E147" s="3" t="n"/>
      <c r="F147" s="4" t="n"/>
      <c r="G147" s="5" t="n"/>
      <c r="H147" s="5" t="n"/>
      <c r="I147" s="6" t="n"/>
      <c r="J147" s="3" t="n"/>
      <c r="K147" s="13" t="n"/>
    </row>
    <row r="148" ht="18" customHeight="1" s="96">
      <c r="A148" s="93" t="n">
        <v>146</v>
      </c>
      <c r="B148" s="8" t="n"/>
      <c r="C148" s="8" t="n"/>
      <c r="D148" s="8" t="n"/>
      <c r="E148" s="8" t="n"/>
      <c r="F148" s="9" t="n"/>
      <c r="G148" s="10" t="n"/>
      <c r="H148" s="10" t="n"/>
      <c r="I148" s="11" t="n"/>
      <c r="J148" s="8" t="n"/>
      <c r="K148" s="12" t="n"/>
    </row>
    <row r="149" ht="18" customHeight="1" s="96">
      <c r="A149" s="2" t="n">
        <v>147</v>
      </c>
      <c r="B149" s="3" t="n"/>
      <c r="C149" s="3" t="n"/>
      <c r="D149" s="3" t="n"/>
      <c r="E149" s="3" t="n"/>
      <c r="F149" s="4" t="n"/>
      <c r="G149" s="5" t="n"/>
      <c r="H149" s="5" t="n"/>
      <c r="I149" s="6" t="n"/>
      <c r="J149" s="3" t="n"/>
      <c r="K149" s="13" t="n"/>
    </row>
    <row r="150" ht="18" customHeight="1" s="96">
      <c r="A150" s="93" t="n">
        <v>148</v>
      </c>
      <c r="B150" s="8" t="n"/>
      <c r="C150" s="8" t="n"/>
      <c r="D150" s="8" t="n"/>
      <c r="E150" s="8" t="n"/>
      <c r="F150" s="9" t="n"/>
      <c r="G150" s="10" t="n"/>
      <c r="H150" s="10" t="n"/>
      <c r="I150" s="11" t="n"/>
      <c r="J150" s="8" t="n"/>
      <c r="K150" s="12" t="n"/>
    </row>
    <row r="151" ht="18" customHeight="1" s="96">
      <c r="A151" s="2" t="n">
        <v>149</v>
      </c>
      <c r="B151" s="3" t="n"/>
      <c r="C151" s="3" t="n"/>
      <c r="D151" s="3" t="n"/>
      <c r="E151" s="3" t="n"/>
      <c r="F151" s="4" t="n"/>
      <c r="G151" s="5" t="n"/>
      <c r="H151" s="5" t="n"/>
      <c r="I151" s="6" t="n"/>
      <c r="J151" s="3" t="n"/>
      <c r="K151" s="13" t="n"/>
    </row>
    <row r="152" ht="18" customHeight="1" s="96">
      <c r="A152" s="93" t="n">
        <v>150</v>
      </c>
      <c r="B152" s="8" t="n"/>
      <c r="C152" s="8" t="n"/>
      <c r="D152" s="8" t="n"/>
      <c r="E152" s="8" t="n"/>
      <c r="F152" s="9" t="n"/>
      <c r="G152" s="10" t="n"/>
      <c r="H152" s="10" t="n"/>
      <c r="I152" s="11" t="n"/>
      <c r="J152" s="8" t="n"/>
      <c r="K152" s="12" t="n"/>
    </row>
    <row r="153" ht="18" customHeight="1" s="96">
      <c r="A153" s="2" t="n">
        <v>151</v>
      </c>
      <c r="B153" s="3" t="n"/>
      <c r="C153" s="3" t="n"/>
      <c r="D153" s="3" t="n"/>
      <c r="E153" s="3" t="n"/>
      <c r="F153" s="4" t="n"/>
      <c r="G153" s="5" t="n"/>
      <c r="H153" s="5" t="n"/>
      <c r="I153" s="6" t="n"/>
      <c r="J153" s="3" t="n"/>
      <c r="K153" s="13" t="n"/>
    </row>
    <row r="154" ht="18" customHeight="1" s="96">
      <c r="A154" s="93" t="n">
        <v>152</v>
      </c>
      <c r="B154" s="8" t="n"/>
      <c r="C154" s="8" t="n"/>
      <c r="D154" s="8" t="n"/>
      <c r="E154" s="8" t="n"/>
      <c r="F154" s="9" t="n"/>
      <c r="G154" s="10" t="n"/>
      <c r="H154" s="10" t="n"/>
      <c r="I154" s="11" t="n"/>
      <c r="J154" s="8" t="n"/>
      <c r="K154" s="12" t="n"/>
    </row>
    <row r="155" ht="18" customHeight="1" s="96">
      <c r="A155" s="2" t="n">
        <v>153</v>
      </c>
      <c r="B155" s="3" t="n"/>
      <c r="C155" s="3" t="n"/>
      <c r="D155" s="3" t="n"/>
      <c r="E155" s="3" t="n"/>
      <c r="F155" s="4" t="n"/>
      <c r="G155" s="5" t="n"/>
      <c r="H155" s="5" t="n"/>
      <c r="I155" s="6" t="n"/>
      <c r="J155" s="3" t="n"/>
      <c r="K155" s="13" t="n"/>
    </row>
    <row r="156" ht="18" customHeight="1" s="96">
      <c r="A156" s="93" t="n">
        <v>154</v>
      </c>
      <c r="B156" s="8" t="n"/>
      <c r="C156" s="8" t="n"/>
      <c r="D156" s="8" t="n"/>
      <c r="E156" s="8" t="n"/>
      <c r="F156" s="9" t="n"/>
      <c r="G156" s="10" t="n"/>
      <c r="H156" s="10" t="n"/>
      <c r="I156" s="11" t="n"/>
      <c r="J156" s="8" t="n"/>
      <c r="K156" s="12" t="n"/>
    </row>
    <row r="157" ht="18" customHeight="1" s="96">
      <c r="A157" s="2" t="n">
        <v>155</v>
      </c>
      <c r="B157" s="3" t="n"/>
      <c r="C157" s="3" t="n"/>
      <c r="D157" s="3" t="n"/>
      <c r="E157" s="3" t="n"/>
      <c r="F157" s="4" t="n"/>
      <c r="G157" s="5" t="n"/>
      <c r="H157" s="5" t="n"/>
      <c r="I157" s="6" t="n"/>
      <c r="J157" s="3" t="n"/>
      <c r="K157" s="13" t="n"/>
    </row>
    <row r="158" ht="18" customHeight="1" s="96">
      <c r="A158" s="93" t="n">
        <v>156</v>
      </c>
      <c r="B158" s="8" t="n"/>
      <c r="C158" s="8" t="n"/>
      <c r="D158" s="8" t="n"/>
      <c r="E158" s="8" t="n"/>
      <c r="F158" s="9" t="n"/>
      <c r="G158" s="10" t="n"/>
      <c r="H158" s="10" t="n"/>
      <c r="I158" s="11" t="n"/>
      <c r="J158" s="8" t="n"/>
      <c r="K158" s="12" t="n"/>
    </row>
    <row r="159" ht="18" customHeight="1" s="96">
      <c r="A159" s="2" t="n">
        <v>157</v>
      </c>
      <c r="B159" s="3" t="n"/>
      <c r="C159" s="3" t="n"/>
      <c r="D159" s="3" t="n"/>
      <c r="E159" s="3" t="n"/>
      <c r="F159" s="4" t="n"/>
      <c r="G159" s="5" t="n"/>
      <c r="H159" s="5" t="n"/>
      <c r="I159" s="6" t="n"/>
      <c r="J159" s="3" t="n"/>
      <c r="K159" s="13" t="n"/>
    </row>
    <row r="160" ht="18" customHeight="1" s="96">
      <c r="A160" s="93" t="n">
        <v>158</v>
      </c>
      <c r="B160" s="8" t="n"/>
      <c r="C160" s="8" t="n"/>
      <c r="D160" s="8" t="n"/>
      <c r="E160" s="8" t="n"/>
      <c r="F160" s="9" t="n"/>
      <c r="G160" s="10" t="n"/>
      <c r="H160" s="10" t="n"/>
      <c r="I160" s="11" t="n"/>
      <c r="J160" s="8" t="n"/>
      <c r="K160" s="12" t="n"/>
    </row>
    <row r="161" ht="18" customHeight="1" s="96">
      <c r="A161" s="2" t="n">
        <v>159</v>
      </c>
      <c r="B161" s="3" t="n"/>
      <c r="C161" s="3" t="n"/>
      <c r="D161" s="3" t="n"/>
      <c r="E161" s="3" t="n"/>
      <c r="F161" s="4" t="n"/>
      <c r="G161" s="5" t="n"/>
      <c r="H161" s="5" t="n"/>
      <c r="I161" s="6" t="n"/>
      <c r="J161" s="3" t="n"/>
      <c r="K161" s="13" t="n"/>
    </row>
    <row r="162" ht="18" customHeight="1" s="96">
      <c r="A162" s="93" t="n">
        <v>160</v>
      </c>
      <c r="B162" s="8" t="n"/>
      <c r="C162" s="8" t="n"/>
      <c r="D162" s="8" t="n"/>
      <c r="E162" s="8" t="n"/>
      <c r="F162" s="9" t="n"/>
      <c r="G162" s="10" t="n"/>
      <c r="H162" s="10" t="n"/>
      <c r="I162" s="11" t="n"/>
      <c r="J162" s="8" t="n"/>
      <c r="K162" s="12" t="n"/>
    </row>
    <row r="163" ht="18" customHeight="1" s="96">
      <c r="A163" s="2" t="n">
        <v>161</v>
      </c>
      <c r="B163" s="3" t="n"/>
      <c r="C163" s="3" t="n"/>
      <c r="D163" s="3" t="n"/>
      <c r="E163" s="3" t="n"/>
      <c r="F163" s="4" t="n"/>
      <c r="G163" s="5" t="n"/>
      <c r="H163" s="5" t="n"/>
      <c r="I163" s="6" t="n"/>
      <c r="J163" s="3" t="n"/>
      <c r="K163" s="13" t="n"/>
    </row>
    <row r="164" ht="18" customHeight="1" s="96">
      <c r="A164" s="93" t="n">
        <v>162</v>
      </c>
      <c r="B164" s="8" t="n"/>
      <c r="C164" s="8" t="n"/>
      <c r="D164" s="8" t="n"/>
      <c r="E164" s="8" t="n"/>
      <c r="F164" s="9" t="n"/>
      <c r="G164" s="10" t="n"/>
      <c r="H164" s="10" t="n"/>
      <c r="I164" s="11" t="n"/>
      <c r="J164" s="8" t="n"/>
      <c r="K164" s="12" t="n"/>
    </row>
    <row r="165" ht="18" customHeight="1" s="96">
      <c r="A165" s="2" t="n">
        <v>163</v>
      </c>
      <c r="B165" s="3" t="n"/>
      <c r="C165" s="3" t="n"/>
      <c r="D165" s="3" t="n"/>
      <c r="E165" s="3" t="n"/>
      <c r="F165" s="4" t="n"/>
      <c r="G165" s="5" t="n"/>
      <c r="H165" s="5" t="n"/>
      <c r="I165" s="6" t="n"/>
      <c r="J165" s="3" t="n"/>
      <c r="K165" s="13" t="n"/>
    </row>
    <row r="166" ht="18" customHeight="1" s="96">
      <c r="A166" s="93" t="n">
        <v>164</v>
      </c>
      <c r="B166" s="8" t="n"/>
      <c r="C166" s="8" t="n"/>
      <c r="D166" s="8" t="n"/>
      <c r="E166" s="8" t="n"/>
      <c r="F166" s="9" t="n"/>
      <c r="G166" s="10" t="n"/>
      <c r="H166" s="10" t="n"/>
      <c r="I166" s="11" t="n"/>
      <c r="J166" s="8" t="n"/>
      <c r="K166" s="12" t="n"/>
    </row>
    <row r="167" ht="18" customHeight="1" s="96">
      <c r="A167" s="2" t="n">
        <v>165</v>
      </c>
      <c r="B167" s="3" t="n"/>
      <c r="C167" s="3" t="n"/>
      <c r="D167" s="3" t="n"/>
      <c r="E167" s="3" t="n"/>
      <c r="F167" s="4" t="n"/>
      <c r="G167" s="5" t="n"/>
      <c r="H167" s="5" t="n"/>
      <c r="I167" s="6" t="n"/>
      <c r="J167" s="3" t="n"/>
      <c r="K167" s="13" t="n"/>
    </row>
    <row r="168" ht="18" customHeight="1" s="96">
      <c r="A168" s="93" t="n">
        <v>166</v>
      </c>
      <c r="B168" s="8" t="n"/>
      <c r="C168" s="8" t="n"/>
      <c r="D168" s="8" t="n"/>
      <c r="E168" s="8" t="n"/>
      <c r="F168" s="9" t="n"/>
      <c r="G168" s="10" t="n"/>
      <c r="H168" s="10" t="n"/>
      <c r="I168" s="11" t="n"/>
      <c r="J168" s="8" t="n"/>
      <c r="K168" s="12" t="n"/>
    </row>
    <row r="169" ht="18" customHeight="1" s="96">
      <c r="A169" s="2" t="n">
        <v>167</v>
      </c>
      <c r="B169" s="3" t="n"/>
      <c r="C169" s="3" t="n"/>
      <c r="D169" s="3" t="n"/>
      <c r="E169" s="3" t="n"/>
      <c r="F169" s="4" t="n"/>
      <c r="G169" s="5" t="n"/>
      <c r="H169" s="5" t="n"/>
      <c r="I169" s="6" t="n"/>
      <c r="J169" s="3" t="n"/>
      <c r="K169" s="13" t="n"/>
    </row>
    <row r="170" ht="18" customHeight="1" s="96">
      <c r="A170" s="93" t="n">
        <v>168</v>
      </c>
      <c r="B170" s="8" t="n"/>
      <c r="C170" s="8" t="n"/>
      <c r="D170" s="8" t="n"/>
      <c r="E170" s="8" t="n"/>
      <c r="F170" s="9" t="n"/>
      <c r="G170" s="10" t="n"/>
      <c r="H170" s="10" t="n"/>
      <c r="I170" s="11" t="n"/>
      <c r="J170" s="8" t="n"/>
      <c r="K170" s="12" t="n"/>
    </row>
    <row r="171" ht="18" customHeight="1" s="96">
      <c r="A171" s="2" t="n">
        <v>169</v>
      </c>
      <c r="B171" s="3" t="n"/>
      <c r="C171" s="3" t="n"/>
      <c r="D171" s="3" t="n"/>
      <c r="E171" s="3" t="n"/>
      <c r="F171" s="4" t="n"/>
      <c r="G171" s="5" t="n"/>
      <c r="H171" s="5" t="n"/>
      <c r="I171" s="6" t="n"/>
      <c r="J171" s="3" t="n"/>
      <c r="K171" s="13" t="n"/>
    </row>
    <row r="172" ht="18" customHeight="1" s="96">
      <c r="A172" s="93" t="n">
        <v>170</v>
      </c>
      <c r="B172" s="8" t="n"/>
      <c r="C172" s="8" t="n"/>
      <c r="D172" s="8" t="n"/>
      <c r="E172" s="8" t="n"/>
      <c r="F172" s="9" t="n"/>
      <c r="G172" s="10" t="n"/>
      <c r="H172" s="10" t="n"/>
      <c r="I172" s="11" t="n"/>
      <c r="J172" s="8" t="n"/>
      <c r="K172" s="12" t="n"/>
    </row>
    <row r="173" ht="18" customHeight="1" s="96">
      <c r="A173" s="2" t="n">
        <v>171</v>
      </c>
      <c r="B173" s="3" t="n"/>
      <c r="C173" s="3" t="n"/>
      <c r="D173" s="3" t="n"/>
      <c r="E173" s="3" t="n"/>
      <c r="F173" s="4" t="n"/>
      <c r="G173" s="5" t="n"/>
      <c r="H173" s="5" t="n"/>
      <c r="I173" s="6" t="n"/>
      <c r="J173" s="3" t="n"/>
      <c r="K173" s="13" t="n"/>
    </row>
    <row r="174" ht="18" customHeight="1" s="96">
      <c r="A174" s="93" t="n">
        <v>172</v>
      </c>
      <c r="B174" s="8" t="n"/>
      <c r="C174" s="8" t="n"/>
      <c r="D174" s="8" t="n"/>
      <c r="E174" s="8" t="n"/>
      <c r="F174" s="9" t="n"/>
      <c r="G174" s="10" t="n"/>
      <c r="H174" s="10" t="n"/>
      <c r="I174" s="11" t="n"/>
      <c r="J174" s="8" t="n"/>
      <c r="K174" s="12" t="n"/>
    </row>
    <row r="175" ht="18" customHeight="1" s="96">
      <c r="A175" s="2" t="n">
        <v>173</v>
      </c>
      <c r="B175" s="3" t="n"/>
      <c r="C175" s="3" t="n"/>
      <c r="D175" s="3" t="n"/>
      <c r="E175" s="3" t="n"/>
      <c r="F175" s="4" t="n"/>
      <c r="G175" s="5" t="n"/>
      <c r="H175" s="5" t="n"/>
      <c r="I175" s="6" t="n"/>
      <c r="J175" s="3" t="n"/>
      <c r="K175" s="13" t="n"/>
    </row>
    <row r="176" ht="18" customHeight="1" s="96">
      <c r="A176" s="93" t="n">
        <v>174</v>
      </c>
      <c r="B176" s="8" t="n"/>
      <c r="C176" s="8" t="n"/>
      <c r="D176" s="8" t="n"/>
      <c r="E176" s="8" t="n"/>
      <c r="F176" s="9" t="n"/>
      <c r="G176" s="10" t="n"/>
      <c r="H176" s="10" t="n"/>
      <c r="I176" s="11" t="n"/>
      <c r="J176" s="8" t="n"/>
      <c r="K176" s="12" t="n"/>
    </row>
    <row r="177" ht="18" customHeight="1" s="96">
      <c r="A177" s="2" t="n">
        <v>175</v>
      </c>
      <c r="B177" s="3" t="n"/>
      <c r="C177" s="3" t="n"/>
      <c r="D177" s="3" t="n"/>
      <c r="E177" s="3" t="n"/>
      <c r="F177" s="4" t="n"/>
      <c r="G177" s="5" t="n"/>
      <c r="H177" s="5" t="n"/>
      <c r="I177" s="6" t="n"/>
      <c r="J177" s="3" t="n"/>
      <c r="K177" s="13" t="n"/>
    </row>
    <row r="178" ht="18" customHeight="1" s="96">
      <c r="A178" s="93" t="n">
        <v>176</v>
      </c>
      <c r="B178" s="8" t="n"/>
      <c r="C178" s="8" t="n"/>
      <c r="D178" s="8" t="n"/>
      <c r="E178" s="8" t="n"/>
      <c r="F178" s="9" t="n"/>
      <c r="G178" s="10" t="n"/>
      <c r="H178" s="10" t="n"/>
      <c r="I178" s="11" t="n"/>
      <c r="J178" s="8" t="n"/>
      <c r="K178" s="12" t="n"/>
    </row>
    <row r="179" ht="18" customHeight="1" s="96">
      <c r="A179" s="2" t="n">
        <v>177</v>
      </c>
      <c r="B179" s="3" t="n"/>
      <c r="C179" s="3" t="n"/>
      <c r="D179" s="3" t="n"/>
      <c r="E179" s="3" t="n"/>
      <c r="F179" s="4" t="n"/>
      <c r="G179" s="5" t="n"/>
      <c r="H179" s="5" t="n"/>
      <c r="I179" s="6" t="n"/>
      <c r="J179" s="3" t="n"/>
      <c r="K179" s="13" t="n"/>
    </row>
    <row r="180" ht="18" customHeight="1" s="96">
      <c r="A180" s="93" t="n">
        <v>178</v>
      </c>
      <c r="B180" s="8" t="n"/>
      <c r="C180" s="8" t="n"/>
      <c r="D180" s="8" t="n"/>
      <c r="E180" s="8" t="n"/>
      <c r="F180" s="9" t="n"/>
      <c r="G180" s="10" t="n"/>
      <c r="H180" s="10" t="n"/>
      <c r="I180" s="11" t="n"/>
      <c r="J180" s="8" t="n"/>
      <c r="K180" s="12" t="n"/>
    </row>
    <row r="181" ht="18" customHeight="1" s="96">
      <c r="A181" s="2" t="n">
        <v>179</v>
      </c>
      <c r="B181" s="3" t="n"/>
      <c r="C181" s="3" t="n"/>
      <c r="D181" s="3" t="n"/>
      <c r="E181" s="3" t="n"/>
      <c r="F181" s="4" t="n"/>
      <c r="G181" s="5" t="n"/>
      <c r="H181" s="5" t="n"/>
      <c r="I181" s="6" t="n"/>
      <c r="J181" s="3" t="n"/>
      <c r="K181" s="13" t="n"/>
    </row>
    <row r="182" ht="18" customHeight="1" s="96">
      <c r="A182" s="93" t="n">
        <v>180</v>
      </c>
      <c r="B182" s="8" t="n"/>
      <c r="C182" s="8" t="n"/>
      <c r="D182" s="8" t="n"/>
      <c r="E182" s="8" t="n"/>
      <c r="F182" s="9" t="n"/>
      <c r="G182" s="10" t="n"/>
      <c r="H182" s="10" t="n"/>
      <c r="I182" s="11" t="n"/>
      <c r="J182" s="8" t="n"/>
      <c r="K182" s="12" t="n"/>
    </row>
    <row r="183" ht="18" customHeight="1" s="96">
      <c r="A183" s="2" t="n">
        <v>181</v>
      </c>
      <c r="B183" s="3" t="n"/>
      <c r="C183" s="3" t="n"/>
      <c r="D183" s="3" t="n"/>
      <c r="E183" s="3" t="n"/>
      <c r="F183" s="4" t="n"/>
      <c r="G183" s="5" t="n"/>
      <c r="H183" s="5" t="n"/>
      <c r="I183" s="6" t="n"/>
      <c r="J183" s="3" t="n"/>
      <c r="K183" s="13" t="n"/>
    </row>
    <row r="184" ht="18" customHeight="1" s="96">
      <c r="A184" s="93" t="n">
        <v>182</v>
      </c>
      <c r="B184" s="8" t="n"/>
      <c r="C184" s="8" t="n"/>
      <c r="D184" s="8" t="n"/>
      <c r="E184" s="8" t="n"/>
      <c r="F184" s="9" t="n"/>
      <c r="G184" s="10" t="n"/>
      <c r="H184" s="10" t="n"/>
      <c r="I184" s="11" t="n"/>
      <c r="J184" s="8" t="n"/>
      <c r="K184" s="12" t="n"/>
    </row>
    <row r="185" ht="18" customHeight="1" s="96">
      <c r="A185" s="2" t="n">
        <v>183</v>
      </c>
      <c r="B185" s="3" t="n"/>
      <c r="C185" s="3" t="n"/>
      <c r="D185" s="3" t="n"/>
      <c r="E185" s="3" t="n"/>
      <c r="F185" s="4" t="n"/>
      <c r="G185" s="5" t="n"/>
      <c r="H185" s="5" t="n"/>
      <c r="I185" s="6" t="n"/>
      <c r="J185" s="3" t="n"/>
      <c r="K185" s="13" t="n"/>
    </row>
    <row r="186" ht="18" customHeight="1" s="96">
      <c r="A186" s="93" t="n">
        <v>184</v>
      </c>
      <c r="B186" s="8" t="n"/>
      <c r="C186" s="8" t="n"/>
      <c r="D186" s="8" t="n"/>
      <c r="E186" s="8" t="n"/>
      <c r="F186" s="9" t="n"/>
      <c r="G186" s="10" t="n"/>
      <c r="H186" s="10" t="n"/>
      <c r="I186" s="11" t="n"/>
      <c r="J186" s="8" t="n"/>
      <c r="K186" s="12" t="n"/>
    </row>
    <row r="187" ht="18" customHeight="1" s="96">
      <c r="A187" s="2" t="n">
        <v>185</v>
      </c>
      <c r="B187" s="3" t="n"/>
      <c r="C187" s="3" t="n"/>
      <c r="D187" s="3" t="n"/>
      <c r="E187" s="3" t="n"/>
      <c r="F187" s="4" t="n"/>
      <c r="G187" s="5" t="n"/>
      <c r="H187" s="5" t="n"/>
      <c r="I187" s="6" t="n"/>
      <c r="J187" s="3" t="n"/>
      <c r="K187" s="13" t="n"/>
    </row>
    <row r="188" ht="18" customHeight="1" s="96">
      <c r="A188" s="93" t="n">
        <v>186</v>
      </c>
      <c r="B188" s="8" t="n"/>
      <c r="C188" s="8" t="n"/>
      <c r="D188" s="8" t="n"/>
      <c r="E188" s="8" t="n"/>
      <c r="F188" s="9" t="n"/>
      <c r="G188" s="10" t="n"/>
      <c r="H188" s="10" t="n"/>
      <c r="I188" s="11" t="n"/>
      <c r="J188" s="8" t="n"/>
      <c r="K188" s="12" t="n"/>
    </row>
    <row r="189" ht="18" customHeight="1" s="96">
      <c r="A189" s="2" t="n">
        <v>187</v>
      </c>
      <c r="B189" s="3" t="n"/>
      <c r="C189" s="3" t="n"/>
      <c r="D189" s="3" t="n"/>
      <c r="E189" s="3" t="n"/>
      <c r="F189" s="4" t="n"/>
      <c r="G189" s="5" t="n"/>
      <c r="H189" s="5" t="n"/>
      <c r="I189" s="6" t="n"/>
      <c r="J189" s="3" t="n"/>
      <c r="K189" s="13" t="n"/>
    </row>
    <row r="190" ht="18" customHeight="1" s="96">
      <c r="A190" s="93" t="n">
        <v>188</v>
      </c>
      <c r="B190" s="8" t="n"/>
      <c r="C190" s="8" t="n"/>
      <c r="D190" s="8" t="n"/>
      <c r="E190" s="8" t="n"/>
      <c r="F190" s="9" t="n"/>
      <c r="G190" s="10" t="n"/>
      <c r="H190" s="10" t="n"/>
      <c r="I190" s="11" t="n"/>
      <c r="J190" s="8" t="n"/>
      <c r="K190" s="12" t="n"/>
    </row>
    <row r="191" ht="18" customHeight="1" s="96">
      <c r="A191" s="2" t="n">
        <v>189</v>
      </c>
      <c r="B191" s="3" t="n"/>
      <c r="C191" s="3" t="n"/>
      <c r="D191" s="3" t="n"/>
      <c r="E191" s="3" t="n"/>
      <c r="F191" s="4" t="n"/>
      <c r="G191" s="5" t="n"/>
      <c r="H191" s="5" t="n"/>
      <c r="I191" s="6" t="n"/>
      <c r="J191" s="3" t="n"/>
      <c r="K191" s="13" t="n"/>
    </row>
    <row r="192" ht="18" customHeight="1" s="96">
      <c r="A192" s="93" t="n">
        <v>190</v>
      </c>
      <c r="B192" s="8" t="n"/>
      <c r="C192" s="8" t="n"/>
      <c r="D192" s="8" t="n"/>
      <c r="E192" s="8" t="n"/>
      <c r="F192" s="9" t="n"/>
      <c r="G192" s="10" t="n"/>
      <c r="H192" s="10" t="n"/>
      <c r="I192" s="11" t="n"/>
      <c r="J192" s="8" t="n"/>
      <c r="K192" s="12" t="n"/>
    </row>
    <row r="193" ht="18" customHeight="1" s="96">
      <c r="A193" s="2" t="n">
        <v>191</v>
      </c>
      <c r="B193" s="3" t="n"/>
      <c r="C193" s="3" t="n"/>
      <c r="D193" s="3" t="n"/>
      <c r="E193" s="3" t="n"/>
      <c r="F193" s="4" t="n"/>
      <c r="G193" s="5" t="n"/>
      <c r="H193" s="5" t="n"/>
      <c r="I193" s="6" t="n"/>
      <c r="J193" s="3" t="n"/>
      <c r="K193" s="13" t="n"/>
    </row>
    <row r="194" ht="18" customHeight="1" s="96">
      <c r="A194" s="93" t="n">
        <v>192</v>
      </c>
      <c r="B194" s="8" t="n"/>
      <c r="C194" s="8" t="n"/>
      <c r="D194" s="8" t="n"/>
      <c r="E194" s="8" t="n"/>
      <c r="F194" s="9" t="n"/>
      <c r="G194" s="10" t="n"/>
      <c r="H194" s="10" t="n"/>
      <c r="I194" s="11" t="n"/>
      <c r="J194" s="8" t="n"/>
      <c r="K194" s="12" t="n"/>
    </row>
    <row r="195" ht="18" customHeight="1" s="96">
      <c r="A195" s="2" t="n">
        <v>193</v>
      </c>
      <c r="B195" s="3" t="n"/>
      <c r="C195" s="3" t="n"/>
      <c r="D195" s="3" t="n"/>
      <c r="E195" s="3" t="n"/>
      <c r="F195" s="4" t="n"/>
      <c r="G195" s="5" t="n"/>
      <c r="H195" s="5" t="n"/>
      <c r="I195" s="6" t="n"/>
      <c r="J195" s="3" t="n"/>
      <c r="K195" s="13" t="n"/>
    </row>
    <row r="196" ht="18" customHeight="1" s="96">
      <c r="A196" s="93" t="n">
        <v>194</v>
      </c>
      <c r="B196" s="8" t="n"/>
      <c r="C196" s="8" t="n"/>
      <c r="D196" s="8" t="n"/>
      <c r="E196" s="8" t="n"/>
      <c r="F196" s="9" t="n"/>
      <c r="G196" s="10" t="n"/>
      <c r="H196" s="10" t="n"/>
      <c r="I196" s="11" t="n"/>
      <c r="J196" s="8" t="n"/>
      <c r="K196" s="12" t="n"/>
    </row>
    <row r="197" ht="18" customHeight="1" s="96">
      <c r="A197" s="2" t="n">
        <v>195</v>
      </c>
      <c r="B197" s="3" t="n"/>
      <c r="C197" s="3" t="n"/>
      <c r="D197" s="3" t="n"/>
      <c r="E197" s="3" t="n"/>
      <c r="F197" s="4" t="n"/>
      <c r="G197" s="5" t="n"/>
      <c r="H197" s="5" t="n"/>
      <c r="I197" s="6" t="n"/>
      <c r="J197" s="3" t="n"/>
      <c r="K197" s="13" t="n"/>
    </row>
    <row r="198" ht="18" customHeight="1" s="96">
      <c r="A198" s="93" t="n">
        <v>196</v>
      </c>
      <c r="B198" s="8" t="n"/>
      <c r="C198" s="8" t="n"/>
      <c r="D198" s="8" t="n"/>
      <c r="E198" s="8" t="n"/>
      <c r="F198" s="9" t="n"/>
      <c r="G198" s="10" t="n"/>
      <c r="H198" s="10" t="n"/>
      <c r="I198" s="11" t="n"/>
      <c r="J198" s="8" t="n"/>
      <c r="K198" s="12" t="n"/>
    </row>
    <row r="199" ht="18" customHeight="1" s="96">
      <c r="A199" s="2" t="n">
        <v>197</v>
      </c>
      <c r="B199" s="3" t="n"/>
      <c r="C199" s="3" t="n"/>
      <c r="D199" s="3" t="n"/>
      <c r="E199" s="3" t="n"/>
      <c r="F199" s="4" t="n"/>
      <c r="G199" s="5" t="n"/>
      <c r="H199" s="5" t="n"/>
      <c r="I199" s="6" t="n"/>
      <c r="J199" s="3" t="n"/>
      <c r="K199" s="13" t="n"/>
    </row>
    <row r="200" ht="18" customHeight="1" s="96">
      <c r="A200" s="93" t="n">
        <v>198</v>
      </c>
      <c r="B200" s="8" t="n"/>
      <c r="C200" s="8" t="n"/>
      <c r="D200" s="8" t="n"/>
      <c r="E200" s="8" t="n"/>
      <c r="F200" s="9" t="n"/>
      <c r="G200" s="10" t="n"/>
      <c r="H200" s="10" t="n"/>
      <c r="I200" s="11" t="n"/>
      <c r="J200" s="8" t="n"/>
      <c r="K200" s="12" t="n"/>
    </row>
    <row r="201" ht="18" customHeight="1" s="96">
      <c r="A201" s="2" t="n">
        <v>199</v>
      </c>
      <c r="B201" s="3" t="n"/>
      <c r="C201" s="3" t="n"/>
      <c r="D201" s="3" t="n"/>
      <c r="E201" s="3" t="n"/>
      <c r="F201" s="4" t="n"/>
      <c r="G201" s="5" t="n"/>
      <c r="H201" s="5" t="n"/>
      <c r="I201" s="6" t="n"/>
      <c r="J201" s="3" t="n"/>
      <c r="K201" s="13" t="n"/>
    </row>
    <row r="202" ht="18" customHeight="1" s="96">
      <c r="A202" s="93" t="n">
        <v>200</v>
      </c>
      <c r="B202" s="8" t="n"/>
      <c r="C202" s="8" t="n"/>
      <c r="D202" s="8" t="n"/>
      <c r="E202" s="8" t="n"/>
      <c r="F202" s="9" t="n"/>
      <c r="G202" s="10" t="n"/>
      <c r="H202" s="10" t="n"/>
      <c r="I202" s="11" t="n"/>
      <c r="J202" s="8" t="n"/>
      <c r="K202" s="12" t="n"/>
    </row>
    <row r="203" ht="24" customHeight="1" s="96">
      <c r="A203" s="14" t="inlineStr">
        <is>
          <t>TOTALS</t>
        </is>
      </c>
      <c r="B203" s="15" t="inlineStr">
        <is>
          <t># DEALS:</t>
        </is>
      </c>
      <c r="C203" s="16">
        <f>COUNTA(C3:C202)</f>
        <v/>
      </c>
      <c r="D203" s="17" t="n"/>
      <c r="E203" s="17" t="n"/>
      <c r="F203" s="18">
        <f>SUM(F3:F202)</f>
        <v/>
      </c>
      <c r="G203" s="19">
        <f>SUM(G3:G202)</f>
        <v/>
      </c>
      <c r="H203" s="19">
        <f>SUM(H3:H202)</f>
        <v/>
      </c>
      <c r="I203" s="17" t="n"/>
      <c r="J203" s="17" t="n"/>
      <c r="K203" s="17" t="n"/>
    </row>
  </sheetData>
  <mergeCells count="2">
    <mergeCell ref="A2:K2"/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03"/>
  <sheetViews>
    <sheetView showGridLines="0" zoomScaleNormal="100" workbookViewId="0">
      <pane ySplit="3" topLeftCell="A4" activePane="bottomLeft" state="frozen"/>
      <selection pane="bottomLeft" activeCell="X8" sqref="X8"/>
    </sheetView>
  </sheetViews>
  <sheetFormatPr baseColWidth="8" defaultColWidth="8.7421875" defaultRowHeight="15" customHeight="1"/>
  <cols>
    <col width="4.9765625" customWidth="1" style="96" min="1" max="1"/>
    <col width="18.0234375" customWidth="1" style="96" min="2" max="3"/>
    <col width="27.98046875" customWidth="1" style="96" min="4" max="4"/>
    <col width="22.05859375" customWidth="1" style="96" min="5" max="5"/>
    <col width="13.98828125" customWidth="1" style="96" min="6" max="6"/>
    <col width="20.04296875" customWidth="1" style="96" min="7" max="7"/>
    <col width="16.0078125" customWidth="1" style="96" min="8" max="9"/>
    <col width="13.98828125" customWidth="1" style="96" min="10" max="10"/>
    <col width="13.046875" customWidth="1" style="96" min="11" max="13"/>
    <col width="16.0078125" customWidth="1" style="96" min="14" max="14"/>
    <col width="34.97265625" customWidth="1" style="96" min="15" max="16"/>
    <col width="22.05859375" customWidth="1" style="96" min="18" max="18"/>
    <col width="11.97265625" customWidth="1" style="96" min="19" max="19"/>
    <col hidden="1" width="13" customWidth="1" style="96" min="20" max="20"/>
  </cols>
  <sheetData>
    <row r="1" ht="30" customHeight="1" s="96">
      <c r="A1" s="105" t="inlineStr">
        <is>
          <t>SALES CONVERSION — Person C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6" t="n"/>
      <c r="L1" s="106" t="n"/>
      <c r="M1" s="106" t="n"/>
      <c r="N1" s="106" t="n"/>
      <c r="O1" s="106" t="n"/>
      <c r="P1" s="106" t="n"/>
      <c r="Q1" s="106" t="n"/>
      <c r="R1" s="54" t="inlineStr">
        <is>
          <t>Stage</t>
        </is>
      </c>
      <c r="S1" s="54" t="inlineStr">
        <is>
          <t>Prob %</t>
        </is>
      </c>
    </row>
    <row r="2" ht="18" customHeight="1" s="96">
      <c r="A2" s="107" t="inlineStr">
        <is>
          <t>ℹ  Rows are unlimited. Add as many opportunities as needed. Totals row auto-updates.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06" t="n"/>
      <c r="M2" s="106" t="n"/>
      <c r="N2" s="106" t="n"/>
      <c r="O2" s="106" t="n"/>
      <c r="P2" s="106" t="n"/>
      <c r="Q2" s="106" t="n"/>
      <c r="R2" s="55" t="inlineStr">
        <is>
          <t>Closed Lost</t>
        </is>
      </c>
      <c r="S2" s="56" t="n">
        <v>0</v>
      </c>
    </row>
    <row r="3" ht="69.75" customHeight="1" s="96">
      <c r="A3" s="57" t="n">
        <v>1</v>
      </c>
      <c r="B3" s="70" t="inlineStr">
        <is>
          <t>Industry Segment</t>
        </is>
      </c>
      <c r="C3" s="70" t="inlineStr">
        <is>
          <t>Coverage</t>
        </is>
      </c>
      <c r="D3" s="70" t="inlineStr">
        <is>
          <t>ACCOUNT NAME</t>
        </is>
      </c>
      <c r="E3" s="70" t="inlineStr">
        <is>
          <t>OPPORTUNITY TYPE</t>
        </is>
      </c>
      <c r="F3" s="71" t="inlineStr">
        <is>
          <t>AREA (IN SQM)</t>
        </is>
      </c>
      <c r="G3" s="60" t="inlineStr">
        <is>
          <t>OPPORTUNITY STAGE</t>
        </is>
      </c>
      <c r="H3" s="75" t="inlineStr">
        <is>
          <t>TCV (VAT EX)</t>
        </is>
      </c>
      <c r="I3" s="75" t="inlineStr">
        <is>
          <t>GP (VAT EX)</t>
        </is>
      </c>
      <c r="J3" s="72" t="inlineStr">
        <is>
          <t>CLOSING DATE</t>
        </is>
      </c>
      <c r="K3" s="63" t="inlineStr">
        <is>
          <t>PROBABILITY
(Auto)</t>
        </is>
      </c>
      <c r="L3" s="63" t="inlineStr">
        <is>
          <t>Project Start Date</t>
        </is>
      </c>
      <c r="M3" s="63" t="inlineStr">
        <is>
          <t>Project Completion</t>
        </is>
      </c>
      <c r="N3" s="72" t="inlineStr">
        <is>
          <t>BOM SUBMISSION</t>
        </is>
      </c>
      <c r="O3" s="70" t="inlineStr">
        <is>
          <t>REMARKS TO BE UPDATED BY SALES WEEKLY</t>
        </is>
      </c>
      <c r="P3" s="70" t="inlineStr">
        <is>
          <t>REMARKS TO BE UPDATED BY COMMERCIAL</t>
        </is>
      </c>
      <c r="Q3" s="106" t="n"/>
      <c r="R3" s="55" t="inlineStr">
        <is>
          <t>Opportunity Creation</t>
        </is>
      </c>
      <c r="S3" s="56" t="n">
        <v>0.1</v>
      </c>
      <c r="T3" s="192" t="inlineStr">
        <is>
          <t>Eligible TCV (helper)</t>
        </is>
      </c>
    </row>
    <row r="4" ht="46.5" customHeight="1" s="96">
      <c r="A4" s="64" t="n">
        <v>2</v>
      </c>
      <c r="B4" s="65" t="inlineStr">
        <is>
          <t>Government</t>
        </is>
      </c>
      <c r="C4" s="65" t="inlineStr">
        <is>
          <t>Home</t>
        </is>
      </c>
      <c r="D4" s="65" t="inlineStr">
        <is>
          <t>PCHCC CP12.1</t>
        </is>
      </c>
      <c r="E4" s="65" t="inlineStr">
        <is>
          <t>Fit Out</t>
        </is>
      </c>
      <c r="F4" s="66" t="n">
        <v>41453.21</v>
      </c>
      <c r="G4" s="65" t="inlineStr">
        <is>
          <t>Resubmission</t>
        </is>
      </c>
      <c r="H4" s="74" t="n">
        <v>625000000</v>
      </c>
      <c r="I4" s="74">
        <f>H4*0.23</f>
        <v/>
      </c>
      <c r="J4" s="67" t="n">
        <v>46142</v>
      </c>
      <c r="K4" s="68">
        <f>IFERROR(VLOOKUP(G4,Stage_Lookup!$A$2:$B$8,2,0),"")</f>
        <v/>
      </c>
      <c r="L4" s="69" t="n"/>
      <c r="M4" s="69" t="n"/>
      <c r="N4" s="67" t="n"/>
      <c r="O4" s="65" t="inlineStr">
        <is>
          <t xml:space="preserve">For Clarification Week of April 20 </t>
        </is>
      </c>
      <c r="P4" s="65" t="n"/>
      <c r="Q4" s="106" t="n"/>
      <c r="R4" s="55" t="inlineStr">
        <is>
          <t>Scoping</t>
        </is>
      </c>
      <c r="S4" s="56" t="n">
        <v>0.3</v>
      </c>
      <c r="T4">
        <f>IF(OR(G4="Closed Lost",G4="",NOT(ISNUMBER(H4))),"",H4)</f>
        <v/>
      </c>
    </row>
    <row r="5" ht="46.5" customHeight="1" s="96">
      <c r="A5" s="57" t="n">
        <v>3</v>
      </c>
      <c r="B5" s="70" t="inlineStr">
        <is>
          <t>Government</t>
        </is>
      </c>
      <c r="C5" s="70" t="inlineStr">
        <is>
          <t>Home</t>
        </is>
      </c>
      <c r="D5" s="70" t="inlineStr">
        <is>
          <t>PCHCC CP30</t>
        </is>
      </c>
      <c r="E5" s="70" t="inlineStr">
        <is>
          <t>Auxiliary- CCTV&amp;Access</t>
        </is>
      </c>
      <c r="F5" s="71" t="n">
        <v>41453.21</v>
      </c>
      <c r="G5" s="70" t="inlineStr">
        <is>
          <t>Resubmission</t>
        </is>
      </c>
      <c r="H5" s="75" t="n">
        <v>14623375.95</v>
      </c>
      <c r="I5" s="75">
        <f>H5*0.2</f>
        <v/>
      </c>
      <c r="J5" s="72" t="n">
        <v>46142</v>
      </c>
      <c r="K5" s="73">
        <f>IFERROR(VLOOKUP(G5,Stage_Lookup!$A$2:$B$8,2,0),"")</f>
        <v/>
      </c>
      <c r="L5" s="69" t="n"/>
      <c r="M5" s="69" t="n"/>
      <c r="N5" s="72" t="n"/>
      <c r="O5" s="70" t="n"/>
      <c r="P5" s="70" t="n"/>
      <c r="Q5" s="106" t="n"/>
      <c r="R5" s="55" t="inlineStr">
        <is>
          <t>BOM Submission</t>
        </is>
      </c>
      <c r="S5" s="56" t="n">
        <v>0.5</v>
      </c>
      <c r="T5">
        <f>IF(OR(G5="Closed Lost",G5="",NOT(ISNUMBER(H5))),"",H5)</f>
        <v/>
      </c>
    </row>
    <row r="6" ht="46.5" customHeight="1" s="96">
      <c r="A6" s="64" t="n">
        <v>4</v>
      </c>
      <c r="B6" s="65" t="inlineStr">
        <is>
          <t>Enterprise</t>
        </is>
      </c>
      <c r="C6" s="65" t="inlineStr">
        <is>
          <t>Home</t>
        </is>
      </c>
      <c r="D6" s="65" t="inlineStr">
        <is>
          <t>Ground Floor Fit Out</t>
        </is>
      </c>
      <c r="E6" s="65" t="inlineStr">
        <is>
          <t>Fit Out Finishing</t>
        </is>
      </c>
      <c r="F6" s="66" t="n">
        <v>369.79</v>
      </c>
      <c r="G6" s="65" t="inlineStr">
        <is>
          <t>Resubmission</t>
        </is>
      </c>
      <c r="H6" s="74" t="n">
        <v>15613784.44</v>
      </c>
      <c r="I6" s="74">
        <f>H6*0.25</f>
        <v/>
      </c>
      <c r="J6" s="67" t="n">
        <v>46142</v>
      </c>
      <c r="K6" s="68">
        <f>IFERROR(VLOOKUP(G6,Stage_Lookup!$A$2:$B$8,2,0),"")</f>
        <v/>
      </c>
      <c r="L6" s="69" t="n"/>
      <c r="M6" s="69" t="n"/>
      <c r="N6" s="67" t="n"/>
      <c r="O6" s="65" t="n"/>
      <c r="P6" s="65" t="n"/>
      <c r="Q6" s="106" t="n"/>
      <c r="R6" s="55" t="inlineStr">
        <is>
          <t>Resubmission</t>
        </is>
      </c>
      <c r="S6" s="56" t="n">
        <v>0.7</v>
      </c>
      <c r="T6">
        <f>IF(OR(G6="Closed Lost",G6="",NOT(ISNUMBER(H6))),"",H6)</f>
        <v/>
      </c>
    </row>
    <row r="7" ht="46.5" customHeight="1" s="96">
      <c r="A7" s="57" t="n">
        <v>5</v>
      </c>
      <c r="B7" s="70" t="inlineStr">
        <is>
          <t>Enterprise</t>
        </is>
      </c>
      <c r="C7" s="70" t="inlineStr">
        <is>
          <t>Home</t>
        </is>
      </c>
      <c r="D7" s="70" t="inlineStr">
        <is>
          <t>Shimz</t>
        </is>
      </c>
      <c r="E7" s="70" t="inlineStr">
        <is>
          <t>Work.Able</t>
        </is>
      </c>
      <c r="F7" s="71" t="n">
        <v>1039</v>
      </c>
      <c r="G7" s="70" t="inlineStr">
        <is>
          <t>Resubmission</t>
        </is>
      </c>
      <c r="H7" s="75" t="n">
        <v>47926008.39</v>
      </c>
      <c r="I7" s="75">
        <f>H7*0.2</f>
        <v/>
      </c>
      <c r="J7" s="72" t="n"/>
      <c r="K7" s="73">
        <f>IFERROR(VLOOKUP(G7,Stage_Lookup!$A$2:$B$8,2,0),"")</f>
        <v/>
      </c>
      <c r="L7" s="69" t="n"/>
      <c r="M7" s="69" t="n"/>
      <c r="N7" s="72" t="n"/>
      <c r="O7" s="70" t="n"/>
      <c r="P7" s="70" t="n"/>
      <c r="Q7" s="106" t="n"/>
      <c r="R7" s="55" t="inlineStr">
        <is>
          <t>Negotiation</t>
        </is>
      </c>
      <c r="S7" s="56" t="n">
        <v>0.9</v>
      </c>
      <c r="T7">
        <f>IF(OR(G7="Closed Lost",G7="",NOT(ISNUMBER(H7))),"",H7)</f>
        <v/>
      </c>
    </row>
    <row r="8" ht="46.5" customHeight="1" s="96">
      <c r="A8" s="64" t="n">
        <v>6</v>
      </c>
      <c r="B8" s="65" t="inlineStr">
        <is>
          <t>Enterprise</t>
        </is>
      </c>
      <c r="C8" s="65" t="inlineStr">
        <is>
          <t>Home</t>
        </is>
      </c>
      <c r="D8" s="65" t="inlineStr">
        <is>
          <t>Shimz</t>
        </is>
      </c>
      <c r="E8" s="65" t="inlineStr">
        <is>
          <t>Nura</t>
        </is>
      </c>
      <c r="F8" s="66" t="n">
        <v>997</v>
      </c>
      <c r="G8" s="65" t="inlineStr">
        <is>
          <t>Resubmission</t>
        </is>
      </c>
      <c r="H8" s="74">
        <f>28475105.12+32184258.84</f>
        <v/>
      </c>
      <c r="I8" s="74">
        <f>H8*0.2</f>
        <v/>
      </c>
      <c r="J8" s="67" t="n"/>
      <c r="K8" s="68">
        <f>IFERROR(VLOOKUP(G8,Stage_Lookup!$A$2:$B$8,2,0),"")</f>
        <v/>
      </c>
      <c r="L8" s="69" t="n"/>
      <c r="M8" s="69" t="n"/>
      <c r="N8" s="67" t="n"/>
      <c r="O8" s="65" t="n"/>
      <c r="P8" s="65" t="n"/>
      <c r="Q8" s="106" t="n"/>
      <c r="R8" s="55" t="inlineStr">
        <is>
          <t>Closed Won</t>
        </is>
      </c>
      <c r="S8" s="56" t="n">
        <v>1</v>
      </c>
      <c r="T8">
        <f>IF(OR(G8="Closed Lost",G8="",NOT(ISNUMBER(H8))),"",H8)</f>
        <v/>
      </c>
    </row>
    <row r="9" ht="46.5" customHeight="1" s="96">
      <c r="A9" s="57" t="n">
        <v>7</v>
      </c>
      <c r="B9" s="70" t="inlineStr">
        <is>
          <t>Enterprise</t>
        </is>
      </c>
      <c r="C9" s="70" t="inlineStr">
        <is>
          <t>Home</t>
        </is>
      </c>
      <c r="D9" s="70" t="inlineStr">
        <is>
          <t>Shimz</t>
        </is>
      </c>
      <c r="E9" s="70" t="inlineStr">
        <is>
          <t>FLT</t>
        </is>
      </c>
      <c r="F9" s="71" t="n"/>
      <c r="G9" s="70" t="inlineStr">
        <is>
          <t>Scoping</t>
        </is>
      </c>
      <c r="H9" s="75" t="n">
        <v>10000000</v>
      </c>
      <c r="I9" s="75">
        <f>H9*0.2</f>
        <v/>
      </c>
      <c r="J9" s="72" t="n"/>
      <c r="K9" s="73">
        <f>IFERROR(VLOOKUP(G9,Stage_Lookup!$A$2:$B$8,2,0),"")</f>
        <v/>
      </c>
      <c r="L9" s="69" t="n"/>
      <c r="M9" s="69" t="n"/>
      <c r="N9" s="72" t="n"/>
      <c r="O9" s="70" t="n"/>
      <c r="P9" s="70" t="n"/>
      <c r="Q9" s="106" t="n"/>
      <c r="R9" s="106" t="n"/>
      <c r="S9" s="106" t="n"/>
      <c r="T9">
        <f>IF(OR(G9="Closed Lost",G9="",NOT(ISNUMBER(H9))),"",H9)</f>
        <v/>
      </c>
    </row>
    <row r="10" ht="18" customHeight="1" s="96">
      <c r="A10" s="64" t="n">
        <v>8</v>
      </c>
      <c r="B10" s="65" t="inlineStr">
        <is>
          <t>Enterprise</t>
        </is>
      </c>
      <c r="C10" s="65" t="inlineStr">
        <is>
          <t>Home</t>
        </is>
      </c>
      <c r="D10" s="65" t="inlineStr">
        <is>
          <t>PCHCC CP10</t>
        </is>
      </c>
      <c r="E10" s="65" t="inlineStr">
        <is>
          <t xml:space="preserve">Electrical / Aux </t>
        </is>
      </c>
      <c r="F10" s="66" t="n">
        <v>45000</v>
      </c>
      <c r="G10" s="65" t="inlineStr">
        <is>
          <t>Closed Won</t>
        </is>
      </c>
      <c r="H10" s="74" t="inlineStr">
        <is>
          <t xml:space="preserve"> ₱238,868,273 </t>
        </is>
      </c>
      <c r="I10" s="74" t="n">
        <v>42996289.13</v>
      </c>
      <c r="J10" s="67" t="n">
        <v>46054</v>
      </c>
      <c r="K10" s="68">
        <f>IFERROR(VLOOKUP(G10,Stage_Lookup!$A$2:$B$8,2,0),"")</f>
        <v/>
      </c>
      <c r="L10" s="69" t="n"/>
      <c r="M10" s="69" t="n"/>
      <c r="N10" s="67" t="n"/>
      <c r="O10" s="65" t="n"/>
      <c r="P10" s="65" t="n"/>
      <c r="Q10" s="106" t="n"/>
      <c r="R10" s="106" t="n"/>
      <c r="S10" s="106" t="n"/>
      <c r="T10">
        <f>IF(OR(G10="Closed Lost",G10="",NOT(ISNUMBER(H10))),"",H10)</f>
        <v/>
      </c>
    </row>
    <row r="11" ht="18" customHeight="1" s="96">
      <c r="A11" s="57" t="n">
        <v>9</v>
      </c>
      <c r="B11" s="70" t="inlineStr">
        <is>
          <t>Enterprise</t>
        </is>
      </c>
      <c r="C11" s="70" t="inlineStr">
        <is>
          <t>Home</t>
        </is>
      </c>
      <c r="D11" s="70" t="inlineStr">
        <is>
          <t>CCT_Ivoclar</t>
        </is>
      </c>
      <c r="E11" s="70" t="inlineStr">
        <is>
          <t>Fit Out</t>
        </is>
      </c>
      <c r="F11" s="71" t="n"/>
      <c r="G11" s="70" t="inlineStr">
        <is>
          <t>Closed Won</t>
        </is>
      </c>
      <c r="H11" s="75" t="inlineStr">
        <is>
          <t xml:space="preserve"> ₱5,300,000 </t>
        </is>
      </c>
      <c r="I11" s="75" t="n">
        <v>1060000</v>
      </c>
      <c r="J11" s="72" t="n">
        <v>46071</v>
      </c>
      <c r="K11" s="73">
        <f>IFERROR(VLOOKUP(G11,Stage_Lookup!$A$2:$B$8,2,0),"")</f>
        <v/>
      </c>
      <c r="L11" s="69" t="n"/>
      <c r="M11" s="69" t="n"/>
      <c r="N11" s="72" t="n"/>
      <c r="O11" s="70" t="n"/>
      <c r="P11" s="70" t="n"/>
      <c r="Q11" s="106" t="n"/>
      <c r="R11" s="106" t="n"/>
      <c r="S11" s="106" t="n"/>
      <c r="T11">
        <f>IF(OR(G11="Closed Lost",G11="",NOT(ISNUMBER(H11))),"",H11)</f>
        <v/>
      </c>
    </row>
    <row r="12" ht="18" customHeight="1" s="96">
      <c r="A12" s="64" t="n">
        <v>10</v>
      </c>
      <c r="B12" s="65" t="inlineStr">
        <is>
          <t>Enterprise</t>
        </is>
      </c>
      <c r="C12" s="65" t="inlineStr">
        <is>
          <t>Home</t>
        </is>
      </c>
      <c r="D12" s="65" t="inlineStr">
        <is>
          <t>PCHCC CP12.A.2</t>
        </is>
      </c>
      <c r="E12" s="65" t="inlineStr">
        <is>
          <t>ICT_AV_Cabling</t>
        </is>
      </c>
      <c r="F12" s="66" t="n"/>
      <c r="G12" s="65" t="inlineStr">
        <is>
          <t>BOM Submission</t>
        </is>
      </c>
      <c r="H12" s="74" t="n">
        <v>671765762</v>
      </c>
      <c r="I12" s="74">
        <f>H12*34%</f>
        <v/>
      </c>
      <c r="J12" s="67" t="n">
        <v>46188</v>
      </c>
      <c r="K12" s="68">
        <f>IFERROR(VLOOKUP(G12,Stage_Lookup!$A$2:$B$8,2,0),"")</f>
        <v/>
      </c>
      <c r="L12" s="69" t="n"/>
      <c r="M12" s="69" t="n"/>
      <c r="N12" s="67" t="n"/>
      <c r="O12" s="65" t="n"/>
      <c r="P12" s="65" t="n"/>
      <c r="Q12" s="92" t="n"/>
      <c r="R12" s="106" t="n"/>
      <c r="S12" s="106" t="n"/>
      <c r="T12">
        <f>IF(OR(G12="Closed Lost",G12="",NOT(ISNUMBER(H12))),"",H12)</f>
        <v/>
      </c>
    </row>
    <row r="13" ht="18" customHeight="1" s="96">
      <c r="A13" s="57" t="n">
        <v>11</v>
      </c>
      <c r="B13" s="70" t="inlineStr">
        <is>
          <t>Enterprise</t>
        </is>
      </c>
      <c r="C13" s="70" t="inlineStr">
        <is>
          <t>Home</t>
        </is>
      </c>
      <c r="D13" s="70" t="inlineStr">
        <is>
          <t>PCHCC CP12.B</t>
        </is>
      </c>
      <c r="E13" s="70" t="inlineStr">
        <is>
          <t>Joineries</t>
        </is>
      </c>
      <c r="F13" s="71" t="n"/>
      <c r="G13" s="70" t="inlineStr">
        <is>
          <t>BOM Submission</t>
        </is>
      </c>
      <c r="H13" s="75" t="n">
        <v>133169354</v>
      </c>
      <c r="I13" s="75">
        <f>H13*23%</f>
        <v/>
      </c>
      <c r="J13" s="72" t="n">
        <v>46249</v>
      </c>
      <c r="K13" s="73">
        <f>IFERROR(VLOOKUP(G13,Stage_Lookup!$A$2:$B$8,2,0),"")</f>
        <v/>
      </c>
      <c r="L13" s="69" t="n"/>
      <c r="M13" s="69" t="n"/>
      <c r="N13" s="72" t="n"/>
      <c r="O13" s="70" t="n"/>
      <c r="P13" s="70" t="n"/>
      <c r="Q13" s="106" t="n"/>
      <c r="R13" s="106" t="n"/>
      <c r="S13" s="106" t="n"/>
      <c r="T13">
        <f>IF(OR(G13="Closed Lost",G13="",NOT(ISNUMBER(H13))),"",H13)</f>
        <v/>
      </c>
    </row>
    <row r="14" ht="18" customHeight="1" s="96">
      <c r="A14" s="64" t="n">
        <v>12</v>
      </c>
      <c r="B14" s="65" t="inlineStr">
        <is>
          <t>Enterprise</t>
        </is>
      </c>
      <c r="C14" s="65" t="inlineStr">
        <is>
          <t>Home</t>
        </is>
      </c>
      <c r="D14" s="65" t="inlineStr">
        <is>
          <t>PCHCC CP25</t>
        </is>
      </c>
      <c r="E14" s="65" t="inlineStr">
        <is>
          <t>Sytem Furniture</t>
        </is>
      </c>
      <c r="F14" s="66" t="n"/>
      <c r="G14" s="65" t="inlineStr">
        <is>
          <t>BOM Submission</t>
        </is>
      </c>
      <c r="H14" s="74" t="n">
        <v>185016573</v>
      </c>
      <c r="I14" s="74">
        <f>H14*23%</f>
        <v/>
      </c>
      <c r="J14" s="67" t="n">
        <v>46219</v>
      </c>
      <c r="K14" s="68">
        <f>IFERROR(VLOOKUP(G14,Stage_Lookup!$A$2:$B$8,2,0),"")</f>
        <v/>
      </c>
      <c r="L14" s="69" t="n"/>
      <c r="M14" s="69" t="n"/>
      <c r="N14" s="67" t="n"/>
      <c r="O14" s="65" t="n"/>
      <c r="P14" s="65" t="n"/>
      <c r="Q14" s="106" t="n"/>
      <c r="R14" s="106" t="n"/>
      <c r="S14" s="106" t="n"/>
      <c r="T14">
        <f>IF(OR(G14="Closed Lost",G14="",NOT(ISNUMBER(H14))),"",H14)</f>
        <v/>
      </c>
    </row>
    <row r="15" ht="18" customHeight="1" s="96">
      <c r="A15" s="57" t="n">
        <v>13</v>
      </c>
      <c r="B15" s="70" t="n"/>
      <c r="C15" s="70" t="n"/>
      <c r="D15" s="70" t="n"/>
      <c r="E15" s="70" t="n"/>
      <c r="F15" s="71" t="n"/>
      <c r="G15" s="70" t="n"/>
      <c r="H15" s="75" t="n"/>
      <c r="I15" s="75" t="n"/>
      <c r="J15" s="72" t="n"/>
      <c r="K15" s="73">
        <f>IFERROR(VLOOKUP(G15,Stage_Lookup!$A$2:$B$8,2,0),"")</f>
        <v/>
      </c>
      <c r="L15" s="69" t="n"/>
      <c r="M15" s="69" t="n"/>
      <c r="N15" s="72" t="n"/>
      <c r="O15" s="70" t="n"/>
      <c r="P15" s="70" t="n"/>
      <c r="Q15" s="106" t="n"/>
      <c r="R15" s="106" t="n"/>
      <c r="S15" s="106" t="n"/>
      <c r="T15">
        <f>IF(OR(G15="Closed Lost",G15="",NOT(ISNUMBER(H15))),"",H15)</f>
        <v/>
      </c>
    </row>
    <row r="16" ht="18" customHeight="1" s="96">
      <c r="A16" s="64" t="n">
        <v>14</v>
      </c>
      <c r="B16" s="65" t="n"/>
      <c r="C16" s="65" t="n"/>
      <c r="D16" s="65" t="n"/>
      <c r="E16" s="65" t="n"/>
      <c r="F16" s="66" t="n"/>
      <c r="G16" s="65" t="n"/>
      <c r="H16" s="74" t="n"/>
      <c r="I16" s="74" t="n"/>
      <c r="J16" s="67" t="n"/>
      <c r="K16" s="68">
        <f>IFERROR(VLOOKUP(G16,Stage_Lookup!$A$2:$B$8,2,0),"")</f>
        <v/>
      </c>
      <c r="L16" s="69" t="n"/>
      <c r="M16" s="69" t="n"/>
      <c r="N16" s="67" t="n"/>
      <c r="O16" s="65" t="n"/>
      <c r="P16" s="65" t="n"/>
      <c r="Q16" s="106" t="n"/>
      <c r="R16" s="106" t="n"/>
      <c r="S16" s="106" t="n"/>
      <c r="T16">
        <f>IF(OR(G16="Closed Lost",G16="",NOT(ISNUMBER(H16))),"",H16)</f>
        <v/>
      </c>
    </row>
    <row r="17" ht="18" customHeight="1" s="96">
      <c r="A17" s="57" t="n">
        <v>15</v>
      </c>
      <c r="B17" s="70" t="n"/>
      <c r="C17" s="70" t="n"/>
      <c r="D17" s="70" t="n"/>
      <c r="E17" s="70" t="n"/>
      <c r="F17" s="71" t="n"/>
      <c r="G17" s="70" t="n"/>
      <c r="H17" s="75" t="n"/>
      <c r="I17" s="75" t="n"/>
      <c r="J17" s="72" t="n"/>
      <c r="K17" s="73">
        <f>IFERROR(VLOOKUP(G17,Stage_Lookup!$A$2:$B$8,2,0),"")</f>
        <v/>
      </c>
      <c r="L17" s="69" t="n"/>
      <c r="M17" s="69" t="n"/>
      <c r="N17" s="72" t="n"/>
      <c r="O17" s="70" t="n"/>
      <c r="P17" s="70" t="n"/>
      <c r="Q17" s="106" t="n"/>
      <c r="R17" s="106" t="n"/>
      <c r="S17" s="106" t="n"/>
      <c r="T17">
        <f>IF(OR(G17="Closed Lost",G17="",NOT(ISNUMBER(H17))),"",H17)</f>
        <v/>
      </c>
    </row>
    <row r="18" ht="18" customHeight="1" s="96">
      <c r="A18" s="64" t="n">
        <v>16</v>
      </c>
      <c r="B18" s="65" t="n"/>
      <c r="C18" s="65" t="n"/>
      <c r="D18" s="65" t="n"/>
      <c r="E18" s="65" t="n"/>
      <c r="F18" s="66" t="n"/>
      <c r="G18" s="65" t="n"/>
      <c r="H18" s="74" t="n"/>
      <c r="I18" s="74" t="n"/>
      <c r="J18" s="67" t="n"/>
      <c r="K18" s="68">
        <f>IFERROR(VLOOKUP(G18,Stage_Lookup!$A$2:$B$8,2,0),"")</f>
        <v/>
      </c>
      <c r="L18" s="69" t="n"/>
      <c r="M18" s="69" t="n"/>
      <c r="N18" s="67" t="n"/>
      <c r="O18" s="65" t="n"/>
      <c r="P18" s="65" t="n"/>
      <c r="Q18" s="106" t="n"/>
      <c r="R18" s="106" t="n"/>
      <c r="S18" s="106" t="n"/>
      <c r="T18">
        <f>IF(OR(G18="Closed Lost",G18="",NOT(ISNUMBER(H18))),"",H18)</f>
        <v/>
      </c>
    </row>
    <row r="19" ht="18" customHeight="1" s="96">
      <c r="A19" s="57" t="n">
        <v>17</v>
      </c>
      <c r="B19" s="70" t="n"/>
      <c r="C19" s="70" t="n"/>
      <c r="D19" s="70" t="n"/>
      <c r="E19" s="70" t="n"/>
      <c r="F19" s="71" t="n"/>
      <c r="G19" s="70" t="n"/>
      <c r="H19" s="75" t="n"/>
      <c r="I19" s="75" t="n"/>
      <c r="J19" s="72" t="n"/>
      <c r="K19" s="73">
        <f>IFERROR(VLOOKUP(G19,Stage_Lookup!$A$2:$B$8,2,0),"")</f>
        <v/>
      </c>
      <c r="L19" s="69" t="n"/>
      <c r="M19" s="69" t="n"/>
      <c r="N19" s="72" t="n"/>
      <c r="O19" s="70" t="n"/>
      <c r="P19" s="70" t="n"/>
      <c r="Q19" s="106" t="n"/>
      <c r="R19" s="106" t="n"/>
      <c r="S19" s="106" t="n"/>
      <c r="T19">
        <f>IF(OR(G19="Closed Lost",G19="",NOT(ISNUMBER(H19))),"",H19)</f>
        <v/>
      </c>
    </row>
    <row r="20" ht="18" customHeight="1" s="96">
      <c r="A20" s="64" t="n">
        <v>18</v>
      </c>
      <c r="B20" s="65" t="n"/>
      <c r="C20" s="65" t="n"/>
      <c r="D20" s="65" t="n"/>
      <c r="E20" s="65" t="n"/>
      <c r="F20" s="66" t="n"/>
      <c r="G20" s="65" t="n"/>
      <c r="H20" s="74" t="n"/>
      <c r="I20" s="74" t="n"/>
      <c r="J20" s="67" t="n"/>
      <c r="K20" s="68">
        <f>IFERROR(VLOOKUP(G20,Stage_Lookup!$A$2:$B$8,2,0),"")</f>
        <v/>
      </c>
      <c r="L20" s="69" t="n"/>
      <c r="M20" s="69" t="n"/>
      <c r="N20" s="67" t="n"/>
      <c r="O20" s="65" t="n"/>
      <c r="P20" s="65" t="n"/>
      <c r="Q20" s="106" t="n"/>
      <c r="R20" s="106" t="n"/>
      <c r="S20" s="106" t="n"/>
      <c r="T20">
        <f>IF(OR(G20="Closed Lost",G20="",NOT(ISNUMBER(H20))),"",H20)</f>
        <v/>
      </c>
    </row>
    <row r="21" ht="18" customHeight="1" s="96">
      <c r="A21" s="57" t="n">
        <v>19</v>
      </c>
      <c r="B21" s="70" t="n"/>
      <c r="C21" s="70" t="n"/>
      <c r="D21" s="70" t="n"/>
      <c r="E21" s="70" t="n"/>
      <c r="F21" s="71" t="n"/>
      <c r="G21" s="70" t="n"/>
      <c r="H21" s="75" t="n"/>
      <c r="I21" s="75" t="n"/>
      <c r="J21" s="72" t="n"/>
      <c r="K21" s="73">
        <f>IFERROR(VLOOKUP(G21,Stage_Lookup!$A$2:$B$8,2,0),"")</f>
        <v/>
      </c>
      <c r="L21" s="69" t="n"/>
      <c r="M21" s="69" t="n"/>
      <c r="N21" s="72" t="n"/>
      <c r="O21" s="70" t="n"/>
      <c r="P21" s="70" t="n"/>
      <c r="Q21" s="106" t="n"/>
      <c r="R21" s="106" t="n"/>
      <c r="S21" s="106" t="n"/>
      <c r="T21">
        <f>IF(OR(G21="Closed Lost",G21="",NOT(ISNUMBER(H21))),"",H21)</f>
        <v/>
      </c>
    </row>
    <row r="22" ht="18" customHeight="1" s="96">
      <c r="A22" s="64" t="n">
        <v>20</v>
      </c>
      <c r="B22" s="65" t="n"/>
      <c r="C22" s="65" t="n"/>
      <c r="D22" s="65" t="n"/>
      <c r="E22" s="65" t="n"/>
      <c r="F22" s="66" t="n"/>
      <c r="G22" s="65" t="n"/>
      <c r="H22" s="74" t="n"/>
      <c r="I22" s="74" t="n"/>
      <c r="J22" s="67" t="n"/>
      <c r="K22" s="68">
        <f>IFERROR(VLOOKUP(G22,Stage_Lookup!$A$2:$B$8,2,0),"")</f>
        <v/>
      </c>
      <c r="L22" s="69" t="n"/>
      <c r="M22" s="69" t="n"/>
      <c r="N22" s="67" t="n"/>
      <c r="O22" s="65" t="n"/>
      <c r="P22" s="65" t="n"/>
      <c r="Q22" s="106" t="n"/>
      <c r="R22" s="106" t="n"/>
      <c r="S22" s="106" t="n"/>
      <c r="T22">
        <f>IF(OR(G22="Closed Lost",G22="",NOT(ISNUMBER(H22))),"",H22)</f>
        <v/>
      </c>
    </row>
    <row r="23" ht="18" customHeight="1" s="96">
      <c r="A23" s="57" t="n">
        <v>21</v>
      </c>
      <c r="B23" s="70" t="n"/>
      <c r="C23" s="70" t="n"/>
      <c r="D23" s="70" t="n"/>
      <c r="E23" s="70" t="n"/>
      <c r="F23" s="71" t="n"/>
      <c r="G23" s="70" t="n"/>
      <c r="H23" s="75" t="n"/>
      <c r="I23" s="75" t="n"/>
      <c r="J23" s="72" t="n"/>
      <c r="K23" s="73">
        <f>IFERROR(VLOOKUP(G23,Stage_Lookup!$A$2:$B$8,2,0),"")</f>
        <v/>
      </c>
      <c r="L23" s="69" t="n"/>
      <c r="M23" s="69" t="n"/>
      <c r="N23" s="72" t="n"/>
      <c r="O23" s="70" t="n"/>
      <c r="P23" s="70" t="n"/>
      <c r="Q23" s="106" t="n"/>
      <c r="R23" s="106" t="n"/>
      <c r="S23" s="106" t="n"/>
      <c r="T23">
        <f>IF(OR(G23="Closed Lost",G23="",NOT(ISNUMBER(H23))),"",H23)</f>
        <v/>
      </c>
    </row>
    <row r="24" ht="18" customHeight="1" s="96">
      <c r="A24" s="64" t="n">
        <v>22</v>
      </c>
      <c r="B24" s="65" t="n"/>
      <c r="C24" s="65" t="n"/>
      <c r="D24" s="65" t="n"/>
      <c r="E24" s="65" t="n"/>
      <c r="F24" s="66" t="n"/>
      <c r="G24" s="65" t="n"/>
      <c r="H24" s="74" t="n"/>
      <c r="I24" s="74" t="n"/>
      <c r="J24" s="67" t="n"/>
      <c r="K24" s="68">
        <f>IFERROR(VLOOKUP(G24,Stage_Lookup!$A$2:$B$8,2,0),"")</f>
        <v/>
      </c>
      <c r="L24" s="69" t="n"/>
      <c r="M24" s="69" t="n"/>
      <c r="N24" s="67" t="n"/>
      <c r="O24" s="65" t="n"/>
      <c r="P24" s="65" t="n"/>
      <c r="Q24" s="106" t="n"/>
      <c r="R24" s="106" t="n"/>
      <c r="S24" s="106" t="n"/>
      <c r="T24">
        <f>IF(OR(G24="Closed Lost",G24="",NOT(ISNUMBER(H24))),"",H24)</f>
        <v/>
      </c>
    </row>
    <row r="25" ht="18" customHeight="1" s="96">
      <c r="A25" s="57" t="n">
        <v>23</v>
      </c>
      <c r="B25" s="70" t="n"/>
      <c r="C25" s="70" t="n"/>
      <c r="D25" s="70" t="n"/>
      <c r="E25" s="70" t="n"/>
      <c r="F25" s="71" t="n"/>
      <c r="G25" s="70" t="n"/>
      <c r="H25" s="75" t="n"/>
      <c r="I25" s="75" t="n"/>
      <c r="J25" s="72" t="n"/>
      <c r="K25" s="73">
        <f>IFERROR(VLOOKUP(G25,Stage_Lookup!$A$2:$B$8,2,0),"")</f>
        <v/>
      </c>
      <c r="L25" s="69" t="n"/>
      <c r="M25" s="69" t="n"/>
      <c r="N25" s="72" t="n"/>
      <c r="O25" s="70" t="n"/>
      <c r="P25" s="70" t="n"/>
      <c r="Q25" s="106" t="n"/>
      <c r="R25" s="106" t="n"/>
      <c r="S25" s="106" t="n"/>
      <c r="T25">
        <f>IF(OR(G25="Closed Lost",G25="",NOT(ISNUMBER(H25))),"",H25)</f>
        <v/>
      </c>
    </row>
    <row r="26" ht="18" customHeight="1" s="96">
      <c r="A26" s="64" t="n">
        <v>24</v>
      </c>
      <c r="B26" s="65" t="n"/>
      <c r="C26" s="65" t="n"/>
      <c r="D26" s="65" t="n"/>
      <c r="E26" s="65" t="n"/>
      <c r="F26" s="66" t="n"/>
      <c r="G26" s="65" t="n"/>
      <c r="H26" s="74" t="n"/>
      <c r="I26" s="74" t="n"/>
      <c r="J26" s="67" t="n"/>
      <c r="K26" s="68">
        <f>IFERROR(VLOOKUP(G26,Stage_Lookup!$A$2:$B$8,2,0),"")</f>
        <v/>
      </c>
      <c r="L26" s="69" t="n"/>
      <c r="M26" s="69" t="n"/>
      <c r="N26" s="67" t="n"/>
      <c r="O26" s="65" t="n"/>
      <c r="P26" s="65" t="n"/>
      <c r="Q26" s="106" t="n"/>
      <c r="R26" s="106" t="n"/>
      <c r="S26" s="106" t="n"/>
      <c r="T26">
        <f>IF(OR(G26="Closed Lost",G26="",NOT(ISNUMBER(H26))),"",H26)</f>
        <v/>
      </c>
    </row>
    <row r="27" ht="18" customHeight="1" s="96">
      <c r="A27" s="57" t="n">
        <v>25</v>
      </c>
      <c r="B27" s="70" t="n"/>
      <c r="C27" s="70" t="n"/>
      <c r="D27" s="70" t="n"/>
      <c r="E27" s="70" t="n"/>
      <c r="F27" s="71" t="n"/>
      <c r="G27" s="70" t="n"/>
      <c r="H27" s="75" t="n"/>
      <c r="I27" s="75" t="n"/>
      <c r="J27" s="72" t="n"/>
      <c r="K27" s="73">
        <f>IFERROR(VLOOKUP(G27,Stage_Lookup!$A$2:$B$8,2,0),"")</f>
        <v/>
      </c>
      <c r="L27" s="69" t="n"/>
      <c r="M27" s="69" t="n"/>
      <c r="N27" s="72" t="n"/>
      <c r="O27" s="70" t="n"/>
      <c r="P27" s="70" t="n"/>
      <c r="Q27" s="106" t="n"/>
      <c r="R27" s="106" t="n"/>
      <c r="S27" s="106" t="n"/>
      <c r="T27">
        <f>IF(OR(G27="Closed Lost",G27="",NOT(ISNUMBER(H27))),"",H27)</f>
        <v/>
      </c>
    </row>
    <row r="28" ht="18" customHeight="1" s="96">
      <c r="A28" s="64" t="n">
        <v>26</v>
      </c>
      <c r="B28" s="65" t="n"/>
      <c r="C28" s="65" t="n"/>
      <c r="D28" s="65" t="n"/>
      <c r="E28" s="65" t="n"/>
      <c r="F28" s="66" t="n"/>
      <c r="G28" s="65" t="n"/>
      <c r="H28" s="74" t="n"/>
      <c r="I28" s="74" t="n"/>
      <c r="J28" s="67" t="n"/>
      <c r="K28" s="68">
        <f>IFERROR(VLOOKUP(G28,Stage_Lookup!$A$2:$B$8,2,0),"")</f>
        <v/>
      </c>
      <c r="L28" s="69" t="n"/>
      <c r="M28" s="69" t="n"/>
      <c r="N28" s="67" t="n"/>
      <c r="O28" s="65" t="n"/>
      <c r="P28" s="65" t="n"/>
      <c r="Q28" s="106" t="n"/>
      <c r="R28" s="106" t="n"/>
      <c r="S28" s="106" t="n"/>
      <c r="T28">
        <f>IF(OR(G28="Closed Lost",G28="",NOT(ISNUMBER(H28))),"",H28)</f>
        <v/>
      </c>
    </row>
    <row r="29" ht="18" customHeight="1" s="96">
      <c r="A29" s="57" t="n">
        <v>27</v>
      </c>
      <c r="B29" s="70" t="n"/>
      <c r="C29" s="70" t="n"/>
      <c r="D29" s="70" t="n"/>
      <c r="E29" s="70" t="n"/>
      <c r="F29" s="71" t="n"/>
      <c r="G29" s="70" t="n"/>
      <c r="H29" s="75" t="n"/>
      <c r="I29" s="75" t="n"/>
      <c r="J29" s="72" t="n"/>
      <c r="K29" s="73">
        <f>IFERROR(VLOOKUP(G29,Stage_Lookup!$A$2:$B$8,2,0),"")</f>
        <v/>
      </c>
      <c r="L29" s="69" t="n"/>
      <c r="M29" s="69" t="n"/>
      <c r="N29" s="72" t="n"/>
      <c r="O29" s="70" t="n"/>
      <c r="P29" s="70" t="n"/>
      <c r="Q29" s="106" t="n"/>
      <c r="R29" s="106" t="n"/>
      <c r="S29" s="106" t="n"/>
      <c r="T29">
        <f>IF(OR(G29="Closed Lost",G29="",NOT(ISNUMBER(H29))),"",H29)</f>
        <v/>
      </c>
    </row>
    <row r="30" ht="18" customHeight="1" s="96">
      <c r="A30" s="64" t="n">
        <v>28</v>
      </c>
      <c r="B30" s="65" t="n"/>
      <c r="C30" s="65" t="n"/>
      <c r="D30" s="65" t="n"/>
      <c r="E30" s="65" t="n"/>
      <c r="F30" s="66" t="n"/>
      <c r="G30" s="65" t="n"/>
      <c r="H30" s="74" t="n"/>
      <c r="I30" s="74" t="n"/>
      <c r="J30" s="67" t="n"/>
      <c r="K30" s="68">
        <f>IFERROR(VLOOKUP(G30,Stage_Lookup!$A$2:$B$8,2,0),"")</f>
        <v/>
      </c>
      <c r="L30" s="69" t="n"/>
      <c r="M30" s="69" t="n"/>
      <c r="N30" s="67" t="n"/>
      <c r="O30" s="65" t="n"/>
      <c r="P30" s="65" t="n"/>
      <c r="Q30" s="106" t="n"/>
      <c r="R30" s="106" t="n"/>
      <c r="S30" s="106" t="n"/>
      <c r="T30">
        <f>IF(OR(G30="Closed Lost",G30="",NOT(ISNUMBER(H30))),"",H30)</f>
        <v/>
      </c>
    </row>
    <row r="31" ht="18" customHeight="1" s="96">
      <c r="A31" s="57" t="n">
        <v>29</v>
      </c>
      <c r="B31" s="70" t="n"/>
      <c r="C31" s="70" t="n"/>
      <c r="D31" s="70" t="n"/>
      <c r="E31" s="70" t="n"/>
      <c r="F31" s="71" t="n"/>
      <c r="G31" s="70" t="n"/>
      <c r="H31" s="75" t="n"/>
      <c r="I31" s="75" t="n"/>
      <c r="J31" s="72" t="n"/>
      <c r="K31" s="73">
        <f>IFERROR(VLOOKUP(G31,Stage_Lookup!$A$2:$B$8,2,0),"")</f>
        <v/>
      </c>
      <c r="L31" s="69" t="n"/>
      <c r="M31" s="69" t="n"/>
      <c r="N31" s="72" t="n"/>
      <c r="O31" s="70" t="n"/>
      <c r="P31" s="70" t="n"/>
      <c r="Q31" s="106" t="n"/>
      <c r="R31" s="106" t="n"/>
      <c r="S31" s="106" t="n"/>
      <c r="T31">
        <f>IF(OR(G31="Closed Lost",G31="",NOT(ISNUMBER(H31))),"",H31)</f>
        <v/>
      </c>
    </row>
    <row r="32" ht="18" customHeight="1" s="96">
      <c r="A32" s="64" t="n">
        <v>30</v>
      </c>
      <c r="B32" s="65" t="n"/>
      <c r="C32" s="65" t="n"/>
      <c r="D32" s="65" t="n"/>
      <c r="E32" s="65" t="n"/>
      <c r="F32" s="66" t="n"/>
      <c r="G32" s="65" t="n"/>
      <c r="H32" s="74" t="n"/>
      <c r="I32" s="74" t="n"/>
      <c r="J32" s="67" t="n"/>
      <c r="K32" s="68">
        <f>IFERROR(VLOOKUP(G32,Stage_Lookup!$A$2:$B$8,2,0),"")</f>
        <v/>
      </c>
      <c r="L32" s="69" t="n"/>
      <c r="M32" s="69" t="n"/>
      <c r="N32" s="67" t="n"/>
      <c r="O32" s="65" t="n"/>
      <c r="P32" s="65" t="n"/>
      <c r="Q32" s="106" t="n"/>
      <c r="R32" s="106" t="n"/>
      <c r="S32" s="106" t="n"/>
      <c r="T32">
        <f>IF(OR(G32="Closed Lost",G32="",NOT(ISNUMBER(H32))),"",H32)</f>
        <v/>
      </c>
    </row>
    <row r="33" ht="18" customHeight="1" s="96">
      <c r="A33" s="57" t="n">
        <v>31</v>
      </c>
      <c r="B33" s="70" t="n"/>
      <c r="C33" s="70" t="n"/>
      <c r="D33" s="70" t="n"/>
      <c r="E33" s="70" t="n"/>
      <c r="F33" s="71" t="n"/>
      <c r="G33" s="70" t="n"/>
      <c r="H33" s="75" t="n"/>
      <c r="I33" s="75" t="n"/>
      <c r="J33" s="72" t="n"/>
      <c r="K33" s="73">
        <f>IFERROR(VLOOKUP(G33,Stage_Lookup!$A$2:$B$8,2,0),"")</f>
        <v/>
      </c>
      <c r="L33" s="69" t="n"/>
      <c r="M33" s="69" t="n"/>
      <c r="N33" s="72" t="n"/>
      <c r="O33" s="70" t="n"/>
      <c r="P33" s="70" t="n"/>
      <c r="Q33" s="106" t="n"/>
      <c r="R33" s="106" t="n"/>
      <c r="S33" s="106" t="n"/>
      <c r="T33">
        <f>IF(OR(G33="Closed Lost",G33="",NOT(ISNUMBER(H33))),"",H33)</f>
        <v/>
      </c>
    </row>
    <row r="34" ht="18" customHeight="1" s="96">
      <c r="A34" s="64" t="n">
        <v>32</v>
      </c>
      <c r="B34" s="65" t="n"/>
      <c r="C34" s="65" t="n"/>
      <c r="D34" s="65" t="n"/>
      <c r="E34" s="65" t="n"/>
      <c r="F34" s="66" t="n"/>
      <c r="G34" s="65" t="n"/>
      <c r="H34" s="74" t="n"/>
      <c r="I34" s="74" t="n"/>
      <c r="J34" s="67" t="n"/>
      <c r="K34" s="68">
        <f>IFERROR(VLOOKUP(G34,Stage_Lookup!$A$2:$B$8,2,0),"")</f>
        <v/>
      </c>
      <c r="L34" s="69" t="n"/>
      <c r="M34" s="69" t="n"/>
      <c r="N34" s="67" t="n"/>
      <c r="O34" s="65" t="n"/>
      <c r="P34" s="65" t="n"/>
      <c r="Q34" s="106" t="n"/>
      <c r="R34" s="106" t="n"/>
      <c r="S34" s="106" t="n"/>
      <c r="T34">
        <f>IF(OR(G34="Closed Lost",G34="",NOT(ISNUMBER(H34))),"",H34)</f>
        <v/>
      </c>
    </row>
    <row r="35" ht="18" customHeight="1" s="96">
      <c r="A35" s="57" t="n">
        <v>33</v>
      </c>
      <c r="B35" s="70" t="n"/>
      <c r="C35" s="70" t="n"/>
      <c r="D35" s="70" t="n"/>
      <c r="E35" s="70" t="n"/>
      <c r="F35" s="71" t="n"/>
      <c r="G35" s="70" t="n"/>
      <c r="H35" s="75" t="n"/>
      <c r="I35" s="75" t="n"/>
      <c r="J35" s="72" t="n"/>
      <c r="K35" s="73">
        <f>IFERROR(VLOOKUP(G35,Stage_Lookup!$A$2:$B$8,2,0),"")</f>
        <v/>
      </c>
      <c r="L35" s="69" t="n"/>
      <c r="M35" s="69" t="n"/>
      <c r="N35" s="72" t="n"/>
      <c r="O35" s="70" t="n"/>
      <c r="P35" s="70" t="n"/>
      <c r="Q35" s="106" t="n"/>
      <c r="R35" s="106" t="n"/>
      <c r="S35" s="106" t="n"/>
      <c r="T35">
        <f>IF(OR(G35="Closed Lost",G35="",NOT(ISNUMBER(H35))),"",H35)</f>
        <v/>
      </c>
    </row>
    <row r="36" ht="18" customHeight="1" s="96">
      <c r="A36" s="64" t="n">
        <v>34</v>
      </c>
      <c r="B36" s="65" t="n"/>
      <c r="C36" s="65" t="n"/>
      <c r="D36" s="65" t="n"/>
      <c r="E36" s="65" t="n"/>
      <c r="F36" s="66" t="n"/>
      <c r="G36" s="65" t="n"/>
      <c r="H36" s="74" t="n"/>
      <c r="I36" s="74" t="n"/>
      <c r="J36" s="67" t="n"/>
      <c r="K36" s="68">
        <f>IFERROR(VLOOKUP(G36,Stage_Lookup!$A$2:$B$8,2,0),"")</f>
        <v/>
      </c>
      <c r="L36" s="69" t="n"/>
      <c r="M36" s="69" t="n"/>
      <c r="N36" s="67" t="n"/>
      <c r="O36" s="65" t="n"/>
      <c r="P36" s="65" t="n"/>
      <c r="Q36" s="106" t="n"/>
      <c r="R36" s="106" t="n"/>
      <c r="S36" s="106" t="n"/>
      <c r="T36">
        <f>IF(OR(G36="Closed Lost",G36="",NOT(ISNUMBER(H36))),"",H36)</f>
        <v/>
      </c>
    </row>
    <row r="37" ht="18" customHeight="1" s="96">
      <c r="A37" s="57" t="n">
        <v>35</v>
      </c>
      <c r="B37" s="70" t="n"/>
      <c r="C37" s="70" t="n"/>
      <c r="D37" s="70" t="n"/>
      <c r="E37" s="70" t="n"/>
      <c r="F37" s="71" t="n"/>
      <c r="G37" s="70" t="n"/>
      <c r="H37" s="75" t="n"/>
      <c r="I37" s="75" t="n"/>
      <c r="J37" s="72" t="n"/>
      <c r="K37" s="73">
        <f>IFERROR(VLOOKUP(G37,Stage_Lookup!$A$2:$B$8,2,0),"")</f>
        <v/>
      </c>
      <c r="L37" s="69" t="n"/>
      <c r="M37" s="69" t="n"/>
      <c r="N37" s="72" t="n"/>
      <c r="O37" s="70" t="n"/>
      <c r="P37" s="70" t="n"/>
      <c r="Q37" s="106" t="n"/>
      <c r="R37" s="106" t="n"/>
      <c r="S37" s="106" t="n"/>
      <c r="T37">
        <f>IF(OR(G37="Closed Lost",G37="",NOT(ISNUMBER(H37))),"",H37)</f>
        <v/>
      </c>
    </row>
    <row r="38" ht="18" customHeight="1" s="96">
      <c r="A38" s="64" t="n">
        <v>36</v>
      </c>
      <c r="B38" s="65" t="n"/>
      <c r="C38" s="65" t="n"/>
      <c r="D38" s="65" t="n"/>
      <c r="E38" s="65" t="n"/>
      <c r="F38" s="66" t="n"/>
      <c r="G38" s="65" t="n"/>
      <c r="H38" s="74" t="n"/>
      <c r="I38" s="74" t="n"/>
      <c r="J38" s="67" t="n"/>
      <c r="K38" s="68">
        <f>IFERROR(VLOOKUP(G38,Stage_Lookup!$A$2:$B$8,2,0),"")</f>
        <v/>
      </c>
      <c r="L38" s="69" t="n"/>
      <c r="M38" s="69" t="n"/>
      <c r="N38" s="67" t="n"/>
      <c r="O38" s="65" t="n"/>
      <c r="P38" s="65" t="n"/>
      <c r="Q38" s="106" t="n"/>
      <c r="R38" s="106" t="n"/>
      <c r="S38" s="106" t="n"/>
      <c r="T38">
        <f>IF(OR(G38="Closed Lost",G38="",NOT(ISNUMBER(H38))),"",H38)</f>
        <v/>
      </c>
    </row>
    <row r="39" ht="18" customHeight="1" s="96">
      <c r="A39" s="57" t="n">
        <v>37</v>
      </c>
      <c r="B39" s="70" t="n"/>
      <c r="C39" s="70" t="n"/>
      <c r="D39" s="70" t="n"/>
      <c r="E39" s="70" t="n"/>
      <c r="F39" s="71" t="n"/>
      <c r="G39" s="70" t="n"/>
      <c r="H39" s="75" t="n"/>
      <c r="I39" s="75" t="n"/>
      <c r="J39" s="72" t="n"/>
      <c r="K39" s="73">
        <f>IFERROR(VLOOKUP(G39,Stage_Lookup!$A$2:$B$8,2,0),"")</f>
        <v/>
      </c>
      <c r="L39" s="69" t="n"/>
      <c r="M39" s="69" t="n"/>
      <c r="N39" s="72" t="n"/>
      <c r="O39" s="70" t="n"/>
      <c r="P39" s="70" t="n"/>
      <c r="Q39" s="106" t="n"/>
      <c r="R39" s="106" t="n"/>
      <c r="S39" s="106" t="n"/>
      <c r="T39">
        <f>IF(OR(G39="Closed Lost",G39="",NOT(ISNUMBER(H39))),"",H39)</f>
        <v/>
      </c>
    </row>
    <row r="40" ht="18" customHeight="1" s="96">
      <c r="A40" s="64" t="n">
        <v>38</v>
      </c>
      <c r="B40" s="65" t="n"/>
      <c r="C40" s="65" t="n"/>
      <c r="D40" s="65" t="n"/>
      <c r="E40" s="65" t="n"/>
      <c r="F40" s="66" t="n"/>
      <c r="G40" s="65" t="n"/>
      <c r="H40" s="74" t="n"/>
      <c r="I40" s="74" t="n"/>
      <c r="J40" s="67" t="n"/>
      <c r="K40" s="68">
        <f>IFERROR(VLOOKUP(G40,Stage_Lookup!$A$2:$B$8,2,0),"")</f>
        <v/>
      </c>
      <c r="L40" s="69" t="n"/>
      <c r="M40" s="69" t="n"/>
      <c r="N40" s="67" t="n"/>
      <c r="O40" s="65" t="n"/>
      <c r="P40" s="65" t="n"/>
      <c r="Q40" s="106" t="n"/>
      <c r="R40" s="106" t="n"/>
      <c r="S40" s="106" t="n"/>
      <c r="T40">
        <f>IF(OR(G40="Closed Lost",G40="",NOT(ISNUMBER(H40))),"",H40)</f>
        <v/>
      </c>
    </row>
    <row r="41" ht="18" customHeight="1" s="96">
      <c r="A41" s="57" t="n">
        <v>39</v>
      </c>
      <c r="B41" s="70" t="n"/>
      <c r="C41" s="70" t="n"/>
      <c r="D41" s="70" t="n"/>
      <c r="E41" s="70" t="n"/>
      <c r="F41" s="71" t="n"/>
      <c r="G41" s="70" t="n"/>
      <c r="H41" s="75" t="n"/>
      <c r="I41" s="75" t="n"/>
      <c r="J41" s="72" t="n"/>
      <c r="K41" s="73">
        <f>IFERROR(VLOOKUP(G41,Stage_Lookup!$A$2:$B$8,2,0),"")</f>
        <v/>
      </c>
      <c r="L41" s="69" t="n"/>
      <c r="M41" s="69" t="n"/>
      <c r="N41" s="72" t="n"/>
      <c r="O41" s="70" t="n"/>
      <c r="P41" s="70" t="n"/>
      <c r="Q41" s="106" t="n"/>
      <c r="R41" s="106" t="n"/>
      <c r="S41" s="106" t="n"/>
      <c r="T41">
        <f>IF(OR(G41="Closed Lost",G41="",NOT(ISNUMBER(H41))),"",H41)</f>
        <v/>
      </c>
    </row>
    <row r="42" ht="18" customHeight="1" s="96">
      <c r="A42" s="64" t="n">
        <v>40</v>
      </c>
      <c r="B42" s="65" t="n"/>
      <c r="C42" s="65" t="n"/>
      <c r="D42" s="65" t="n"/>
      <c r="E42" s="65" t="n"/>
      <c r="F42" s="66" t="n"/>
      <c r="G42" s="65" t="n"/>
      <c r="H42" s="74" t="n"/>
      <c r="I42" s="74" t="n"/>
      <c r="J42" s="67" t="n"/>
      <c r="K42" s="68">
        <f>IFERROR(VLOOKUP(G42,Stage_Lookup!$A$2:$B$8,2,0),"")</f>
        <v/>
      </c>
      <c r="L42" s="69" t="n"/>
      <c r="M42" s="69" t="n"/>
      <c r="N42" s="67" t="n"/>
      <c r="O42" s="65" t="n"/>
      <c r="P42" s="65" t="n"/>
      <c r="Q42" s="106" t="n"/>
      <c r="R42" s="106" t="n"/>
      <c r="S42" s="106" t="n"/>
      <c r="T42">
        <f>IF(OR(G42="Closed Lost",G42="",NOT(ISNUMBER(H42))),"",H42)</f>
        <v/>
      </c>
    </row>
    <row r="43" ht="18" customHeight="1" s="96">
      <c r="A43" s="57" t="n">
        <v>41</v>
      </c>
      <c r="B43" s="70" t="n"/>
      <c r="C43" s="70" t="n"/>
      <c r="D43" s="70" t="n"/>
      <c r="E43" s="70" t="n"/>
      <c r="F43" s="71" t="n"/>
      <c r="G43" s="70" t="n"/>
      <c r="H43" s="75" t="n"/>
      <c r="I43" s="75" t="n"/>
      <c r="J43" s="72" t="n"/>
      <c r="K43" s="73">
        <f>IFERROR(VLOOKUP(G43,Stage_Lookup!$A$2:$B$8,2,0),"")</f>
        <v/>
      </c>
      <c r="L43" s="69" t="n"/>
      <c r="M43" s="69" t="n"/>
      <c r="N43" s="72" t="n"/>
      <c r="O43" s="70" t="n"/>
      <c r="P43" s="70" t="n"/>
      <c r="Q43" s="106" t="n"/>
      <c r="R43" s="106" t="n"/>
      <c r="S43" s="106" t="n"/>
      <c r="T43">
        <f>IF(OR(G43="Closed Lost",G43="",NOT(ISNUMBER(H43))),"",H43)</f>
        <v/>
      </c>
    </row>
    <row r="44" ht="18" customHeight="1" s="96">
      <c r="A44" s="64" t="n">
        <v>42</v>
      </c>
      <c r="B44" s="65" t="n"/>
      <c r="C44" s="65" t="n"/>
      <c r="D44" s="65" t="n"/>
      <c r="E44" s="65" t="n"/>
      <c r="F44" s="66" t="n"/>
      <c r="G44" s="65" t="n"/>
      <c r="H44" s="74" t="n"/>
      <c r="I44" s="74" t="n"/>
      <c r="J44" s="67" t="n"/>
      <c r="K44" s="68">
        <f>IFERROR(VLOOKUP(G44,Stage_Lookup!$A$2:$B$8,2,0),"")</f>
        <v/>
      </c>
      <c r="L44" s="69" t="n"/>
      <c r="M44" s="69" t="n"/>
      <c r="N44" s="67" t="n"/>
      <c r="O44" s="65" t="n"/>
      <c r="P44" s="65" t="n"/>
      <c r="Q44" s="106" t="n"/>
      <c r="R44" s="106" t="n"/>
      <c r="S44" s="106" t="n"/>
      <c r="T44">
        <f>IF(OR(G44="Closed Lost",G44="",NOT(ISNUMBER(H44))),"",H44)</f>
        <v/>
      </c>
    </row>
    <row r="45" ht="18" customHeight="1" s="96">
      <c r="A45" s="57" t="n">
        <v>43</v>
      </c>
      <c r="B45" s="70" t="n"/>
      <c r="C45" s="70" t="n"/>
      <c r="D45" s="70" t="n"/>
      <c r="E45" s="70" t="n"/>
      <c r="F45" s="71" t="n"/>
      <c r="G45" s="70" t="n"/>
      <c r="H45" s="75" t="n"/>
      <c r="I45" s="75" t="n"/>
      <c r="J45" s="72" t="n"/>
      <c r="K45" s="73">
        <f>IFERROR(VLOOKUP(G45,Stage_Lookup!$A$2:$B$8,2,0),"")</f>
        <v/>
      </c>
      <c r="L45" s="69" t="n"/>
      <c r="M45" s="69" t="n"/>
      <c r="N45" s="72" t="n"/>
      <c r="O45" s="70" t="n"/>
      <c r="P45" s="70" t="n"/>
      <c r="Q45" s="106" t="n"/>
      <c r="R45" s="106" t="n"/>
      <c r="S45" s="106" t="n"/>
      <c r="T45">
        <f>IF(OR(G45="Closed Lost",G45="",NOT(ISNUMBER(H45))),"",H45)</f>
        <v/>
      </c>
    </row>
    <row r="46" ht="18" customHeight="1" s="96">
      <c r="A46" s="64" t="n">
        <v>44</v>
      </c>
      <c r="B46" s="65" t="n"/>
      <c r="C46" s="65" t="n"/>
      <c r="D46" s="65" t="n"/>
      <c r="E46" s="65" t="n"/>
      <c r="F46" s="66" t="n"/>
      <c r="G46" s="65" t="n"/>
      <c r="H46" s="74" t="n"/>
      <c r="I46" s="74" t="n"/>
      <c r="J46" s="67" t="n"/>
      <c r="K46" s="68">
        <f>IFERROR(VLOOKUP(G46,Stage_Lookup!$A$2:$B$8,2,0),"")</f>
        <v/>
      </c>
      <c r="L46" s="69" t="n"/>
      <c r="M46" s="69" t="n"/>
      <c r="N46" s="67" t="n"/>
      <c r="O46" s="65" t="n"/>
      <c r="P46" s="65" t="n"/>
      <c r="Q46" s="106" t="n"/>
      <c r="R46" s="106" t="n"/>
      <c r="S46" s="106" t="n"/>
      <c r="T46">
        <f>IF(OR(G46="Closed Lost",G46="",NOT(ISNUMBER(H46))),"",H46)</f>
        <v/>
      </c>
    </row>
    <row r="47" ht="18" customHeight="1" s="96">
      <c r="A47" s="57" t="n">
        <v>45</v>
      </c>
      <c r="B47" s="70" t="n"/>
      <c r="C47" s="70" t="n"/>
      <c r="D47" s="70" t="n"/>
      <c r="E47" s="70" t="n"/>
      <c r="F47" s="71" t="n"/>
      <c r="G47" s="70" t="n"/>
      <c r="H47" s="75" t="n"/>
      <c r="I47" s="75" t="n"/>
      <c r="J47" s="72" t="n"/>
      <c r="K47" s="73">
        <f>IFERROR(VLOOKUP(G47,Stage_Lookup!$A$2:$B$8,2,0),"")</f>
        <v/>
      </c>
      <c r="L47" s="69" t="n"/>
      <c r="M47" s="69" t="n"/>
      <c r="N47" s="72" t="n"/>
      <c r="O47" s="70" t="n"/>
      <c r="P47" s="70" t="n"/>
      <c r="Q47" s="106" t="n"/>
      <c r="R47" s="106" t="n"/>
      <c r="S47" s="106" t="n"/>
      <c r="T47">
        <f>IF(OR(G47="Closed Lost",G47="",NOT(ISNUMBER(H47))),"",H47)</f>
        <v/>
      </c>
    </row>
    <row r="48" ht="18" customHeight="1" s="96">
      <c r="A48" s="64" t="n">
        <v>46</v>
      </c>
      <c r="B48" s="65" t="n"/>
      <c r="C48" s="65" t="n"/>
      <c r="D48" s="65" t="n"/>
      <c r="E48" s="65" t="n"/>
      <c r="F48" s="66" t="n"/>
      <c r="G48" s="65" t="n"/>
      <c r="H48" s="74" t="n"/>
      <c r="I48" s="74" t="n"/>
      <c r="J48" s="67" t="n"/>
      <c r="K48" s="68">
        <f>IFERROR(VLOOKUP(G48,Stage_Lookup!$A$2:$B$8,2,0),"")</f>
        <v/>
      </c>
      <c r="L48" s="69" t="n"/>
      <c r="M48" s="69" t="n"/>
      <c r="N48" s="67" t="n"/>
      <c r="O48" s="65" t="n"/>
      <c r="P48" s="65" t="n"/>
      <c r="Q48" s="106" t="n"/>
      <c r="R48" s="106" t="n"/>
      <c r="S48" s="106" t="n"/>
      <c r="T48">
        <f>IF(OR(G48="Closed Lost",G48="",NOT(ISNUMBER(H48))),"",H48)</f>
        <v/>
      </c>
    </row>
    <row r="49" ht="18" customHeight="1" s="96">
      <c r="A49" s="57" t="n">
        <v>47</v>
      </c>
      <c r="B49" s="70" t="n"/>
      <c r="C49" s="70" t="n"/>
      <c r="D49" s="70" t="n"/>
      <c r="E49" s="70" t="n"/>
      <c r="F49" s="71" t="n"/>
      <c r="G49" s="70" t="n"/>
      <c r="H49" s="75" t="n"/>
      <c r="I49" s="75" t="n"/>
      <c r="J49" s="72" t="n"/>
      <c r="K49" s="73">
        <f>IFERROR(VLOOKUP(G49,Stage_Lookup!$A$2:$B$8,2,0),"")</f>
        <v/>
      </c>
      <c r="L49" s="69" t="n"/>
      <c r="M49" s="69" t="n"/>
      <c r="N49" s="72" t="n"/>
      <c r="O49" s="70" t="n"/>
      <c r="P49" s="70" t="n"/>
      <c r="Q49" s="106" t="n"/>
      <c r="R49" s="106" t="n"/>
      <c r="S49" s="106" t="n"/>
      <c r="T49">
        <f>IF(OR(G49="Closed Lost",G49="",NOT(ISNUMBER(H49))),"",H49)</f>
        <v/>
      </c>
    </row>
    <row r="50" ht="18" customHeight="1" s="96">
      <c r="A50" s="64" t="n">
        <v>48</v>
      </c>
      <c r="B50" s="65" t="n"/>
      <c r="C50" s="65" t="n"/>
      <c r="D50" s="65" t="n"/>
      <c r="E50" s="65" t="n"/>
      <c r="F50" s="66" t="n"/>
      <c r="G50" s="65" t="n"/>
      <c r="H50" s="74" t="n"/>
      <c r="I50" s="74" t="n"/>
      <c r="J50" s="67" t="n"/>
      <c r="K50" s="68">
        <f>IFERROR(VLOOKUP(G50,Stage_Lookup!$A$2:$B$8,2,0),"")</f>
        <v/>
      </c>
      <c r="L50" s="69" t="n"/>
      <c r="M50" s="69" t="n"/>
      <c r="N50" s="67" t="n"/>
      <c r="O50" s="65" t="n"/>
      <c r="P50" s="65" t="n"/>
      <c r="Q50" s="106" t="n"/>
      <c r="R50" s="106" t="n"/>
      <c r="S50" s="106" t="n"/>
      <c r="T50">
        <f>IF(OR(G50="Closed Lost",G50="",NOT(ISNUMBER(H50))),"",H50)</f>
        <v/>
      </c>
    </row>
    <row r="51" ht="18" customHeight="1" s="96">
      <c r="A51" s="57" t="n">
        <v>49</v>
      </c>
      <c r="B51" s="70" t="n"/>
      <c r="C51" s="70" t="n"/>
      <c r="D51" s="70" t="n"/>
      <c r="E51" s="70" t="n"/>
      <c r="F51" s="71" t="n"/>
      <c r="G51" s="70" t="n"/>
      <c r="H51" s="75" t="n"/>
      <c r="I51" s="75" t="n"/>
      <c r="J51" s="72" t="n"/>
      <c r="K51" s="73">
        <f>IFERROR(VLOOKUP(G51,Stage_Lookup!$A$2:$B$8,2,0),"")</f>
        <v/>
      </c>
      <c r="L51" s="69" t="n"/>
      <c r="M51" s="69" t="n"/>
      <c r="N51" s="72" t="n"/>
      <c r="O51" s="70" t="n"/>
      <c r="P51" s="70" t="n"/>
      <c r="Q51" s="106" t="n"/>
      <c r="R51" s="106" t="n"/>
      <c r="S51" s="106" t="n"/>
      <c r="T51">
        <f>IF(OR(G51="Closed Lost",G51="",NOT(ISNUMBER(H51))),"",H51)</f>
        <v/>
      </c>
    </row>
    <row r="52" ht="18" customHeight="1" s="96">
      <c r="A52" s="64" t="n">
        <v>50</v>
      </c>
      <c r="B52" s="65" t="n"/>
      <c r="C52" s="65" t="n"/>
      <c r="D52" s="65" t="n"/>
      <c r="E52" s="65" t="n"/>
      <c r="F52" s="66" t="n"/>
      <c r="G52" s="65" t="n"/>
      <c r="H52" s="74" t="n"/>
      <c r="I52" s="74" t="n"/>
      <c r="J52" s="67" t="n"/>
      <c r="K52" s="68">
        <f>IFERROR(VLOOKUP(G52,Stage_Lookup!$A$2:$B$8,2,0),"")</f>
        <v/>
      </c>
      <c r="L52" s="69" t="n"/>
      <c r="M52" s="69" t="n"/>
      <c r="N52" s="67" t="n"/>
      <c r="O52" s="65" t="n"/>
      <c r="P52" s="65" t="n"/>
      <c r="Q52" s="106" t="n"/>
      <c r="R52" s="106" t="n"/>
      <c r="S52" s="106" t="n"/>
      <c r="T52">
        <f>IF(OR(G52="Closed Lost",G52="",NOT(ISNUMBER(H52))),"",H52)</f>
        <v/>
      </c>
    </row>
    <row r="53" ht="18" customHeight="1" s="96">
      <c r="A53" s="57" t="n">
        <v>51</v>
      </c>
      <c r="B53" s="70" t="n"/>
      <c r="C53" s="70" t="n"/>
      <c r="D53" s="70" t="n"/>
      <c r="E53" s="70" t="n"/>
      <c r="F53" s="71" t="n"/>
      <c r="G53" s="70" t="n"/>
      <c r="H53" s="75" t="n"/>
      <c r="I53" s="75" t="n"/>
      <c r="J53" s="72" t="n"/>
      <c r="K53" s="73">
        <f>IFERROR(VLOOKUP(G53,Stage_Lookup!$A$2:$B$8,2,0),"")</f>
        <v/>
      </c>
      <c r="L53" s="69" t="n"/>
      <c r="M53" s="69" t="n"/>
      <c r="N53" s="72" t="n"/>
      <c r="O53" s="70" t="n"/>
      <c r="P53" s="70" t="n"/>
      <c r="Q53" s="106" t="n"/>
      <c r="R53" s="106" t="n"/>
      <c r="S53" s="106" t="n"/>
      <c r="T53">
        <f>IF(OR(G53="Closed Lost",G53="",NOT(ISNUMBER(H53))),"",H53)</f>
        <v/>
      </c>
    </row>
    <row r="54" ht="18" customHeight="1" s="96">
      <c r="A54" s="64" t="n">
        <v>52</v>
      </c>
      <c r="B54" s="65" t="n"/>
      <c r="C54" s="65" t="n"/>
      <c r="D54" s="65" t="n"/>
      <c r="E54" s="65" t="n"/>
      <c r="F54" s="66" t="n"/>
      <c r="G54" s="65" t="n"/>
      <c r="H54" s="74" t="n"/>
      <c r="I54" s="74" t="n"/>
      <c r="J54" s="67" t="n"/>
      <c r="K54" s="68">
        <f>IFERROR(VLOOKUP(G54,Stage_Lookup!$A$2:$B$8,2,0),"")</f>
        <v/>
      </c>
      <c r="L54" s="69" t="n"/>
      <c r="M54" s="69" t="n"/>
      <c r="N54" s="67" t="n"/>
      <c r="O54" s="65" t="n"/>
      <c r="P54" s="65" t="n"/>
      <c r="Q54" s="106" t="n"/>
      <c r="R54" s="106" t="n"/>
      <c r="S54" s="106" t="n"/>
      <c r="T54">
        <f>IF(OR(G54="Closed Lost",G54="",NOT(ISNUMBER(H54))),"",H54)</f>
        <v/>
      </c>
    </row>
    <row r="55" ht="18" customHeight="1" s="96">
      <c r="A55" s="57" t="n">
        <v>53</v>
      </c>
      <c r="B55" s="70" t="n"/>
      <c r="C55" s="70" t="n"/>
      <c r="D55" s="70" t="n"/>
      <c r="E55" s="70" t="n"/>
      <c r="F55" s="71" t="n"/>
      <c r="G55" s="70" t="n"/>
      <c r="H55" s="75" t="n"/>
      <c r="I55" s="75" t="n"/>
      <c r="J55" s="72" t="n"/>
      <c r="K55" s="73">
        <f>IFERROR(VLOOKUP(G55,Stage_Lookup!$A$2:$B$8,2,0),"")</f>
        <v/>
      </c>
      <c r="L55" s="69" t="n"/>
      <c r="M55" s="69" t="n"/>
      <c r="N55" s="72" t="n"/>
      <c r="O55" s="70" t="n"/>
      <c r="P55" s="70" t="n"/>
      <c r="Q55" s="106" t="n"/>
      <c r="R55" s="106" t="n"/>
      <c r="S55" s="106" t="n"/>
      <c r="T55">
        <f>IF(OR(G55="Closed Lost",G55="",NOT(ISNUMBER(H55))),"",H55)</f>
        <v/>
      </c>
    </row>
    <row r="56" ht="18" customHeight="1" s="96">
      <c r="A56" s="64" t="n">
        <v>54</v>
      </c>
      <c r="B56" s="65" t="n"/>
      <c r="C56" s="65" t="n"/>
      <c r="D56" s="65" t="n"/>
      <c r="E56" s="65" t="n"/>
      <c r="F56" s="66" t="n"/>
      <c r="G56" s="65" t="n"/>
      <c r="H56" s="74" t="n"/>
      <c r="I56" s="74" t="n"/>
      <c r="J56" s="67" t="n"/>
      <c r="K56" s="68">
        <f>IFERROR(VLOOKUP(G56,Stage_Lookup!$A$2:$B$8,2,0),"")</f>
        <v/>
      </c>
      <c r="L56" s="69" t="n"/>
      <c r="M56" s="69" t="n"/>
      <c r="N56" s="67" t="n"/>
      <c r="O56" s="65" t="n"/>
      <c r="P56" s="65" t="n"/>
      <c r="Q56" s="106" t="n"/>
      <c r="R56" s="106" t="n"/>
      <c r="S56" s="106" t="n"/>
      <c r="T56">
        <f>IF(OR(G56="Closed Lost",G56="",NOT(ISNUMBER(H56))),"",H56)</f>
        <v/>
      </c>
    </row>
    <row r="57" ht="18" customHeight="1" s="96">
      <c r="A57" s="57" t="n">
        <v>55</v>
      </c>
      <c r="B57" s="70" t="n"/>
      <c r="C57" s="70" t="n"/>
      <c r="D57" s="70" t="n"/>
      <c r="E57" s="70" t="n"/>
      <c r="F57" s="71" t="n"/>
      <c r="G57" s="70" t="n"/>
      <c r="H57" s="75" t="n"/>
      <c r="I57" s="75" t="n"/>
      <c r="J57" s="72" t="n"/>
      <c r="K57" s="73">
        <f>IFERROR(VLOOKUP(G57,Stage_Lookup!$A$2:$B$8,2,0),"")</f>
        <v/>
      </c>
      <c r="L57" s="69" t="n"/>
      <c r="M57" s="69" t="n"/>
      <c r="N57" s="72" t="n"/>
      <c r="O57" s="70" t="n"/>
      <c r="P57" s="70" t="n"/>
      <c r="Q57" s="106" t="n"/>
      <c r="R57" s="106" t="n"/>
      <c r="S57" s="106" t="n"/>
      <c r="T57">
        <f>IF(OR(G57="Closed Lost",G57="",NOT(ISNUMBER(H57))),"",H57)</f>
        <v/>
      </c>
    </row>
    <row r="58" ht="18" customHeight="1" s="96">
      <c r="A58" s="64" t="n">
        <v>56</v>
      </c>
      <c r="B58" s="65" t="n"/>
      <c r="C58" s="65" t="n"/>
      <c r="D58" s="65" t="n"/>
      <c r="E58" s="65" t="n"/>
      <c r="F58" s="66" t="n"/>
      <c r="G58" s="65" t="n"/>
      <c r="H58" s="74" t="n"/>
      <c r="I58" s="74" t="n"/>
      <c r="J58" s="67" t="n"/>
      <c r="K58" s="68">
        <f>IFERROR(VLOOKUP(G58,Stage_Lookup!$A$2:$B$8,2,0),"")</f>
        <v/>
      </c>
      <c r="L58" s="69" t="n"/>
      <c r="M58" s="69" t="n"/>
      <c r="N58" s="67" t="n"/>
      <c r="O58" s="65" t="n"/>
      <c r="P58" s="65" t="n"/>
      <c r="Q58" s="106" t="n"/>
      <c r="R58" s="106" t="n"/>
      <c r="S58" s="106" t="n"/>
      <c r="T58">
        <f>IF(OR(G58="Closed Lost",G58="",NOT(ISNUMBER(H58))),"",H58)</f>
        <v/>
      </c>
    </row>
    <row r="59" ht="18" customHeight="1" s="96">
      <c r="A59" s="57" t="n">
        <v>57</v>
      </c>
      <c r="B59" s="70" t="n"/>
      <c r="C59" s="70" t="n"/>
      <c r="D59" s="70" t="n"/>
      <c r="E59" s="70" t="n"/>
      <c r="F59" s="71" t="n"/>
      <c r="G59" s="70" t="n"/>
      <c r="H59" s="75" t="n"/>
      <c r="I59" s="75" t="n"/>
      <c r="J59" s="72" t="n"/>
      <c r="K59" s="73">
        <f>IFERROR(VLOOKUP(G59,Stage_Lookup!$A$2:$B$8,2,0),"")</f>
        <v/>
      </c>
      <c r="L59" s="69" t="n"/>
      <c r="M59" s="69" t="n"/>
      <c r="N59" s="72" t="n"/>
      <c r="O59" s="70" t="n"/>
      <c r="P59" s="70" t="n"/>
      <c r="Q59" s="106" t="n"/>
      <c r="R59" s="106" t="n"/>
      <c r="S59" s="106" t="n"/>
      <c r="T59">
        <f>IF(OR(G59="Closed Lost",G59="",NOT(ISNUMBER(H59))),"",H59)</f>
        <v/>
      </c>
    </row>
    <row r="60" ht="18" customHeight="1" s="96">
      <c r="A60" s="64" t="n">
        <v>58</v>
      </c>
      <c r="B60" s="65" t="n"/>
      <c r="C60" s="65" t="n"/>
      <c r="D60" s="65" t="n"/>
      <c r="E60" s="65" t="n"/>
      <c r="F60" s="66" t="n"/>
      <c r="G60" s="65" t="n"/>
      <c r="H60" s="74" t="n"/>
      <c r="I60" s="74" t="n"/>
      <c r="J60" s="67" t="n"/>
      <c r="K60" s="68">
        <f>IFERROR(VLOOKUP(G60,Stage_Lookup!$A$2:$B$8,2,0),"")</f>
        <v/>
      </c>
      <c r="L60" s="69" t="n"/>
      <c r="M60" s="69" t="n"/>
      <c r="N60" s="67" t="n"/>
      <c r="O60" s="65" t="n"/>
      <c r="P60" s="65" t="n"/>
      <c r="Q60" s="106" t="n"/>
      <c r="R60" s="106" t="n"/>
      <c r="S60" s="106" t="n"/>
      <c r="T60">
        <f>IF(OR(G60="Closed Lost",G60="",NOT(ISNUMBER(H60))),"",H60)</f>
        <v/>
      </c>
    </row>
    <row r="61" ht="18" customHeight="1" s="96">
      <c r="A61" s="57" t="n">
        <v>59</v>
      </c>
      <c r="B61" s="70" t="n"/>
      <c r="C61" s="70" t="n"/>
      <c r="D61" s="70" t="n"/>
      <c r="E61" s="70" t="n"/>
      <c r="F61" s="71" t="n"/>
      <c r="G61" s="70" t="n"/>
      <c r="H61" s="75" t="n"/>
      <c r="I61" s="75" t="n"/>
      <c r="J61" s="72" t="n"/>
      <c r="K61" s="73">
        <f>IFERROR(VLOOKUP(G61,Stage_Lookup!$A$2:$B$8,2,0),"")</f>
        <v/>
      </c>
      <c r="L61" s="69" t="n"/>
      <c r="M61" s="69" t="n"/>
      <c r="N61" s="72" t="n"/>
      <c r="O61" s="70" t="n"/>
      <c r="P61" s="70" t="n"/>
      <c r="Q61" s="106" t="n"/>
      <c r="R61" s="106" t="n"/>
      <c r="S61" s="106" t="n"/>
      <c r="T61">
        <f>IF(OR(G61="Closed Lost",G61="",NOT(ISNUMBER(H61))),"",H61)</f>
        <v/>
      </c>
    </row>
    <row r="62" ht="18" customHeight="1" s="96">
      <c r="A62" s="64" t="n">
        <v>60</v>
      </c>
      <c r="B62" s="65" t="n"/>
      <c r="C62" s="65" t="n"/>
      <c r="D62" s="65" t="n"/>
      <c r="E62" s="65" t="n"/>
      <c r="F62" s="66" t="n"/>
      <c r="G62" s="65" t="n"/>
      <c r="H62" s="74" t="n"/>
      <c r="I62" s="74" t="n"/>
      <c r="J62" s="67" t="n"/>
      <c r="K62" s="68">
        <f>IFERROR(VLOOKUP(G62,Stage_Lookup!$A$2:$B$8,2,0),"")</f>
        <v/>
      </c>
      <c r="L62" s="69" t="n"/>
      <c r="M62" s="69" t="n"/>
      <c r="N62" s="67" t="n"/>
      <c r="O62" s="65" t="n"/>
      <c r="P62" s="65" t="n"/>
      <c r="Q62" s="106" t="n"/>
      <c r="R62" s="106" t="n"/>
      <c r="S62" s="106" t="n"/>
      <c r="T62">
        <f>IF(OR(G62="Closed Lost",G62="",NOT(ISNUMBER(H62))),"",H62)</f>
        <v/>
      </c>
    </row>
    <row r="63" ht="18" customHeight="1" s="96">
      <c r="A63" s="57" t="n">
        <v>61</v>
      </c>
      <c r="B63" s="70" t="n"/>
      <c r="C63" s="70" t="n"/>
      <c r="D63" s="70" t="n"/>
      <c r="E63" s="70" t="n"/>
      <c r="F63" s="71" t="n"/>
      <c r="G63" s="70" t="n"/>
      <c r="H63" s="75" t="n"/>
      <c r="I63" s="75" t="n"/>
      <c r="J63" s="72" t="n"/>
      <c r="K63" s="73">
        <f>IFERROR(VLOOKUP(G63,Stage_Lookup!$A$2:$B$8,2,0),"")</f>
        <v/>
      </c>
      <c r="L63" s="69" t="n"/>
      <c r="M63" s="69" t="n"/>
      <c r="N63" s="72" t="n"/>
      <c r="O63" s="70" t="n"/>
      <c r="P63" s="70" t="n"/>
      <c r="Q63" s="106" t="n"/>
      <c r="R63" s="106" t="n"/>
      <c r="S63" s="106" t="n"/>
      <c r="T63">
        <f>IF(OR(G63="Closed Lost",G63="",NOT(ISNUMBER(H63))),"",H63)</f>
        <v/>
      </c>
    </row>
    <row r="64" ht="18" customHeight="1" s="96">
      <c r="A64" s="64" t="n">
        <v>62</v>
      </c>
      <c r="B64" s="65" t="n"/>
      <c r="C64" s="65" t="n"/>
      <c r="D64" s="65" t="n"/>
      <c r="E64" s="65" t="n"/>
      <c r="F64" s="66" t="n"/>
      <c r="G64" s="65" t="n"/>
      <c r="H64" s="74" t="n"/>
      <c r="I64" s="74" t="n"/>
      <c r="J64" s="67" t="n"/>
      <c r="K64" s="68">
        <f>IFERROR(VLOOKUP(G64,Stage_Lookup!$A$2:$B$8,2,0),"")</f>
        <v/>
      </c>
      <c r="L64" s="69" t="n"/>
      <c r="M64" s="69" t="n"/>
      <c r="N64" s="67" t="n"/>
      <c r="O64" s="65" t="n"/>
      <c r="P64" s="65" t="n"/>
      <c r="Q64" s="106" t="n"/>
      <c r="R64" s="106" t="n"/>
      <c r="S64" s="106" t="n"/>
      <c r="T64">
        <f>IF(OR(G64="Closed Lost",G64="",NOT(ISNUMBER(H64))),"",H64)</f>
        <v/>
      </c>
    </row>
    <row r="65" ht="18" customHeight="1" s="96">
      <c r="A65" s="57" t="n">
        <v>63</v>
      </c>
      <c r="B65" s="70" t="n"/>
      <c r="C65" s="70" t="n"/>
      <c r="D65" s="70" t="n"/>
      <c r="E65" s="70" t="n"/>
      <c r="F65" s="71" t="n"/>
      <c r="G65" s="70" t="n"/>
      <c r="H65" s="75" t="n"/>
      <c r="I65" s="75" t="n"/>
      <c r="J65" s="72" t="n"/>
      <c r="K65" s="73">
        <f>IFERROR(VLOOKUP(G65,Stage_Lookup!$A$2:$B$8,2,0),"")</f>
        <v/>
      </c>
      <c r="L65" s="69" t="n"/>
      <c r="M65" s="69" t="n"/>
      <c r="N65" s="72" t="n"/>
      <c r="O65" s="70" t="n"/>
      <c r="P65" s="70" t="n"/>
      <c r="Q65" s="106" t="n"/>
      <c r="R65" s="106" t="n"/>
      <c r="S65" s="106" t="n"/>
      <c r="T65">
        <f>IF(OR(G65="Closed Lost",G65="",NOT(ISNUMBER(H65))),"",H65)</f>
        <v/>
      </c>
    </row>
    <row r="66" ht="18" customHeight="1" s="96">
      <c r="A66" s="64" t="n">
        <v>64</v>
      </c>
      <c r="B66" s="65" t="n"/>
      <c r="C66" s="65" t="n"/>
      <c r="D66" s="65" t="n"/>
      <c r="E66" s="65" t="n"/>
      <c r="F66" s="66" t="n"/>
      <c r="G66" s="65" t="n"/>
      <c r="H66" s="74" t="n"/>
      <c r="I66" s="74" t="n"/>
      <c r="J66" s="67" t="n"/>
      <c r="K66" s="68">
        <f>IFERROR(VLOOKUP(G66,Stage_Lookup!$A$2:$B$8,2,0),"")</f>
        <v/>
      </c>
      <c r="L66" s="69" t="n"/>
      <c r="M66" s="69" t="n"/>
      <c r="N66" s="67" t="n"/>
      <c r="O66" s="65" t="n"/>
      <c r="P66" s="65" t="n"/>
      <c r="Q66" s="106" t="n"/>
      <c r="R66" s="106" t="n"/>
      <c r="S66" s="106" t="n"/>
      <c r="T66">
        <f>IF(OR(G66="Closed Lost",G66="",NOT(ISNUMBER(H66))),"",H66)</f>
        <v/>
      </c>
    </row>
    <row r="67" ht="18" customHeight="1" s="96">
      <c r="A67" s="57" t="n">
        <v>65</v>
      </c>
      <c r="B67" s="70" t="n"/>
      <c r="C67" s="70" t="n"/>
      <c r="D67" s="70" t="n"/>
      <c r="E67" s="70" t="n"/>
      <c r="F67" s="71" t="n"/>
      <c r="G67" s="70" t="n"/>
      <c r="H67" s="75" t="n"/>
      <c r="I67" s="75" t="n"/>
      <c r="J67" s="72" t="n"/>
      <c r="K67" s="73">
        <f>IFERROR(VLOOKUP(G67,Stage_Lookup!$A$2:$B$8,2,0),"")</f>
        <v/>
      </c>
      <c r="L67" s="69" t="n"/>
      <c r="M67" s="69" t="n"/>
      <c r="N67" s="72" t="n"/>
      <c r="O67" s="70" t="n"/>
      <c r="P67" s="70" t="n"/>
      <c r="Q67" s="106" t="n"/>
      <c r="R67" s="106" t="n"/>
      <c r="S67" s="106" t="n"/>
      <c r="T67">
        <f>IF(OR(G67="Closed Lost",G67="",NOT(ISNUMBER(H67))),"",H67)</f>
        <v/>
      </c>
    </row>
    <row r="68" ht="18" customHeight="1" s="96">
      <c r="A68" s="64" t="n">
        <v>66</v>
      </c>
      <c r="B68" s="65" t="n"/>
      <c r="C68" s="65" t="n"/>
      <c r="D68" s="65" t="n"/>
      <c r="E68" s="65" t="n"/>
      <c r="F68" s="66" t="n"/>
      <c r="G68" s="65" t="n"/>
      <c r="H68" s="74" t="n"/>
      <c r="I68" s="74" t="n"/>
      <c r="J68" s="67" t="n"/>
      <c r="K68" s="68">
        <f>IFERROR(VLOOKUP(G68,Stage_Lookup!$A$2:$B$8,2,0),"")</f>
        <v/>
      </c>
      <c r="L68" s="69" t="n"/>
      <c r="M68" s="69" t="n"/>
      <c r="N68" s="67" t="n"/>
      <c r="O68" s="65" t="n"/>
      <c r="P68" s="65" t="n"/>
      <c r="Q68" s="106" t="n"/>
      <c r="R68" s="106" t="n"/>
      <c r="S68" s="106" t="n"/>
      <c r="T68">
        <f>IF(OR(G68="Closed Lost",G68="",NOT(ISNUMBER(H68))),"",H68)</f>
        <v/>
      </c>
    </row>
    <row r="69" ht="18" customHeight="1" s="96">
      <c r="A69" s="57" t="n">
        <v>67</v>
      </c>
      <c r="B69" s="70" t="n"/>
      <c r="C69" s="70" t="n"/>
      <c r="D69" s="70" t="n"/>
      <c r="E69" s="70" t="n"/>
      <c r="F69" s="71" t="n"/>
      <c r="G69" s="70" t="n"/>
      <c r="H69" s="75" t="n"/>
      <c r="I69" s="75" t="n"/>
      <c r="J69" s="72" t="n"/>
      <c r="K69" s="73">
        <f>IFERROR(VLOOKUP(G69,Stage_Lookup!$A$2:$B$8,2,0),"")</f>
        <v/>
      </c>
      <c r="L69" s="69" t="n"/>
      <c r="M69" s="69" t="n"/>
      <c r="N69" s="72" t="n"/>
      <c r="O69" s="70" t="n"/>
      <c r="P69" s="70" t="n"/>
      <c r="Q69" s="106" t="n"/>
      <c r="R69" s="106" t="n"/>
      <c r="S69" s="106" t="n"/>
      <c r="T69">
        <f>IF(OR(G69="Closed Lost",G69="",NOT(ISNUMBER(H69))),"",H69)</f>
        <v/>
      </c>
    </row>
    <row r="70" ht="18" customHeight="1" s="96">
      <c r="A70" s="64" t="n">
        <v>68</v>
      </c>
      <c r="B70" s="65" t="n"/>
      <c r="C70" s="65" t="n"/>
      <c r="D70" s="65" t="n"/>
      <c r="E70" s="65" t="n"/>
      <c r="F70" s="66" t="n"/>
      <c r="G70" s="65" t="n"/>
      <c r="H70" s="74" t="n"/>
      <c r="I70" s="74" t="n"/>
      <c r="J70" s="67" t="n"/>
      <c r="K70" s="68">
        <f>IFERROR(VLOOKUP(G70,Stage_Lookup!$A$2:$B$8,2,0),"")</f>
        <v/>
      </c>
      <c r="L70" s="69" t="n"/>
      <c r="M70" s="69" t="n"/>
      <c r="N70" s="67" t="n"/>
      <c r="O70" s="65" t="n"/>
      <c r="P70" s="65" t="n"/>
      <c r="Q70" s="106" t="n"/>
      <c r="R70" s="106" t="n"/>
      <c r="S70" s="106" t="n"/>
      <c r="T70">
        <f>IF(OR(G70="Closed Lost",G70="",NOT(ISNUMBER(H70))),"",H70)</f>
        <v/>
      </c>
    </row>
    <row r="71" ht="18" customHeight="1" s="96">
      <c r="A71" s="57" t="n">
        <v>69</v>
      </c>
      <c r="B71" s="70" t="n"/>
      <c r="C71" s="70" t="n"/>
      <c r="D71" s="70" t="n"/>
      <c r="E71" s="70" t="n"/>
      <c r="F71" s="71" t="n"/>
      <c r="G71" s="70" t="n"/>
      <c r="H71" s="75" t="n"/>
      <c r="I71" s="75" t="n"/>
      <c r="J71" s="72" t="n"/>
      <c r="K71" s="73">
        <f>IFERROR(VLOOKUP(G71,Stage_Lookup!$A$2:$B$8,2,0),"")</f>
        <v/>
      </c>
      <c r="L71" s="69" t="n"/>
      <c r="M71" s="69" t="n"/>
      <c r="N71" s="72" t="n"/>
      <c r="O71" s="70" t="n"/>
      <c r="P71" s="70" t="n"/>
      <c r="Q71" s="106" t="n"/>
      <c r="R71" s="106" t="n"/>
      <c r="S71" s="106" t="n"/>
      <c r="T71">
        <f>IF(OR(G71="Closed Lost",G71="",NOT(ISNUMBER(H71))),"",H71)</f>
        <v/>
      </c>
    </row>
    <row r="72" ht="18" customHeight="1" s="96">
      <c r="A72" s="64" t="n">
        <v>70</v>
      </c>
      <c r="B72" s="65" t="n"/>
      <c r="C72" s="65" t="n"/>
      <c r="D72" s="65" t="n"/>
      <c r="E72" s="65" t="n"/>
      <c r="F72" s="66" t="n"/>
      <c r="G72" s="65" t="n"/>
      <c r="H72" s="74" t="n"/>
      <c r="I72" s="74" t="n"/>
      <c r="J72" s="67" t="n"/>
      <c r="K72" s="68">
        <f>IFERROR(VLOOKUP(G72,Stage_Lookup!$A$2:$B$8,2,0),"")</f>
        <v/>
      </c>
      <c r="L72" s="69" t="n"/>
      <c r="M72" s="69" t="n"/>
      <c r="N72" s="67" t="n"/>
      <c r="O72" s="65" t="n"/>
      <c r="P72" s="65" t="n"/>
      <c r="Q72" s="106" t="n"/>
      <c r="R72" s="106" t="n"/>
      <c r="S72" s="106" t="n"/>
      <c r="T72">
        <f>IF(OR(G72="Closed Lost",G72="",NOT(ISNUMBER(H72))),"",H72)</f>
        <v/>
      </c>
    </row>
    <row r="73" ht="18" customHeight="1" s="96">
      <c r="A73" s="57" t="n">
        <v>71</v>
      </c>
      <c r="B73" s="70" t="n"/>
      <c r="C73" s="70" t="n"/>
      <c r="D73" s="70" t="n"/>
      <c r="E73" s="70" t="n"/>
      <c r="F73" s="71" t="n"/>
      <c r="G73" s="70" t="n"/>
      <c r="H73" s="75" t="n"/>
      <c r="I73" s="75" t="n"/>
      <c r="J73" s="72" t="n"/>
      <c r="K73" s="73">
        <f>IFERROR(VLOOKUP(G73,Stage_Lookup!$A$2:$B$8,2,0),"")</f>
        <v/>
      </c>
      <c r="L73" s="69" t="n"/>
      <c r="M73" s="69" t="n"/>
      <c r="N73" s="72" t="n"/>
      <c r="O73" s="70" t="n"/>
      <c r="P73" s="70" t="n"/>
      <c r="Q73" s="106" t="n"/>
      <c r="R73" s="106" t="n"/>
      <c r="S73" s="106" t="n"/>
      <c r="T73">
        <f>IF(OR(G73="Closed Lost",G73="",NOT(ISNUMBER(H73))),"",H73)</f>
        <v/>
      </c>
    </row>
    <row r="74" ht="18" customHeight="1" s="96">
      <c r="A74" s="64" t="n">
        <v>72</v>
      </c>
      <c r="B74" s="65" t="n"/>
      <c r="C74" s="65" t="n"/>
      <c r="D74" s="65" t="n"/>
      <c r="E74" s="65" t="n"/>
      <c r="F74" s="66" t="n"/>
      <c r="G74" s="65" t="n"/>
      <c r="H74" s="74" t="n"/>
      <c r="I74" s="74" t="n"/>
      <c r="J74" s="67" t="n"/>
      <c r="K74" s="68">
        <f>IFERROR(VLOOKUP(G74,Stage_Lookup!$A$2:$B$8,2,0),"")</f>
        <v/>
      </c>
      <c r="L74" s="69" t="n"/>
      <c r="M74" s="69" t="n"/>
      <c r="N74" s="67" t="n"/>
      <c r="O74" s="65" t="n"/>
      <c r="P74" s="65" t="n"/>
      <c r="Q74" s="106" t="n"/>
      <c r="R74" s="106" t="n"/>
      <c r="S74" s="106" t="n"/>
      <c r="T74">
        <f>IF(OR(G74="Closed Lost",G74="",NOT(ISNUMBER(H74))),"",H74)</f>
        <v/>
      </c>
    </row>
    <row r="75" ht="18" customHeight="1" s="96">
      <c r="A75" s="57" t="n">
        <v>73</v>
      </c>
      <c r="B75" s="70" t="n"/>
      <c r="C75" s="70" t="n"/>
      <c r="D75" s="70" t="n"/>
      <c r="E75" s="70" t="n"/>
      <c r="F75" s="71" t="n"/>
      <c r="G75" s="70" t="n"/>
      <c r="H75" s="75" t="n"/>
      <c r="I75" s="75" t="n"/>
      <c r="J75" s="72" t="n"/>
      <c r="K75" s="73">
        <f>IFERROR(VLOOKUP(G75,Stage_Lookup!$A$2:$B$8,2,0),"")</f>
        <v/>
      </c>
      <c r="L75" s="69" t="n"/>
      <c r="M75" s="69" t="n"/>
      <c r="N75" s="72" t="n"/>
      <c r="O75" s="70" t="n"/>
      <c r="P75" s="70" t="n"/>
      <c r="Q75" s="106" t="n"/>
      <c r="R75" s="106" t="n"/>
      <c r="S75" s="106" t="n"/>
      <c r="T75">
        <f>IF(OR(G75="Closed Lost",G75="",NOT(ISNUMBER(H75))),"",H75)</f>
        <v/>
      </c>
    </row>
    <row r="76" ht="18" customHeight="1" s="96">
      <c r="A76" s="64" t="n">
        <v>74</v>
      </c>
      <c r="B76" s="65" t="n"/>
      <c r="C76" s="65" t="n"/>
      <c r="D76" s="65" t="n"/>
      <c r="E76" s="65" t="n"/>
      <c r="F76" s="66" t="n"/>
      <c r="G76" s="65" t="n"/>
      <c r="H76" s="74" t="n"/>
      <c r="I76" s="74" t="n"/>
      <c r="J76" s="67" t="n"/>
      <c r="K76" s="68">
        <f>IFERROR(VLOOKUP(G76,Stage_Lookup!$A$2:$B$8,2,0),"")</f>
        <v/>
      </c>
      <c r="L76" s="69" t="n"/>
      <c r="M76" s="69" t="n"/>
      <c r="N76" s="67" t="n"/>
      <c r="O76" s="65" t="n"/>
      <c r="P76" s="65" t="n"/>
      <c r="Q76" s="106" t="n"/>
      <c r="R76" s="106" t="n"/>
      <c r="S76" s="106" t="n"/>
      <c r="T76">
        <f>IF(OR(G76="Closed Lost",G76="",NOT(ISNUMBER(H76))),"",H76)</f>
        <v/>
      </c>
    </row>
    <row r="77" ht="18" customHeight="1" s="96">
      <c r="A77" s="57" t="n">
        <v>75</v>
      </c>
      <c r="B77" s="70" t="n"/>
      <c r="C77" s="70" t="n"/>
      <c r="D77" s="70" t="n"/>
      <c r="E77" s="70" t="n"/>
      <c r="F77" s="71" t="n"/>
      <c r="G77" s="70" t="n"/>
      <c r="H77" s="75" t="n"/>
      <c r="I77" s="75" t="n"/>
      <c r="J77" s="72" t="n"/>
      <c r="K77" s="73">
        <f>IFERROR(VLOOKUP(G77,Stage_Lookup!$A$2:$B$8,2,0),"")</f>
        <v/>
      </c>
      <c r="L77" s="69" t="n"/>
      <c r="M77" s="69" t="n"/>
      <c r="N77" s="72" t="n"/>
      <c r="O77" s="70" t="n"/>
      <c r="P77" s="70" t="n"/>
      <c r="Q77" s="106" t="n"/>
      <c r="R77" s="106" t="n"/>
      <c r="S77" s="106" t="n"/>
      <c r="T77">
        <f>IF(OR(G77="Closed Lost",G77="",NOT(ISNUMBER(H77))),"",H77)</f>
        <v/>
      </c>
    </row>
    <row r="78" ht="18" customHeight="1" s="96">
      <c r="A78" s="64" t="n">
        <v>76</v>
      </c>
      <c r="B78" s="65" t="n"/>
      <c r="C78" s="65" t="n"/>
      <c r="D78" s="65" t="n"/>
      <c r="E78" s="65" t="n"/>
      <c r="F78" s="66" t="n"/>
      <c r="G78" s="65" t="n"/>
      <c r="H78" s="74" t="n"/>
      <c r="I78" s="74" t="n"/>
      <c r="J78" s="67" t="n"/>
      <c r="K78" s="68">
        <f>IFERROR(VLOOKUP(G78,Stage_Lookup!$A$2:$B$8,2,0),"")</f>
        <v/>
      </c>
      <c r="L78" s="69" t="n"/>
      <c r="M78" s="69" t="n"/>
      <c r="N78" s="67" t="n"/>
      <c r="O78" s="65" t="n"/>
      <c r="P78" s="65" t="n"/>
      <c r="Q78" s="106" t="n"/>
      <c r="R78" s="106" t="n"/>
      <c r="S78" s="106" t="n"/>
      <c r="T78">
        <f>IF(OR(G78="Closed Lost",G78="",NOT(ISNUMBER(H78))),"",H78)</f>
        <v/>
      </c>
    </row>
    <row r="79" ht="18" customHeight="1" s="96">
      <c r="A79" s="57" t="n">
        <v>77</v>
      </c>
      <c r="B79" s="70" t="n"/>
      <c r="C79" s="70" t="n"/>
      <c r="D79" s="70" t="n"/>
      <c r="E79" s="70" t="n"/>
      <c r="F79" s="71" t="n"/>
      <c r="G79" s="70" t="n"/>
      <c r="H79" s="75" t="n"/>
      <c r="I79" s="75" t="n"/>
      <c r="J79" s="72" t="n"/>
      <c r="K79" s="73">
        <f>IFERROR(VLOOKUP(G79,Stage_Lookup!$A$2:$B$8,2,0),"")</f>
        <v/>
      </c>
      <c r="L79" s="69" t="n"/>
      <c r="M79" s="69" t="n"/>
      <c r="N79" s="72" t="n"/>
      <c r="O79" s="70" t="n"/>
      <c r="P79" s="70" t="n"/>
      <c r="Q79" s="106" t="n"/>
      <c r="R79" s="106" t="n"/>
      <c r="S79" s="106" t="n"/>
      <c r="T79">
        <f>IF(OR(G79="Closed Lost",G79="",NOT(ISNUMBER(H79))),"",H79)</f>
        <v/>
      </c>
    </row>
    <row r="80" ht="18" customHeight="1" s="96">
      <c r="A80" s="64" t="n">
        <v>78</v>
      </c>
      <c r="B80" s="65" t="n"/>
      <c r="C80" s="65" t="n"/>
      <c r="D80" s="65" t="n"/>
      <c r="E80" s="65" t="n"/>
      <c r="F80" s="66" t="n"/>
      <c r="G80" s="65" t="n"/>
      <c r="H80" s="74" t="n"/>
      <c r="I80" s="74" t="n"/>
      <c r="J80" s="67" t="n"/>
      <c r="K80" s="68">
        <f>IFERROR(VLOOKUP(G80,Stage_Lookup!$A$2:$B$8,2,0),"")</f>
        <v/>
      </c>
      <c r="L80" s="69" t="n"/>
      <c r="M80" s="69" t="n"/>
      <c r="N80" s="67" t="n"/>
      <c r="O80" s="65" t="n"/>
      <c r="P80" s="65" t="n"/>
      <c r="Q80" s="106" t="n"/>
      <c r="R80" s="106" t="n"/>
      <c r="S80" s="106" t="n"/>
      <c r="T80">
        <f>IF(OR(G80="Closed Lost",G80="",NOT(ISNUMBER(H80))),"",H80)</f>
        <v/>
      </c>
    </row>
    <row r="81" ht="18" customHeight="1" s="96">
      <c r="A81" s="57" t="n">
        <v>79</v>
      </c>
      <c r="B81" s="70" t="n"/>
      <c r="C81" s="70" t="n"/>
      <c r="D81" s="70" t="n"/>
      <c r="E81" s="70" t="n"/>
      <c r="F81" s="71" t="n"/>
      <c r="G81" s="70" t="n"/>
      <c r="H81" s="75" t="n"/>
      <c r="I81" s="75" t="n"/>
      <c r="J81" s="72" t="n"/>
      <c r="K81" s="73">
        <f>IFERROR(VLOOKUP(G81,Stage_Lookup!$A$2:$B$8,2,0),"")</f>
        <v/>
      </c>
      <c r="L81" s="69" t="n"/>
      <c r="M81" s="69" t="n"/>
      <c r="N81" s="72" t="n"/>
      <c r="O81" s="70" t="n"/>
      <c r="P81" s="70" t="n"/>
      <c r="Q81" s="106" t="n"/>
      <c r="R81" s="106" t="n"/>
      <c r="S81" s="106" t="n"/>
      <c r="T81">
        <f>IF(OR(G81="Closed Lost",G81="",NOT(ISNUMBER(H81))),"",H81)</f>
        <v/>
      </c>
    </row>
    <row r="82" ht="18" customHeight="1" s="96">
      <c r="A82" s="64" t="n">
        <v>80</v>
      </c>
      <c r="B82" s="65" t="n"/>
      <c r="C82" s="65" t="n"/>
      <c r="D82" s="65" t="n"/>
      <c r="E82" s="65" t="n"/>
      <c r="F82" s="66" t="n"/>
      <c r="G82" s="65" t="n"/>
      <c r="H82" s="74" t="n"/>
      <c r="I82" s="74" t="n"/>
      <c r="J82" s="67" t="n"/>
      <c r="K82" s="68">
        <f>IFERROR(VLOOKUP(G82,Stage_Lookup!$A$2:$B$8,2,0),"")</f>
        <v/>
      </c>
      <c r="L82" s="69" t="n"/>
      <c r="M82" s="69" t="n"/>
      <c r="N82" s="67" t="n"/>
      <c r="O82" s="65" t="n"/>
      <c r="P82" s="65" t="n"/>
      <c r="Q82" s="106" t="n"/>
      <c r="R82" s="106" t="n"/>
      <c r="S82" s="106" t="n"/>
      <c r="T82">
        <f>IF(OR(G82="Closed Lost",G82="",NOT(ISNUMBER(H82))),"",H82)</f>
        <v/>
      </c>
    </row>
    <row r="83" ht="18" customHeight="1" s="96">
      <c r="A83" s="57" t="n">
        <v>81</v>
      </c>
      <c r="B83" s="70" t="n"/>
      <c r="C83" s="70" t="n"/>
      <c r="D83" s="70" t="n"/>
      <c r="E83" s="70" t="n"/>
      <c r="F83" s="71" t="n"/>
      <c r="G83" s="70" t="n"/>
      <c r="H83" s="75" t="n"/>
      <c r="I83" s="75" t="n"/>
      <c r="J83" s="72" t="n"/>
      <c r="K83" s="73">
        <f>IFERROR(VLOOKUP(G83,Stage_Lookup!$A$2:$B$8,2,0),"")</f>
        <v/>
      </c>
      <c r="L83" s="69" t="n"/>
      <c r="M83" s="69" t="n"/>
      <c r="N83" s="72" t="n"/>
      <c r="O83" s="70" t="n"/>
      <c r="P83" s="70" t="n"/>
      <c r="Q83" s="106" t="n"/>
      <c r="R83" s="106" t="n"/>
      <c r="S83" s="106" t="n"/>
      <c r="T83">
        <f>IF(OR(G83="Closed Lost",G83="",NOT(ISNUMBER(H83))),"",H83)</f>
        <v/>
      </c>
    </row>
    <row r="84" ht="18" customHeight="1" s="96">
      <c r="A84" s="64" t="n">
        <v>82</v>
      </c>
      <c r="B84" s="65" t="n"/>
      <c r="C84" s="65" t="n"/>
      <c r="D84" s="65" t="n"/>
      <c r="E84" s="65" t="n"/>
      <c r="F84" s="66" t="n"/>
      <c r="G84" s="65" t="n"/>
      <c r="H84" s="74" t="n"/>
      <c r="I84" s="74" t="n"/>
      <c r="J84" s="67" t="n"/>
      <c r="K84" s="68">
        <f>IFERROR(VLOOKUP(G84,Stage_Lookup!$A$2:$B$8,2,0),"")</f>
        <v/>
      </c>
      <c r="L84" s="69" t="n"/>
      <c r="M84" s="69" t="n"/>
      <c r="N84" s="67" t="n"/>
      <c r="O84" s="65" t="n"/>
      <c r="P84" s="65" t="n"/>
      <c r="Q84" s="106" t="n"/>
      <c r="R84" s="106" t="n"/>
      <c r="S84" s="106" t="n"/>
      <c r="T84">
        <f>IF(OR(G84="Closed Lost",G84="",NOT(ISNUMBER(H84))),"",H84)</f>
        <v/>
      </c>
    </row>
    <row r="85" ht="18" customHeight="1" s="96">
      <c r="A85" s="57" t="n">
        <v>83</v>
      </c>
      <c r="B85" s="70" t="n"/>
      <c r="C85" s="70" t="n"/>
      <c r="D85" s="70" t="n"/>
      <c r="E85" s="70" t="n"/>
      <c r="F85" s="71" t="n"/>
      <c r="G85" s="70" t="n"/>
      <c r="H85" s="75" t="n"/>
      <c r="I85" s="75" t="n"/>
      <c r="J85" s="72" t="n"/>
      <c r="K85" s="73">
        <f>IFERROR(VLOOKUP(G85,Stage_Lookup!$A$2:$B$8,2,0),"")</f>
        <v/>
      </c>
      <c r="L85" s="69" t="n"/>
      <c r="M85" s="69" t="n"/>
      <c r="N85" s="72" t="n"/>
      <c r="O85" s="70" t="n"/>
      <c r="P85" s="70" t="n"/>
      <c r="Q85" s="106" t="n"/>
      <c r="R85" s="106" t="n"/>
      <c r="S85" s="106" t="n"/>
      <c r="T85">
        <f>IF(OR(G85="Closed Lost",G85="",NOT(ISNUMBER(H85))),"",H85)</f>
        <v/>
      </c>
    </row>
    <row r="86" ht="18" customHeight="1" s="96">
      <c r="A86" s="64" t="n">
        <v>84</v>
      </c>
      <c r="B86" s="65" t="n"/>
      <c r="C86" s="65" t="n"/>
      <c r="D86" s="65" t="n"/>
      <c r="E86" s="65" t="n"/>
      <c r="F86" s="66" t="n"/>
      <c r="G86" s="65" t="n"/>
      <c r="H86" s="74" t="n"/>
      <c r="I86" s="74" t="n"/>
      <c r="J86" s="67" t="n"/>
      <c r="K86" s="68">
        <f>IFERROR(VLOOKUP(G86,Stage_Lookup!$A$2:$B$8,2,0),"")</f>
        <v/>
      </c>
      <c r="L86" s="69" t="n"/>
      <c r="M86" s="69" t="n"/>
      <c r="N86" s="67" t="n"/>
      <c r="O86" s="65" t="n"/>
      <c r="P86" s="65" t="n"/>
      <c r="Q86" s="106" t="n"/>
      <c r="R86" s="106" t="n"/>
      <c r="S86" s="106" t="n"/>
      <c r="T86">
        <f>IF(OR(G86="Closed Lost",G86="",NOT(ISNUMBER(H86))),"",H86)</f>
        <v/>
      </c>
    </row>
    <row r="87" ht="18" customHeight="1" s="96">
      <c r="A87" s="57" t="n">
        <v>85</v>
      </c>
      <c r="B87" s="70" t="n"/>
      <c r="C87" s="70" t="n"/>
      <c r="D87" s="70" t="n"/>
      <c r="E87" s="70" t="n"/>
      <c r="F87" s="71" t="n"/>
      <c r="G87" s="70" t="n"/>
      <c r="H87" s="75" t="n"/>
      <c r="I87" s="75" t="n"/>
      <c r="J87" s="72" t="n"/>
      <c r="K87" s="73">
        <f>IFERROR(VLOOKUP(G87,Stage_Lookup!$A$2:$B$8,2,0),"")</f>
        <v/>
      </c>
      <c r="L87" s="69" t="n"/>
      <c r="M87" s="69" t="n"/>
      <c r="N87" s="72" t="n"/>
      <c r="O87" s="70" t="n"/>
      <c r="P87" s="70" t="n"/>
      <c r="Q87" s="106" t="n"/>
      <c r="R87" s="106" t="n"/>
      <c r="S87" s="106" t="n"/>
      <c r="T87">
        <f>IF(OR(G87="Closed Lost",G87="",NOT(ISNUMBER(H87))),"",H87)</f>
        <v/>
      </c>
    </row>
    <row r="88" ht="18" customHeight="1" s="96">
      <c r="A88" s="64" t="n">
        <v>86</v>
      </c>
      <c r="B88" s="65" t="n"/>
      <c r="C88" s="65" t="n"/>
      <c r="D88" s="65" t="n"/>
      <c r="E88" s="65" t="n"/>
      <c r="F88" s="66" t="n"/>
      <c r="G88" s="65" t="n"/>
      <c r="H88" s="74" t="n"/>
      <c r="I88" s="74" t="n"/>
      <c r="J88" s="67" t="n"/>
      <c r="K88" s="68">
        <f>IFERROR(VLOOKUP(G88,Stage_Lookup!$A$2:$B$8,2,0),"")</f>
        <v/>
      </c>
      <c r="L88" s="69" t="n"/>
      <c r="M88" s="69" t="n"/>
      <c r="N88" s="67" t="n"/>
      <c r="O88" s="65" t="n"/>
      <c r="P88" s="65" t="n"/>
      <c r="Q88" s="106" t="n"/>
      <c r="R88" s="106" t="n"/>
      <c r="S88" s="106" t="n"/>
      <c r="T88">
        <f>IF(OR(G88="Closed Lost",G88="",NOT(ISNUMBER(H88))),"",H88)</f>
        <v/>
      </c>
    </row>
    <row r="89" ht="18" customHeight="1" s="96">
      <c r="A89" s="57" t="n">
        <v>87</v>
      </c>
      <c r="B89" s="70" t="n"/>
      <c r="C89" s="70" t="n"/>
      <c r="D89" s="70" t="n"/>
      <c r="E89" s="70" t="n"/>
      <c r="F89" s="71" t="n"/>
      <c r="G89" s="70" t="n"/>
      <c r="H89" s="75" t="n"/>
      <c r="I89" s="75" t="n"/>
      <c r="J89" s="72" t="n"/>
      <c r="K89" s="73">
        <f>IFERROR(VLOOKUP(G89,Stage_Lookup!$A$2:$B$8,2,0),"")</f>
        <v/>
      </c>
      <c r="L89" s="69" t="n"/>
      <c r="M89" s="69" t="n"/>
      <c r="N89" s="72" t="n"/>
      <c r="O89" s="70" t="n"/>
      <c r="P89" s="70" t="n"/>
      <c r="Q89" s="106" t="n"/>
      <c r="R89" s="106" t="n"/>
      <c r="S89" s="106" t="n"/>
      <c r="T89">
        <f>IF(OR(G89="Closed Lost",G89="",NOT(ISNUMBER(H89))),"",H89)</f>
        <v/>
      </c>
    </row>
    <row r="90" ht="18" customHeight="1" s="96">
      <c r="A90" s="64" t="n">
        <v>88</v>
      </c>
      <c r="B90" s="65" t="n"/>
      <c r="C90" s="65" t="n"/>
      <c r="D90" s="65" t="n"/>
      <c r="E90" s="65" t="n"/>
      <c r="F90" s="66" t="n"/>
      <c r="G90" s="65" t="n"/>
      <c r="H90" s="74" t="n"/>
      <c r="I90" s="74" t="n"/>
      <c r="J90" s="67" t="n"/>
      <c r="K90" s="68">
        <f>IFERROR(VLOOKUP(G90,Stage_Lookup!$A$2:$B$8,2,0),"")</f>
        <v/>
      </c>
      <c r="L90" s="69" t="n"/>
      <c r="M90" s="69" t="n"/>
      <c r="N90" s="67" t="n"/>
      <c r="O90" s="65" t="n"/>
      <c r="P90" s="65" t="n"/>
      <c r="Q90" s="106" t="n"/>
      <c r="R90" s="106" t="n"/>
      <c r="S90" s="106" t="n"/>
      <c r="T90">
        <f>IF(OR(G90="Closed Lost",G90="",NOT(ISNUMBER(H90))),"",H90)</f>
        <v/>
      </c>
    </row>
    <row r="91" ht="18" customHeight="1" s="96">
      <c r="A91" s="57" t="n">
        <v>89</v>
      </c>
      <c r="B91" s="70" t="n"/>
      <c r="C91" s="70" t="n"/>
      <c r="D91" s="70" t="n"/>
      <c r="E91" s="70" t="n"/>
      <c r="F91" s="71" t="n"/>
      <c r="G91" s="70" t="n"/>
      <c r="H91" s="75" t="n"/>
      <c r="I91" s="75" t="n"/>
      <c r="J91" s="72" t="n"/>
      <c r="K91" s="73">
        <f>IFERROR(VLOOKUP(G91,Stage_Lookup!$A$2:$B$8,2,0),"")</f>
        <v/>
      </c>
      <c r="L91" s="69" t="n"/>
      <c r="M91" s="69" t="n"/>
      <c r="N91" s="72" t="n"/>
      <c r="O91" s="70" t="n"/>
      <c r="P91" s="70" t="n"/>
      <c r="Q91" s="106" t="n"/>
      <c r="R91" s="106" t="n"/>
      <c r="S91" s="106" t="n"/>
      <c r="T91">
        <f>IF(OR(G91="Closed Lost",G91="",NOT(ISNUMBER(H91))),"",H91)</f>
        <v/>
      </c>
    </row>
    <row r="92" ht="18" customHeight="1" s="96">
      <c r="A92" s="64" t="n">
        <v>90</v>
      </c>
      <c r="B92" s="65" t="n"/>
      <c r="C92" s="65" t="n"/>
      <c r="D92" s="65" t="n"/>
      <c r="E92" s="65" t="n"/>
      <c r="F92" s="66" t="n"/>
      <c r="G92" s="65" t="n"/>
      <c r="H92" s="74" t="n"/>
      <c r="I92" s="74" t="n"/>
      <c r="J92" s="67" t="n"/>
      <c r="K92" s="68">
        <f>IFERROR(VLOOKUP(G92,Stage_Lookup!$A$2:$B$8,2,0),"")</f>
        <v/>
      </c>
      <c r="L92" s="69" t="n"/>
      <c r="M92" s="69" t="n"/>
      <c r="N92" s="67" t="n"/>
      <c r="O92" s="65" t="n"/>
      <c r="P92" s="65" t="n"/>
      <c r="Q92" s="106" t="n"/>
      <c r="R92" s="106" t="n"/>
      <c r="S92" s="106" t="n"/>
      <c r="T92">
        <f>IF(OR(G92="Closed Lost",G92="",NOT(ISNUMBER(H92))),"",H92)</f>
        <v/>
      </c>
    </row>
    <row r="93" ht="18" customHeight="1" s="96">
      <c r="A93" s="57" t="n">
        <v>91</v>
      </c>
      <c r="B93" s="70" t="n"/>
      <c r="C93" s="70" t="n"/>
      <c r="D93" s="70" t="n"/>
      <c r="E93" s="70" t="n"/>
      <c r="F93" s="71" t="n"/>
      <c r="G93" s="70" t="n"/>
      <c r="H93" s="75" t="n"/>
      <c r="I93" s="75" t="n"/>
      <c r="J93" s="72" t="n"/>
      <c r="K93" s="73">
        <f>IFERROR(VLOOKUP(G93,Stage_Lookup!$A$2:$B$8,2,0),"")</f>
        <v/>
      </c>
      <c r="L93" s="69" t="n"/>
      <c r="M93" s="69" t="n"/>
      <c r="N93" s="72" t="n"/>
      <c r="O93" s="70" t="n"/>
      <c r="P93" s="70" t="n"/>
      <c r="Q93" s="106" t="n"/>
      <c r="R93" s="106" t="n"/>
      <c r="S93" s="106" t="n"/>
      <c r="T93">
        <f>IF(OR(G93="Closed Lost",G93="",NOT(ISNUMBER(H93))),"",H93)</f>
        <v/>
      </c>
    </row>
    <row r="94" ht="18" customHeight="1" s="96">
      <c r="A94" s="64" t="n">
        <v>92</v>
      </c>
      <c r="B94" s="65" t="n"/>
      <c r="C94" s="65" t="n"/>
      <c r="D94" s="65" t="n"/>
      <c r="E94" s="65" t="n"/>
      <c r="F94" s="66" t="n"/>
      <c r="G94" s="65" t="n"/>
      <c r="H94" s="74" t="n"/>
      <c r="I94" s="74" t="n"/>
      <c r="J94" s="67" t="n"/>
      <c r="K94" s="68">
        <f>IFERROR(VLOOKUP(G94,Stage_Lookup!$A$2:$B$8,2,0),"")</f>
        <v/>
      </c>
      <c r="L94" s="69" t="n"/>
      <c r="M94" s="69" t="n"/>
      <c r="N94" s="67" t="n"/>
      <c r="O94" s="65" t="n"/>
      <c r="P94" s="65" t="n"/>
      <c r="Q94" s="106" t="n"/>
      <c r="R94" s="106" t="n"/>
      <c r="S94" s="106" t="n"/>
      <c r="T94">
        <f>IF(OR(G94="Closed Lost",G94="",NOT(ISNUMBER(H94))),"",H94)</f>
        <v/>
      </c>
    </row>
    <row r="95" ht="18" customHeight="1" s="96">
      <c r="A95" s="57" t="n">
        <v>93</v>
      </c>
      <c r="B95" s="70" t="n"/>
      <c r="C95" s="70" t="n"/>
      <c r="D95" s="70" t="n"/>
      <c r="E95" s="70" t="n"/>
      <c r="F95" s="71" t="n"/>
      <c r="G95" s="70" t="n"/>
      <c r="H95" s="75" t="n"/>
      <c r="I95" s="75" t="n"/>
      <c r="J95" s="72" t="n"/>
      <c r="K95" s="73">
        <f>IFERROR(VLOOKUP(G95,Stage_Lookup!$A$2:$B$8,2,0),"")</f>
        <v/>
      </c>
      <c r="L95" s="69" t="n"/>
      <c r="M95" s="69" t="n"/>
      <c r="N95" s="72" t="n"/>
      <c r="O95" s="70" t="n"/>
      <c r="P95" s="70" t="n"/>
      <c r="Q95" s="106" t="n"/>
      <c r="R95" s="106" t="n"/>
      <c r="S95" s="106" t="n"/>
      <c r="T95">
        <f>IF(OR(G95="Closed Lost",G95="",NOT(ISNUMBER(H95))),"",H95)</f>
        <v/>
      </c>
    </row>
    <row r="96" ht="18" customHeight="1" s="96">
      <c r="A96" s="64" t="n">
        <v>94</v>
      </c>
      <c r="B96" s="65" t="n"/>
      <c r="C96" s="65" t="n"/>
      <c r="D96" s="65" t="n"/>
      <c r="E96" s="65" t="n"/>
      <c r="F96" s="66" t="n"/>
      <c r="G96" s="65" t="n"/>
      <c r="H96" s="74" t="n"/>
      <c r="I96" s="74" t="n"/>
      <c r="J96" s="67" t="n"/>
      <c r="K96" s="68">
        <f>IFERROR(VLOOKUP(G96,Stage_Lookup!$A$2:$B$8,2,0),"")</f>
        <v/>
      </c>
      <c r="L96" s="69" t="n"/>
      <c r="M96" s="69" t="n"/>
      <c r="N96" s="67" t="n"/>
      <c r="O96" s="65" t="n"/>
      <c r="P96" s="65" t="n"/>
      <c r="Q96" s="106" t="n"/>
      <c r="R96" s="106" t="n"/>
      <c r="S96" s="106" t="n"/>
      <c r="T96">
        <f>IF(OR(G96="Closed Lost",G96="",NOT(ISNUMBER(H96))),"",H96)</f>
        <v/>
      </c>
    </row>
    <row r="97" ht="18" customHeight="1" s="96">
      <c r="A97" s="57" t="n">
        <v>95</v>
      </c>
      <c r="B97" s="70" t="n"/>
      <c r="C97" s="70" t="n"/>
      <c r="D97" s="70" t="n"/>
      <c r="E97" s="70" t="n"/>
      <c r="F97" s="71" t="n"/>
      <c r="G97" s="70" t="n"/>
      <c r="H97" s="75" t="n"/>
      <c r="I97" s="75" t="n"/>
      <c r="J97" s="72" t="n"/>
      <c r="K97" s="73">
        <f>IFERROR(VLOOKUP(G97,Stage_Lookup!$A$2:$B$8,2,0),"")</f>
        <v/>
      </c>
      <c r="L97" s="69" t="n"/>
      <c r="M97" s="69" t="n"/>
      <c r="N97" s="72" t="n"/>
      <c r="O97" s="70" t="n"/>
      <c r="P97" s="70" t="n"/>
      <c r="Q97" s="106" t="n"/>
      <c r="R97" s="106" t="n"/>
      <c r="S97" s="106" t="n"/>
      <c r="T97">
        <f>IF(OR(G97="Closed Lost",G97="",NOT(ISNUMBER(H97))),"",H97)</f>
        <v/>
      </c>
    </row>
    <row r="98" ht="18" customHeight="1" s="96">
      <c r="A98" s="64" t="n">
        <v>96</v>
      </c>
      <c r="B98" s="65" t="n"/>
      <c r="C98" s="65" t="n"/>
      <c r="D98" s="65" t="n"/>
      <c r="E98" s="65" t="n"/>
      <c r="F98" s="66" t="n"/>
      <c r="G98" s="65" t="n"/>
      <c r="H98" s="74" t="n"/>
      <c r="I98" s="74" t="n"/>
      <c r="J98" s="67" t="n"/>
      <c r="K98" s="68">
        <f>IFERROR(VLOOKUP(G98,Stage_Lookup!$A$2:$B$8,2,0),"")</f>
        <v/>
      </c>
      <c r="L98" s="69" t="n"/>
      <c r="M98" s="69" t="n"/>
      <c r="N98" s="67" t="n"/>
      <c r="O98" s="65" t="n"/>
      <c r="P98" s="65" t="n"/>
      <c r="Q98" s="106" t="n"/>
      <c r="R98" s="106" t="n"/>
      <c r="S98" s="106" t="n"/>
      <c r="T98">
        <f>IF(OR(G98="Closed Lost",G98="",NOT(ISNUMBER(H98))),"",H98)</f>
        <v/>
      </c>
    </row>
    <row r="99" ht="18" customHeight="1" s="96">
      <c r="A99" s="57" t="n">
        <v>97</v>
      </c>
      <c r="B99" s="70" t="n"/>
      <c r="C99" s="70" t="n"/>
      <c r="D99" s="70" t="n"/>
      <c r="E99" s="70" t="n"/>
      <c r="F99" s="71" t="n"/>
      <c r="G99" s="70" t="n"/>
      <c r="H99" s="75" t="n"/>
      <c r="I99" s="75" t="n"/>
      <c r="J99" s="72" t="n"/>
      <c r="K99" s="73">
        <f>IFERROR(VLOOKUP(G99,Stage_Lookup!$A$2:$B$8,2,0),"")</f>
        <v/>
      </c>
      <c r="L99" s="69" t="n"/>
      <c r="M99" s="69" t="n"/>
      <c r="N99" s="72" t="n"/>
      <c r="O99" s="70" t="n"/>
      <c r="P99" s="70" t="n"/>
      <c r="Q99" s="106" t="n"/>
      <c r="R99" s="106" t="n"/>
      <c r="S99" s="106" t="n"/>
      <c r="T99">
        <f>IF(OR(G99="Closed Lost",G99="",NOT(ISNUMBER(H99))),"",H99)</f>
        <v/>
      </c>
    </row>
    <row r="100" ht="18" customHeight="1" s="96">
      <c r="A100" s="64" t="n">
        <v>98</v>
      </c>
      <c r="B100" s="65" t="n"/>
      <c r="C100" s="65" t="n"/>
      <c r="D100" s="65" t="n"/>
      <c r="E100" s="65" t="n"/>
      <c r="F100" s="66" t="n"/>
      <c r="G100" s="65" t="n"/>
      <c r="H100" s="74" t="n"/>
      <c r="I100" s="74" t="n"/>
      <c r="J100" s="67" t="n"/>
      <c r="K100" s="68">
        <f>IFERROR(VLOOKUP(G100,Stage_Lookup!$A$2:$B$8,2,0),"")</f>
        <v/>
      </c>
      <c r="L100" s="69" t="n"/>
      <c r="M100" s="69" t="n"/>
      <c r="N100" s="67" t="n"/>
      <c r="O100" s="65" t="n"/>
      <c r="P100" s="65" t="n"/>
      <c r="Q100" s="106" t="n"/>
      <c r="R100" s="106" t="n"/>
      <c r="S100" s="106" t="n"/>
      <c r="T100">
        <f>IF(OR(G100="Closed Lost",G100="",NOT(ISNUMBER(H100))),"",H100)</f>
        <v/>
      </c>
    </row>
    <row r="101" ht="18" customHeight="1" s="96">
      <c r="A101" s="57" t="n">
        <v>99</v>
      </c>
      <c r="B101" s="70" t="n"/>
      <c r="C101" s="70" t="n"/>
      <c r="D101" s="70" t="n"/>
      <c r="E101" s="70" t="n"/>
      <c r="F101" s="71" t="n"/>
      <c r="G101" s="70" t="n"/>
      <c r="H101" s="75" t="n"/>
      <c r="I101" s="75" t="n"/>
      <c r="J101" s="72" t="n"/>
      <c r="K101" s="73">
        <f>IFERROR(VLOOKUP(G101,Stage_Lookup!$A$2:$B$8,2,0),"")</f>
        <v/>
      </c>
      <c r="L101" s="69" t="n"/>
      <c r="M101" s="69" t="n"/>
      <c r="N101" s="72" t="n"/>
      <c r="O101" s="70" t="n"/>
      <c r="P101" s="70" t="n"/>
      <c r="Q101" s="106" t="n"/>
      <c r="R101" s="106" t="n"/>
      <c r="S101" s="106" t="n"/>
      <c r="T101">
        <f>IF(OR(G101="Closed Lost",G101="",NOT(ISNUMBER(H101))),"",H101)</f>
        <v/>
      </c>
    </row>
    <row r="102" ht="18" customHeight="1" s="96">
      <c r="A102" s="64" t="n">
        <v>100</v>
      </c>
      <c r="B102" s="65" t="n"/>
      <c r="C102" s="65" t="n"/>
      <c r="D102" s="65" t="n"/>
      <c r="E102" s="65" t="n"/>
      <c r="F102" s="66" t="n"/>
      <c r="G102" s="65" t="n"/>
      <c r="H102" s="74" t="n"/>
      <c r="I102" s="74" t="n"/>
      <c r="J102" s="67" t="n"/>
      <c r="K102" s="68">
        <f>IFERROR(VLOOKUP(G102,Stage_Lookup!$A$2:$B$8,2,0),"")</f>
        <v/>
      </c>
      <c r="L102" s="69" t="n"/>
      <c r="M102" s="69" t="n"/>
      <c r="N102" s="67" t="n"/>
      <c r="O102" s="65" t="n"/>
      <c r="P102" s="65" t="n"/>
      <c r="Q102" s="106" t="n"/>
      <c r="R102" s="106" t="n"/>
      <c r="S102" s="106" t="n"/>
      <c r="T102">
        <f>IF(OR(G102="Closed Lost",G102="",NOT(ISNUMBER(H102))),"",H102)</f>
        <v/>
      </c>
    </row>
    <row r="103" ht="18" customHeight="1" s="96">
      <c r="A103" s="57" t="n">
        <v>101</v>
      </c>
      <c r="B103" s="70" t="n"/>
      <c r="C103" s="70" t="n"/>
      <c r="D103" s="70" t="n"/>
      <c r="E103" s="70" t="n"/>
      <c r="F103" s="71" t="n"/>
      <c r="G103" s="70" t="n"/>
      <c r="H103" s="75" t="n"/>
      <c r="I103" s="75" t="n"/>
      <c r="J103" s="72" t="n"/>
      <c r="K103" s="73">
        <f>IFERROR(VLOOKUP(G103,Stage_Lookup!$A$2:$B$8,2,0),"")</f>
        <v/>
      </c>
      <c r="L103" s="69" t="n"/>
      <c r="M103" s="69" t="n"/>
      <c r="N103" s="72" t="n"/>
      <c r="O103" s="70" t="n"/>
      <c r="P103" s="70" t="n"/>
      <c r="Q103" s="106" t="n"/>
      <c r="R103" s="106" t="n"/>
      <c r="S103" s="106" t="n"/>
      <c r="T103">
        <f>IF(OR(G103="Closed Lost",G103="",NOT(ISNUMBER(H103))),"",H103)</f>
        <v/>
      </c>
    </row>
    <row r="104" ht="18" customHeight="1" s="96">
      <c r="A104" s="64" t="n">
        <v>102</v>
      </c>
      <c r="B104" s="65" t="n"/>
      <c r="C104" s="65" t="n"/>
      <c r="D104" s="65" t="n"/>
      <c r="E104" s="65" t="n"/>
      <c r="F104" s="66" t="n"/>
      <c r="G104" s="65" t="n"/>
      <c r="H104" s="74" t="n"/>
      <c r="I104" s="74" t="n"/>
      <c r="J104" s="67" t="n"/>
      <c r="K104" s="68">
        <f>IFERROR(VLOOKUP(G104,Stage_Lookup!$A$2:$B$8,2,0),"")</f>
        <v/>
      </c>
      <c r="L104" s="69" t="n"/>
      <c r="M104" s="69" t="n"/>
      <c r="N104" s="67" t="n"/>
      <c r="O104" s="65" t="n"/>
      <c r="P104" s="65" t="n"/>
      <c r="Q104" s="106" t="n"/>
      <c r="R104" s="106" t="n"/>
      <c r="S104" s="106" t="n"/>
      <c r="T104">
        <f>IF(OR(G104="Closed Lost",G104="",NOT(ISNUMBER(H104))),"",H104)</f>
        <v/>
      </c>
    </row>
    <row r="105" ht="18" customHeight="1" s="96">
      <c r="A105" s="57" t="n">
        <v>103</v>
      </c>
      <c r="B105" s="70" t="n"/>
      <c r="C105" s="70" t="n"/>
      <c r="D105" s="70" t="n"/>
      <c r="E105" s="70" t="n"/>
      <c r="F105" s="71" t="n"/>
      <c r="G105" s="70" t="n"/>
      <c r="H105" s="75" t="n"/>
      <c r="I105" s="75" t="n"/>
      <c r="J105" s="72" t="n"/>
      <c r="K105" s="73">
        <f>IFERROR(VLOOKUP(G105,Stage_Lookup!$A$2:$B$8,2,0),"")</f>
        <v/>
      </c>
      <c r="L105" s="69" t="n"/>
      <c r="M105" s="69" t="n"/>
      <c r="N105" s="72" t="n"/>
      <c r="O105" s="70" t="n"/>
      <c r="P105" s="70" t="n"/>
      <c r="Q105" s="106" t="n"/>
      <c r="R105" s="106" t="n"/>
      <c r="S105" s="106" t="n"/>
      <c r="T105">
        <f>IF(OR(G105="Closed Lost",G105="",NOT(ISNUMBER(H105))),"",H105)</f>
        <v/>
      </c>
    </row>
    <row r="106" ht="18" customHeight="1" s="96">
      <c r="A106" s="64" t="n">
        <v>104</v>
      </c>
      <c r="B106" s="65" t="n"/>
      <c r="C106" s="65" t="n"/>
      <c r="D106" s="65" t="n"/>
      <c r="E106" s="65" t="n"/>
      <c r="F106" s="66" t="n"/>
      <c r="G106" s="65" t="n"/>
      <c r="H106" s="74" t="n"/>
      <c r="I106" s="74" t="n"/>
      <c r="J106" s="67" t="n"/>
      <c r="K106" s="68">
        <f>IFERROR(VLOOKUP(G106,Stage_Lookup!$A$2:$B$8,2,0),"")</f>
        <v/>
      </c>
      <c r="L106" s="69" t="n"/>
      <c r="M106" s="69" t="n"/>
      <c r="N106" s="67" t="n"/>
      <c r="O106" s="65" t="n"/>
      <c r="P106" s="65" t="n"/>
      <c r="Q106" s="106" t="n"/>
      <c r="R106" s="106" t="n"/>
      <c r="S106" s="106" t="n"/>
      <c r="T106">
        <f>IF(OR(G106="Closed Lost",G106="",NOT(ISNUMBER(H106))),"",H106)</f>
        <v/>
      </c>
    </row>
    <row r="107" ht="18" customHeight="1" s="96">
      <c r="A107" s="57" t="n">
        <v>105</v>
      </c>
      <c r="B107" s="70" t="n"/>
      <c r="C107" s="70" t="n"/>
      <c r="D107" s="70" t="n"/>
      <c r="E107" s="70" t="n"/>
      <c r="F107" s="71" t="n"/>
      <c r="G107" s="70" t="n"/>
      <c r="H107" s="75" t="n"/>
      <c r="I107" s="75" t="n"/>
      <c r="J107" s="72" t="n"/>
      <c r="K107" s="73">
        <f>IFERROR(VLOOKUP(G107,Stage_Lookup!$A$2:$B$8,2,0),"")</f>
        <v/>
      </c>
      <c r="L107" s="69" t="n"/>
      <c r="M107" s="69" t="n"/>
      <c r="N107" s="72" t="n"/>
      <c r="O107" s="70" t="n"/>
      <c r="P107" s="70" t="n"/>
      <c r="Q107" s="106" t="n"/>
      <c r="R107" s="106" t="n"/>
      <c r="S107" s="106" t="n"/>
      <c r="T107">
        <f>IF(OR(G107="Closed Lost",G107="",NOT(ISNUMBER(H107))),"",H107)</f>
        <v/>
      </c>
    </row>
    <row r="108" ht="18" customHeight="1" s="96">
      <c r="A108" s="64" t="n">
        <v>106</v>
      </c>
      <c r="B108" s="65" t="n"/>
      <c r="C108" s="65" t="n"/>
      <c r="D108" s="65" t="n"/>
      <c r="E108" s="65" t="n"/>
      <c r="F108" s="66" t="n"/>
      <c r="G108" s="65" t="n"/>
      <c r="H108" s="74" t="n"/>
      <c r="I108" s="74" t="n"/>
      <c r="J108" s="67" t="n"/>
      <c r="K108" s="68">
        <f>IFERROR(VLOOKUP(G108,Stage_Lookup!$A$2:$B$8,2,0),"")</f>
        <v/>
      </c>
      <c r="L108" s="69" t="n"/>
      <c r="M108" s="69" t="n"/>
      <c r="N108" s="67" t="n"/>
      <c r="O108" s="65" t="n"/>
      <c r="P108" s="65" t="n"/>
      <c r="Q108" s="106" t="n"/>
      <c r="R108" s="106" t="n"/>
      <c r="S108" s="106" t="n"/>
      <c r="T108">
        <f>IF(OR(G108="Closed Lost",G108="",NOT(ISNUMBER(H108))),"",H108)</f>
        <v/>
      </c>
    </row>
    <row r="109" ht="18" customHeight="1" s="96">
      <c r="A109" s="57" t="n">
        <v>107</v>
      </c>
      <c r="B109" s="70" t="n"/>
      <c r="C109" s="70" t="n"/>
      <c r="D109" s="70" t="n"/>
      <c r="E109" s="70" t="n"/>
      <c r="F109" s="71" t="n"/>
      <c r="G109" s="70" t="n"/>
      <c r="H109" s="75" t="n"/>
      <c r="I109" s="75" t="n"/>
      <c r="J109" s="72" t="n"/>
      <c r="K109" s="73">
        <f>IFERROR(VLOOKUP(G109,Stage_Lookup!$A$2:$B$8,2,0),"")</f>
        <v/>
      </c>
      <c r="L109" s="69" t="n"/>
      <c r="M109" s="69" t="n"/>
      <c r="N109" s="72" t="n"/>
      <c r="O109" s="70" t="n"/>
      <c r="P109" s="70" t="n"/>
      <c r="Q109" s="106" t="n"/>
      <c r="R109" s="106" t="n"/>
      <c r="S109" s="106" t="n"/>
      <c r="T109">
        <f>IF(OR(G109="Closed Lost",G109="",NOT(ISNUMBER(H109))),"",H109)</f>
        <v/>
      </c>
    </row>
    <row r="110" ht="18" customHeight="1" s="96">
      <c r="A110" s="64" t="n">
        <v>108</v>
      </c>
      <c r="B110" s="65" t="n"/>
      <c r="C110" s="65" t="n"/>
      <c r="D110" s="65" t="n"/>
      <c r="E110" s="65" t="n"/>
      <c r="F110" s="66" t="n"/>
      <c r="G110" s="65" t="n"/>
      <c r="H110" s="74" t="n"/>
      <c r="I110" s="74" t="n"/>
      <c r="J110" s="67" t="n"/>
      <c r="K110" s="68">
        <f>IFERROR(VLOOKUP(G110,Stage_Lookup!$A$2:$B$8,2,0),"")</f>
        <v/>
      </c>
      <c r="L110" s="69" t="n"/>
      <c r="M110" s="69" t="n"/>
      <c r="N110" s="67" t="n"/>
      <c r="O110" s="65" t="n"/>
      <c r="P110" s="65" t="n"/>
      <c r="Q110" s="106" t="n"/>
      <c r="R110" s="106" t="n"/>
      <c r="S110" s="106" t="n"/>
      <c r="T110">
        <f>IF(OR(G110="Closed Lost",G110="",NOT(ISNUMBER(H110))),"",H110)</f>
        <v/>
      </c>
    </row>
    <row r="111" ht="18" customHeight="1" s="96">
      <c r="A111" s="57" t="n">
        <v>109</v>
      </c>
      <c r="B111" s="70" t="n"/>
      <c r="C111" s="70" t="n"/>
      <c r="D111" s="70" t="n"/>
      <c r="E111" s="70" t="n"/>
      <c r="F111" s="71" t="n"/>
      <c r="G111" s="70" t="n"/>
      <c r="H111" s="75" t="n"/>
      <c r="I111" s="75" t="n"/>
      <c r="J111" s="72" t="n"/>
      <c r="K111" s="73">
        <f>IFERROR(VLOOKUP(G111,Stage_Lookup!$A$2:$B$8,2,0),"")</f>
        <v/>
      </c>
      <c r="L111" s="69" t="n"/>
      <c r="M111" s="69" t="n"/>
      <c r="N111" s="72" t="n"/>
      <c r="O111" s="70" t="n"/>
      <c r="P111" s="70" t="n"/>
      <c r="Q111" s="106" t="n"/>
      <c r="R111" s="106" t="n"/>
      <c r="S111" s="106" t="n"/>
      <c r="T111">
        <f>IF(OR(G111="Closed Lost",G111="",NOT(ISNUMBER(H111))),"",H111)</f>
        <v/>
      </c>
    </row>
    <row r="112" ht="18" customHeight="1" s="96">
      <c r="A112" s="64" t="n">
        <v>110</v>
      </c>
      <c r="B112" s="65" t="n"/>
      <c r="C112" s="65" t="n"/>
      <c r="D112" s="65" t="n"/>
      <c r="E112" s="65" t="n"/>
      <c r="F112" s="66" t="n"/>
      <c r="G112" s="65" t="n"/>
      <c r="H112" s="74" t="n"/>
      <c r="I112" s="74" t="n"/>
      <c r="J112" s="67" t="n"/>
      <c r="K112" s="68">
        <f>IFERROR(VLOOKUP(G112,Stage_Lookup!$A$2:$B$8,2,0),"")</f>
        <v/>
      </c>
      <c r="L112" s="69" t="n"/>
      <c r="M112" s="69" t="n"/>
      <c r="N112" s="67" t="n"/>
      <c r="O112" s="65" t="n"/>
      <c r="P112" s="65" t="n"/>
      <c r="Q112" s="106" t="n"/>
      <c r="R112" s="106" t="n"/>
      <c r="S112" s="106" t="n"/>
      <c r="T112">
        <f>IF(OR(G112="Closed Lost",G112="",NOT(ISNUMBER(H112))),"",H112)</f>
        <v/>
      </c>
    </row>
    <row r="113" ht="18" customHeight="1" s="96">
      <c r="A113" s="57" t="n">
        <v>111</v>
      </c>
      <c r="B113" s="70" t="n"/>
      <c r="C113" s="70" t="n"/>
      <c r="D113" s="70" t="n"/>
      <c r="E113" s="70" t="n"/>
      <c r="F113" s="71" t="n"/>
      <c r="G113" s="70" t="n"/>
      <c r="H113" s="75" t="n"/>
      <c r="I113" s="75" t="n"/>
      <c r="J113" s="72" t="n"/>
      <c r="K113" s="73">
        <f>IFERROR(VLOOKUP(G113,Stage_Lookup!$A$2:$B$8,2,0),"")</f>
        <v/>
      </c>
      <c r="L113" s="69" t="n"/>
      <c r="M113" s="69" t="n"/>
      <c r="N113" s="72" t="n"/>
      <c r="O113" s="70" t="n"/>
      <c r="P113" s="70" t="n"/>
      <c r="Q113" s="106" t="n"/>
      <c r="R113" s="106" t="n"/>
      <c r="S113" s="106" t="n"/>
      <c r="T113">
        <f>IF(OR(G113="Closed Lost",G113="",NOT(ISNUMBER(H113))),"",H113)</f>
        <v/>
      </c>
    </row>
    <row r="114" ht="18" customHeight="1" s="96">
      <c r="A114" s="64" t="n">
        <v>112</v>
      </c>
      <c r="B114" s="65" t="n"/>
      <c r="C114" s="65" t="n"/>
      <c r="D114" s="65" t="n"/>
      <c r="E114" s="65" t="n"/>
      <c r="F114" s="66" t="n"/>
      <c r="G114" s="65" t="n"/>
      <c r="H114" s="74" t="n"/>
      <c r="I114" s="74" t="n"/>
      <c r="J114" s="67" t="n"/>
      <c r="K114" s="68">
        <f>IFERROR(VLOOKUP(G114,Stage_Lookup!$A$2:$B$8,2,0),"")</f>
        <v/>
      </c>
      <c r="L114" s="69" t="n"/>
      <c r="M114" s="69" t="n"/>
      <c r="N114" s="67" t="n"/>
      <c r="O114" s="65" t="n"/>
      <c r="P114" s="65" t="n"/>
      <c r="Q114" s="106" t="n"/>
      <c r="R114" s="106" t="n"/>
      <c r="S114" s="106" t="n"/>
      <c r="T114">
        <f>IF(OR(G114="Closed Lost",G114="",NOT(ISNUMBER(H114))),"",H114)</f>
        <v/>
      </c>
    </row>
    <row r="115" ht="18" customHeight="1" s="96">
      <c r="A115" s="57" t="n">
        <v>113</v>
      </c>
      <c r="B115" s="70" t="n"/>
      <c r="C115" s="70" t="n"/>
      <c r="D115" s="70" t="n"/>
      <c r="E115" s="70" t="n"/>
      <c r="F115" s="71" t="n"/>
      <c r="G115" s="70" t="n"/>
      <c r="H115" s="75" t="n"/>
      <c r="I115" s="75" t="n"/>
      <c r="J115" s="72" t="n"/>
      <c r="K115" s="73">
        <f>IFERROR(VLOOKUP(G115,Stage_Lookup!$A$2:$B$8,2,0),"")</f>
        <v/>
      </c>
      <c r="L115" s="69" t="n"/>
      <c r="M115" s="69" t="n"/>
      <c r="N115" s="72" t="n"/>
      <c r="O115" s="70" t="n"/>
      <c r="P115" s="70" t="n"/>
      <c r="Q115" s="106" t="n"/>
      <c r="R115" s="106" t="n"/>
      <c r="S115" s="106" t="n"/>
      <c r="T115">
        <f>IF(OR(G115="Closed Lost",G115="",NOT(ISNUMBER(H115))),"",H115)</f>
        <v/>
      </c>
    </row>
    <row r="116" ht="18" customHeight="1" s="96">
      <c r="A116" s="64" t="n">
        <v>114</v>
      </c>
      <c r="B116" s="65" t="n"/>
      <c r="C116" s="65" t="n"/>
      <c r="D116" s="65" t="n"/>
      <c r="E116" s="65" t="n"/>
      <c r="F116" s="66" t="n"/>
      <c r="G116" s="65" t="n"/>
      <c r="H116" s="74" t="n"/>
      <c r="I116" s="74" t="n"/>
      <c r="J116" s="67" t="n"/>
      <c r="K116" s="68">
        <f>IFERROR(VLOOKUP(G116,Stage_Lookup!$A$2:$B$8,2,0),"")</f>
        <v/>
      </c>
      <c r="L116" s="69" t="n"/>
      <c r="M116" s="69" t="n"/>
      <c r="N116" s="67" t="n"/>
      <c r="O116" s="65" t="n"/>
      <c r="P116" s="65" t="n"/>
      <c r="Q116" s="106" t="n"/>
      <c r="R116" s="106" t="n"/>
      <c r="S116" s="106" t="n"/>
      <c r="T116">
        <f>IF(OR(G116="Closed Lost",G116="",NOT(ISNUMBER(H116))),"",H116)</f>
        <v/>
      </c>
    </row>
    <row r="117" ht="18" customHeight="1" s="96">
      <c r="A117" s="57" t="n">
        <v>115</v>
      </c>
      <c r="B117" s="70" t="n"/>
      <c r="C117" s="70" t="n"/>
      <c r="D117" s="70" t="n"/>
      <c r="E117" s="70" t="n"/>
      <c r="F117" s="71" t="n"/>
      <c r="G117" s="70" t="n"/>
      <c r="H117" s="75" t="n"/>
      <c r="I117" s="75" t="n"/>
      <c r="J117" s="72" t="n"/>
      <c r="K117" s="73">
        <f>IFERROR(VLOOKUP(G117,Stage_Lookup!$A$2:$B$8,2,0),"")</f>
        <v/>
      </c>
      <c r="L117" s="69" t="n"/>
      <c r="M117" s="69" t="n"/>
      <c r="N117" s="72" t="n"/>
      <c r="O117" s="70" t="n"/>
      <c r="P117" s="70" t="n"/>
      <c r="Q117" s="106" t="n"/>
      <c r="R117" s="106" t="n"/>
      <c r="S117" s="106" t="n"/>
      <c r="T117">
        <f>IF(OR(G117="Closed Lost",G117="",NOT(ISNUMBER(H117))),"",H117)</f>
        <v/>
      </c>
    </row>
    <row r="118" ht="18" customHeight="1" s="96">
      <c r="A118" s="64" t="n">
        <v>116</v>
      </c>
      <c r="B118" s="65" t="n"/>
      <c r="C118" s="65" t="n"/>
      <c r="D118" s="65" t="n"/>
      <c r="E118" s="65" t="n"/>
      <c r="F118" s="66" t="n"/>
      <c r="G118" s="65" t="n"/>
      <c r="H118" s="74" t="n"/>
      <c r="I118" s="74" t="n"/>
      <c r="J118" s="67" t="n"/>
      <c r="K118" s="68">
        <f>IFERROR(VLOOKUP(G118,Stage_Lookup!$A$2:$B$8,2,0),"")</f>
        <v/>
      </c>
      <c r="L118" s="69" t="n"/>
      <c r="M118" s="69" t="n"/>
      <c r="N118" s="67" t="n"/>
      <c r="O118" s="65" t="n"/>
      <c r="P118" s="65" t="n"/>
      <c r="Q118" s="106" t="n"/>
      <c r="R118" s="106" t="n"/>
      <c r="S118" s="106" t="n"/>
      <c r="T118">
        <f>IF(OR(G118="Closed Lost",G118="",NOT(ISNUMBER(H118))),"",H118)</f>
        <v/>
      </c>
    </row>
    <row r="119" ht="18" customHeight="1" s="96">
      <c r="A119" s="57" t="n">
        <v>117</v>
      </c>
      <c r="B119" s="70" t="n"/>
      <c r="C119" s="70" t="n"/>
      <c r="D119" s="70" t="n"/>
      <c r="E119" s="70" t="n"/>
      <c r="F119" s="71" t="n"/>
      <c r="G119" s="70" t="n"/>
      <c r="H119" s="75" t="n"/>
      <c r="I119" s="75" t="n"/>
      <c r="J119" s="72" t="n"/>
      <c r="K119" s="73">
        <f>IFERROR(VLOOKUP(G119,Stage_Lookup!$A$2:$B$8,2,0),"")</f>
        <v/>
      </c>
      <c r="L119" s="69" t="n"/>
      <c r="M119" s="69" t="n"/>
      <c r="N119" s="72" t="n"/>
      <c r="O119" s="70" t="n"/>
      <c r="P119" s="70" t="n"/>
      <c r="Q119" s="106" t="n"/>
      <c r="R119" s="106" t="n"/>
      <c r="S119" s="106" t="n"/>
      <c r="T119">
        <f>IF(OR(G119="Closed Lost",G119="",NOT(ISNUMBER(H119))),"",H119)</f>
        <v/>
      </c>
    </row>
    <row r="120" ht="18" customHeight="1" s="96">
      <c r="A120" s="64" t="n">
        <v>118</v>
      </c>
      <c r="B120" s="65" t="n"/>
      <c r="C120" s="65" t="n"/>
      <c r="D120" s="65" t="n"/>
      <c r="E120" s="65" t="n"/>
      <c r="F120" s="66" t="n"/>
      <c r="G120" s="65" t="n"/>
      <c r="H120" s="74" t="n"/>
      <c r="I120" s="74" t="n"/>
      <c r="J120" s="67" t="n"/>
      <c r="K120" s="68">
        <f>IFERROR(VLOOKUP(G120,Stage_Lookup!$A$2:$B$8,2,0),"")</f>
        <v/>
      </c>
      <c r="L120" s="69" t="n"/>
      <c r="M120" s="69" t="n"/>
      <c r="N120" s="67" t="n"/>
      <c r="O120" s="65" t="n"/>
      <c r="P120" s="65" t="n"/>
      <c r="Q120" s="106" t="n"/>
      <c r="R120" s="106" t="n"/>
      <c r="S120" s="106" t="n"/>
      <c r="T120">
        <f>IF(OR(G120="Closed Lost",G120="",NOT(ISNUMBER(H120))),"",H120)</f>
        <v/>
      </c>
    </row>
    <row r="121" ht="18" customHeight="1" s="96">
      <c r="A121" s="57" t="n">
        <v>119</v>
      </c>
      <c r="B121" s="70" t="n"/>
      <c r="C121" s="70" t="n"/>
      <c r="D121" s="70" t="n"/>
      <c r="E121" s="70" t="n"/>
      <c r="F121" s="71" t="n"/>
      <c r="G121" s="70" t="n"/>
      <c r="H121" s="75" t="n"/>
      <c r="I121" s="75" t="n"/>
      <c r="J121" s="72" t="n"/>
      <c r="K121" s="73">
        <f>IFERROR(VLOOKUP(G121,Stage_Lookup!$A$2:$B$8,2,0),"")</f>
        <v/>
      </c>
      <c r="L121" s="69" t="n"/>
      <c r="M121" s="69" t="n"/>
      <c r="N121" s="72" t="n"/>
      <c r="O121" s="70" t="n"/>
      <c r="P121" s="70" t="n"/>
      <c r="Q121" s="106" t="n"/>
      <c r="R121" s="106" t="n"/>
      <c r="S121" s="106" t="n"/>
      <c r="T121">
        <f>IF(OR(G121="Closed Lost",G121="",NOT(ISNUMBER(H121))),"",H121)</f>
        <v/>
      </c>
    </row>
    <row r="122" ht="18" customHeight="1" s="96">
      <c r="A122" s="64" t="n">
        <v>120</v>
      </c>
      <c r="B122" s="65" t="n"/>
      <c r="C122" s="65" t="n"/>
      <c r="D122" s="65" t="n"/>
      <c r="E122" s="65" t="n"/>
      <c r="F122" s="66" t="n"/>
      <c r="G122" s="65" t="n"/>
      <c r="H122" s="74" t="n"/>
      <c r="I122" s="74" t="n"/>
      <c r="J122" s="67" t="n"/>
      <c r="K122" s="68">
        <f>IFERROR(VLOOKUP(G122,Stage_Lookup!$A$2:$B$8,2,0),"")</f>
        <v/>
      </c>
      <c r="L122" s="69" t="n"/>
      <c r="M122" s="69" t="n"/>
      <c r="N122" s="67" t="n"/>
      <c r="O122" s="65" t="n"/>
      <c r="P122" s="65" t="n"/>
      <c r="Q122" s="106" t="n"/>
      <c r="R122" s="106" t="n"/>
      <c r="S122" s="106" t="n"/>
      <c r="T122">
        <f>IF(OR(G122="Closed Lost",G122="",NOT(ISNUMBER(H122))),"",H122)</f>
        <v/>
      </c>
    </row>
    <row r="123" ht="18" customHeight="1" s="96">
      <c r="A123" s="57" t="n">
        <v>121</v>
      </c>
      <c r="B123" s="70" t="n"/>
      <c r="C123" s="70" t="n"/>
      <c r="D123" s="70" t="n"/>
      <c r="E123" s="70" t="n"/>
      <c r="F123" s="71" t="n"/>
      <c r="G123" s="70" t="n"/>
      <c r="H123" s="75" t="n"/>
      <c r="I123" s="75" t="n"/>
      <c r="J123" s="72" t="n"/>
      <c r="K123" s="73">
        <f>IFERROR(VLOOKUP(G123,Stage_Lookup!$A$2:$B$8,2,0),"")</f>
        <v/>
      </c>
      <c r="L123" s="69" t="n"/>
      <c r="M123" s="69" t="n"/>
      <c r="N123" s="72" t="n"/>
      <c r="O123" s="70" t="n"/>
      <c r="P123" s="70" t="n"/>
      <c r="Q123" s="106" t="n"/>
      <c r="R123" s="106" t="n"/>
      <c r="S123" s="106" t="n"/>
      <c r="T123">
        <f>IF(OR(G123="Closed Lost",G123="",NOT(ISNUMBER(H123))),"",H123)</f>
        <v/>
      </c>
    </row>
    <row r="124" ht="18" customHeight="1" s="96">
      <c r="A124" s="64" t="n">
        <v>122</v>
      </c>
      <c r="B124" s="65" t="n"/>
      <c r="C124" s="65" t="n"/>
      <c r="D124" s="65" t="n"/>
      <c r="E124" s="65" t="n"/>
      <c r="F124" s="66" t="n"/>
      <c r="G124" s="65" t="n"/>
      <c r="H124" s="74" t="n"/>
      <c r="I124" s="74" t="n"/>
      <c r="J124" s="67" t="n"/>
      <c r="K124" s="68">
        <f>IFERROR(VLOOKUP(G124,Stage_Lookup!$A$2:$B$8,2,0),"")</f>
        <v/>
      </c>
      <c r="L124" s="69" t="n"/>
      <c r="M124" s="69" t="n"/>
      <c r="N124" s="67" t="n"/>
      <c r="O124" s="65" t="n"/>
      <c r="P124" s="65" t="n"/>
      <c r="Q124" s="106" t="n"/>
      <c r="R124" s="106" t="n"/>
      <c r="S124" s="106" t="n"/>
      <c r="T124">
        <f>IF(OR(G124="Closed Lost",G124="",NOT(ISNUMBER(H124))),"",H124)</f>
        <v/>
      </c>
    </row>
    <row r="125" ht="18" customHeight="1" s="96">
      <c r="A125" s="57" t="n">
        <v>123</v>
      </c>
      <c r="B125" s="70" t="n"/>
      <c r="C125" s="70" t="n"/>
      <c r="D125" s="70" t="n"/>
      <c r="E125" s="70" t="n"/>
      <c r="F125" s="71" t="n"/>
      <c r="G125" s="70" t="n"/>
      <c r="H125" s="75" t="n"/>
      <c r="I125" s="75" t="n"/>
      <c r="J125" s="72" t="n"/>
      <c r="K125" s="73">
        <f>IFERROR(VLOOKUP(G125,Stage_Lookup!$A$2:$B$8,2,0),"")</f>
        <v/>
      </c>
      <c r="L125" s="69" t="n"/>
      <c r="M125" s="69" t="n"/>
      <c r="N125" s="72" t="n"/>
      <c r="O125" s="70" t="n"/>
      <c r="P125" s="70" t="n"/>
      <c r="Q125" s="106" t="n"/>
      <c r="R125" s="106" t="n"/>
      <c r="S125" s="106" t="n"/>
      <c r="T125">
        <f>IF(OR(G125="Closed Lost",G125="",NOT(ISNUMBER(H125))),"",H125)</f>
        <v/>
      </c>
    </row>
    <row r="126" ht="18" customHeight="1" s="96">
      <c r="A126" s="64" t="n">
        <v>124</v>
      </c>
      <c r="B126" s="65" t="n"/>
      <c r="C126" s="65" t="n"/>
      <c r="D126" s="65" t="n"/>
      <c r="E126" s="65" t="n"/>
      <c r="F126" s="66" t="n"/>
      <c r="G126" s="65" t="n"/>
      <c r="H126" s="74" t="n"/>
      <c r="I126" s="74" t="n"/>
      <c r="J126" s="67" t="n"/>
      <c r="K126" s="68">
        <f>IFERROR(VLOOKUP(G126,Stage_Lookup!$A$2:$B$8,2,0),"")</f>
        <v/>
      </c>
      <c r="L126" s="69" t="n"/>
      <c r="M126" s="69" t="n"/>
      <c r="N126" s="67" t="n"/>
      <c r="O126" s="65" t="n"/>
      <c r="P126" s="65" t="n"/>
      <c r="Q126" s="106" t="n"/>
      <c r="R126" s="106" t="n"/>
      <c r="S126" s="106" t="n"/>
      <c r="T126">
        <f>IF(OR(G126="Closed Lost",G126="",NOT(ISNUMBER(H126))),"",H126)</f>
        <v/>
      </c>
    </row>
    <row r="127" ht="18" customHeight="1" s="96">
      <c r="A127" s="57" t="n">
        <v>125</v>
      </c>
      <c r="B127" s="70" t="n"/>
      <c r="C127" s="70" t="n"/>
      <c r="D127" s="70" t="n"/>
      <c r="E127" s="70" t="n"/>
      <c r="F127" s="71" t="n"/>
      <c r="G127" s="70" t="n"/>
      <c r="H127" s="75" t="n"/>
      <c r="I127" s="75" t="n"/>
      <c r="J127" s="72" t="n"/>
      <c r="K127" s="73">
        <f>IFERROR(VLOOKUP(G127,Stage_Lookup!$A$2:$B$8,2,0),"")</f>
        <v/>
      </c>
      <c r="L127" s="69" t="n"/>
      <c r="M127" s="69" t="n"/>
      <c r="N127" s="72" t="n"/>
      <c r="O127" s="70" t="n"/>
      <c r="P127" s="70" t="n"/>
      <c r="Q127" s="106" t="n"/>
      <c r="R127" s="106" t="n"/>
      <c r="S127" s="106" t="n"/>
      <c r="T127">
        <f>IF(OR(G127="Closed Lost",G127="",NOT(ISNUMBER(H127))),"",H127)</f>
        <v/>
      </c>
    </row>
    <row r="128" ht="18" customHeight="1" s="96">
      <c r="A128" s="64" t="n">
        <v>126</v>
      </c>
      <c r="B128" s="65" t="n"/>
      <c r="C128" s="65" t="n"/>
      <c r="D128" s="65" t="n"/>
      <c r="E128" s="65" t="n"/>
      <c r="F128" s="66" t="n"/>
      <c r="G128" s="65" t="n"/>
      <c r="H128" s="74" t="n"/>
      <c r="I128" s="74" t="n"/>
      <c r="J128" s="67" t="n"/>
      <c r="K128" s="68">
        <f>IFERROR(VLOOKUP(G128,Stage_Lookup!$A$2:$B$8,2,0),"")</f>
        <v/>
      </c>
      <c r="L128" s="69" t="n"/>
      <c r="M128" s="69" t="n"/>
      <c r="N128" s="67" t="n"/>
      <c r="O128" s="65" t="n"/>
      <c r="P128" s="65" t="n"/>
      <c r="Q128" s="106" t="n"/>
      <c r="R128" s="106" t="n"/>
      <c r="S128" s="106" t="n"/>
      <c r="T128">
        <f>IF(OR(G128="Closed Lost",G128="",NOT(ISNUMBER(H128))),"",H128)</f>
        <v/>
      </c>
    </row>
    <row r="129" ht="18" customHeight="1" s="96">
      <c r="A129" s="57" t="n">
        <v>127</v>
      </c>
      <c r="B129" s="70" t="n"/>
      <c r="C129" s="70" t="n"/>
      <c r="D129" s="70" t="n"/>
      <c r="E129" s="70" t="n"/>
      <c r="F129" s="71" t="n"/>
      <c r="G129" s="70" t="n"/>
      <c r="H129" s="75" t="n"/>
      <c r="I129" s="75" t="n"/>
      <c r="J129" s="72" t="n"/>
      <c r="K129" s="73">
        <f>IFERROR(VLOOKUP(G129,Stage_Lookup!$A$2:$B$8,2,0),"")</f>
        <v/>
      </c>
      <c r="L129" s="69" t="n"/>
      <c r="M129" s="69" t="n"/>
      <c r="N129" s="72" t="n"/>
      <c r="O129" s="70" t="n"/>
      <c r="P129" s="70" t="n"/>
      <c r="Q129" s="106" t="n"/>
      <c r="R129" s="106" t="n"/>
      <c r="S129" s="106" t="n"/>
      <c r="T129">
        <f>IF(OR(G129="Closed Lost",G129="",NOT(ISNUMBER(H129))),"",H129)</f>
        <v/>
      </c>
    </row>
    <row r="130" ht="18" customHeight="1" s="96">
      <c r="A130" s="64" t="n">
        <v>128</v>
      </c>
      <c r="B130" s="65" t="n"/>
      <c r="C130" s="65" t="n"/>
      <c r="D130" s="65" t="n"/>
      <c r="E130" s="65" t="n"/>
      <c r="F130" s="66" t="n"/>
      <c r="G130" s="65" t="n"/>
      <c r="H130" s="74" t="n"/>
      <c r="I130" s="74" t="n"/>
      <c r="J130" s="67" t="n"/>
      <c r="K130" s="68">
        <f>IFERROR(VLOOKUP(G130,Stage_Lookup!$A$2:$B$8,2,0),"")</f>
        <v/>
      </c>
      <c r="L130" s="69" t="n"/>
      <c r="M130" s="69" t="n"/>
      <c r="N130" s="67" t="n"/>
      <c r="O130" s="65" t="n"/>
      <c r="P130" s="65" t="n"/>
      <c r="Q130" s="106" t="n"/>
      <c r="R130" s="106" t="n"/>
      <c r="S130" s="106" t="n"/>
      <c r="T130">
        <f>IF(OR(G130="Closed Lost",G130="",NOT(ISNUMBER(H130))),"",H130)</f>
        <v/>
      </c>
    </row>
    <row r="131" ht="18" customHeight="1" s="96">
      <c r="A131" s="57" t="n">
        <v>129</v>
      </c>
      <c r="B131" s="70" t="n"/>
      <c r="C131" s="70" t="n"/>
      <c r="D131" s="70" t="n"/>
      <c r="E131" s="70" t="n"/>
      <c r="F131" s="71" t="n"/>
      <c r="G131" s="70" t="n"/>
      <c r="H131" s="75" t="n"/>
      <c r="I131" s="75" t="n"/>
      <c r="J131" s="72" t="n"/>
      <c r="K131" s="73">
        <f>IFERROR(VLOOKUP(G131,Stage_Lookup!$A$2:$B$8,2,0),"")</f>
        <v/>
      </c>
      <c r="L131" s="69" t="n"/>
      <c r="M131" s="69" t="n"/>
      <c r="N131" s="72" t="n"/>
      <c r="O131" s="70" t="n"/>
      <c r="P131" s="70" t="n"/>
      <c r="Q131" s="106" t="n"/>
      <c r="R131" s="106" t="n"/>
      <c r="S131" s="106" t="n"/>
      <c r="T131">
        <f>IF(OR(G131="Closed Lost",G131="",NOT(ISNUMBER(H131))),"",H131)</f>
        <v/>
      </c>
    </row>
    <row r="132" ht="18" customHeight="1" s="96">
      <c r="A132" s="64" t="n">
        <v>130</v>
      </c>
      <c r="B132" s="65" t="n"/>
      <c r="C132" s="65" t="n"/>
      <c r="D132" s="65" t="n"/>
      <c r="E132" s="65" t="n"/>
      <c r="F132" s="66" t="n"/>
      <c r="G132" s="65" t="n"/>
      <c r="H132" s="74" t="n"/>
      <c r="I132" s="74" t="n"/>
      <c r="J132" s="67" t="n"/>
      <c r="K132" s="68">
        <f>IFERROR(VLOOKUP(G132,Stage_Lookup!$A$2:$B$8,2,0),"")</f>
        <v/>
      </c>
      <c r="L132" s="69" t="n"/>
      <c r="M132" s="69" t="n"/>
      <c r="N132" s="67" t="n"/>
      <c r="O132" s="65" t="n"/>
      <c r="P132" s="65" t="n"/>
      <c r="Q132" s="106" t="n"/>
      <c r="R132" s="106" t="n"/>
      <c r="S132" s="106" t="n"/>
      <c r="T132">
        <f>IF(OR(G132="Closed Lost",G132="",NOT(ISNUMBER(H132))),"",H132)</f>
        <v/>
      </c>
    </row>
    <row r="133" ht="18" customHeight="1" s="96">
      <c r="A133" s="57" t="n">
        <v>131</v>
      </c>
      <c r="B133" s="70" t="n"/>
      <c r="C133" s="70" t="n"/>
      <c r="D133" s="70" t="n"/>
      <c r="E133" s="70" t="n"/>
      <c r="F133" s="71" t="n"/>
      <c r="G133" s="70" t="n"/>
      <c r="H133" s="75" t="n"/>
      <c r="I133" s="75" t="n"/>
      <c r="J133" s="72" t="n"/>
      <c r="K133" s="73">
        <f>IFERROR(VLOOKUP(G133,Stage_Lookup!$A$2:$B$8,2,0),"")</f>
        <v/>
      </c>
      <c r="L133" s="69" t="n"/>
      <c r="M133" s="69" t="n"/>
      <c r="N133" s="72" t="n"/>
      <c r="O133" s="70" t="n"/>
      <c r="P133" s="70" t="n"/>
      <c r="Q133" s="106" t="n"/>
      <c r="R133" s="106" t="n"/>
      <c r="S133" s="106" t="n"/>
      <c r="T133">
        <f>IF(OR(G133="Closed Lost",G133="",NOT(ISNUMBER(H133))),"",H133)</f>
        <v/>
      </c>
    </row>
    <row r="134" ht="18" customHeight="1" s="96">
      <c r="A134" s="64" t="n">
        <v>132</v>
      </c>
      <c r="B134" s="65" t="n"/>
      <c r="C134" s="65" t="n"/>
      <c r="D134" s="65" t="n"/>
      <c r="E134" s="65" t="n"/>
      <c r="F134" s="66" t="n"/>
      <c r="G134" s="65" t="n"/>
      <c r="H134" s="74" t="n"/>
      <c r="I134" s="74" t="n"/>
      <c r="J134" s="67" t="n"/>
      <c r="K134" s="68">
        <f>IFERROR(VLOOKUP(G134,Stage_Lookup!$A$2:$B$8,2,0),"")</f>
        <v/>
      </c>
      <c r="L134" s="69" t="n"/>
      <c r="M134" s="69" t="n"/>
      <c r="N134" s="67" t="n"/>
      <c r="O134" s="65" t="n"/>
      <c r="P134" s="65" t="n"/>
      <c r="Q134" s="106" t="n"/>
      <c r="R134" s="106" t="n"/>
      <c r="S134" s="106" t="n"/>
      <c r="T134">
        <f>IF(OR(G134="Closed Lost",G134="",NOT(ISNUMBER(H134))),"",H134)</f>
        <v/>
      </c>
    </row>
    <row r="135" ht="18" customHeight="1" s="96">
      <c r="A135" s="57" t="n">
        <v>133</v>
      </c>
      <c r="B135" s="70" t="n"/>
      <c r="C135" s="70" t="n"/>
      <c r="D135" s="70" t="n"/>
      <c r="E135" s="70" t="n"/>
      <c r="F135" s="71" t="n"/>
      <c r="G135" s="70" t="n"/>
      <c r="H135" s="75" t="n"/>
      <c r="I135" s="75" t="n"/>
      <c r="J135" s="72" t="n"/>
      <c r="K135" s="73">
        <f>IFERROR(VLOOKUP(G135,Stage_Lookup!$A$2:$B$8,2,0),"")</f>
        <v/>
      </c>
      <c r="L135" s="69" t="n"/>
      <c r="M135" s="69" t="n"/>
      <c r="N135" s="72" t="n"/>
      <c r="O135" s="70" t="n"/>
      <c r="P135" s="70" t="n"/>
      <c r="Q135" s="106" t="n"/>
      <c r="R135" s="106" t="n"/>
      <c r="S135" s="106" t="n"/>
      <c r="T135">
        <f>IF(OR(G135="Closed Lost",G135="",NOT(ISNUMBER(H135))),"",H135)</f>
        <v/>
      </c>
    </row>
    <row r="136" ht="18" customHeight="1" s="96">
      <c r="A136" s="64" t="n">
        <v>134</v>
      </c>
      <c r="B136" s="65" t="n"/>
      <c r="C136" s="65" t="n"/>
      <c r="D136" s="65" t="n"/>
      <c r="E136" s="65" t="n"/>
      <c r="F136" s="66" t="n"/>
      <c r="G136" s="65" t="n"/>
      <c r="H136" s="74" t="n"/>
      <c r="I136" s="74" t="n"/>
      <c r="J136" s="67" t="n"/>
      <c r="K136" s="68">
        <f>IFERROR(VLOOKUP(G136,Stage_Lookup!$A$2:$B$8,2,0),"")</f>
        <v/>
      </c>
      <c r="L136" s="69" t="n"/>
      <c r="M136" s="69" t="n"/>
      <c r="N136" s="67" t="n"/>
      <c r="O136" s="65" t="n"/>
      <c r="P136" s="65" t="n"/>
      <c r="Q136" s="106" t="n"/>
      <c r="R136" s="106" t="n"/>
      <c r="S136" s="106" t="n"/>
      <c r="T136">
        <f>IF(OR(G136="Closed Lost",G136="",NOT(ISNUMBER(H136))),"",H136)</f>
        <v/>
      </c>
    </row>
    <row r="137" ht="18" customHeight="1" s="96">
      <c r="A137" s="57" t="n">
        <v>135</v>
      </c>
      <c r="B137" s="70" t="n"/>
      <c r="C137" s="70" t="n"/>
      <c r="D137" s="70" t="n"/>
      <c r="E137" s="70" t="n"/>
      <c r="F137" s="71" t="n"/>
      <c r="G137" s="70" t="n"/>
      <c r="H137" s="75" t="n"/>
      <c r="I137" s="75" t="n"/>
      <c r="J137" s="72" t="n"/>
      <c r="K137" s="73">
        <f>IFERROR(VLOOKUP(G137,Stage_Lookup!$A$2:$B$8,2,0),"")</f>
        <v/>
      </c>
      <c r="L137" s="69" t="n"/>
      <c r="M137" s="69" t="n"/>
      <c r="N137" s="72" t="n"/>
      <c r="O137" s="70" t="n"/>
      <c r="P137" s="70" t="n"/>
      <c r="Q137" s="106" t="n"/>
      <c r="R137" s="106" t="n"/>
      <c r="S137" s="106" t="n"/>
      <c r="T137">
        <f>IF(OR(G137="Closed Lost",G137="",NOT(ISNUMBER(H137))),"",H137)</f>
        <v/>
      </c>
    </row>
    <row r="138" ht="18" customHeight="1" s="96">
      <c r="A138" s="64" t="n">
        <v>136</v>
      </c>
      <c r="B138" s="65" t="n"/>
      <c r="C138" s="65" t="n"/>
      <c r="D138" s="65" t="n"/>
      <c r="E138" s="65" t="n"/>
      <c r="F138" s="66" t="n"/>
      <c r="G138" s="65" t="n"/>
      <c r="H138" s="74" t="n"/>
      <c r="I138" s="74" t="n"/>
      <c r="J138" s="67" t="n"/>
      <c r="K138" s="68">
        <f>IFERROR(VLOOKUP(G138,Stage_Lookup!$A$2:$B$8,2,0),"")</f>
        <v/>
      </c>
      <c r="L138" s="69" t="n"/>
      <c r="M138" s="69" t="n"/>
      <c r="N138" s="67" t="n"/>
      <c r="O138" s="65" t="n"/>
      <c r="P138" s="65" t="n"/>
      <c r="Q138" s="106" t="n"/>
      <c r="R138" s="106" t="n"/>
      <c r="S138" s="106" t="n"/>
      <c r="T138">
        <f>IF(OR(G138="Closed Lost",G138="",NOT(ISNUMBER(H138))),"",H138)</f>
        <v/>
      </c>
    </row>
    <row r="139" ht="18" customHeight="1" s="96">
      <c r="A139" s="57" t="n">
        <v>137</v>
      </c>
      <c r="B139" s="70" t="n"/>
      <c r="C139" s="70" t="n"/>
      <c r="D139" s="70" t="n"/>
      <c r="E139" s="70" t="n"/>
      <c r="F139" s="71" t="n"/>
      <c r="G139" s="70" t="n"/>
      <c r="H139" s="75" t="n"/>
      <c r="I139" s="75" t="n"/>
      <c r="J139" s="72" t="n"/>
      <c r="K139" s="73">
        <f>IFERROR(VLOOKUP(G139,Stage_Lookup!$A$2:$B$8,2,0),"")</f>
        <v/>
      </c>
      <c r="L139" s="69" t="n"/>
      <c r="M139" s="69" t="n"/>
      <c r="N139" s="72" t="n"/>
      <c r="O139" s="70" t="n"/>
      <c r="P139" s="70" t="n"/>
      <c r="Q139" s="106" t="n"/>
      <c r="R139" s="106" t="n"/>
      <c r="S139" s="106" t="n"/>
      <c r="T139">
        <f>IF(OR(G139="Closed Lost",G139="",NOT(ISNUMBER(H139))),"",H139)</f>
        <v/>
      </c>
    </row>
    <row r="140" ht="18" customHeight="1" s="96">
      <c r="A140" s="64" t="n">
        <v>138</v>
      </c>
      <c r="B140" s="65" t="n"/>
      <c r="C140" s="65" t="n"/>
      <c r="D140" s="65" t="n"/>
      <c r="E140" s="65" t="n"/>
      <c r="F140" s="66" t="n"/>
      <c r="G140" s="65" t="n"/>
      <c r="H140" s="74" t="n"/>
      <c r="I140" s="74" t="n"/>
      <c r="J140" s="67" t="n"/>
      <c r="K140" s="68">
        <f>IFERROR(VLOOKUP(G140,Stage_Lookup!$A$2:$B$8,2,0),"")</f>
        <v/>
      </c>
      <c r="L140" s="69" t="n"/>
      <c r="M140" s="69" t="n"/>
      <c r="N140" s="67" t="n"/>
      <c r="O140" s="65" t="n"/>
      <c r="P140" s="65" t="n"/>
      <c r="Q140" s="106" t="n"/>
      <c r="R140" s="106" t="n"/>
      <c r="S140" s="106" t="n"/>
      <c r="T140">
        <f>IF(OR(G140="Closed Lost",G140="",NOT(ISNUMBER(H140))),"",H140)</f>
        <v/>
      </c>
    </row>
    <row r="141" ht="18" customHeight="1" s="96">
      <c r="A141" s="57" t="n">
        <v>139</v>
      </c>
      <c r="B141" s="70" t="n"/>
      <c r="C141" s="70" t="n"/>
      <c r="D141" s="70" t="n"/>
      <c r="E141" s="70" t="n"/>
      <c r="F141" s="71" t="n"/>
      <c r="G141" s="70" t="n"/>
      <c r="H141" s="75" t="n"/>
      <c r="I141" s="75" t="n"/>
      <c r="J141" s="72" t="n"/>
      <c r="K141" s="73">
        <f>IFERROR(VLOOKUP(G141,Stage_Lookup!$A$2:$B$8,2,0),"")</f>
        <v/>
      </c>
      <c r="L141" s="69" t="n"/>
      <c r="M141" s="69" t="n"/>
      <c r="N141" s="72" t="n"/>
      <c r="O141" s="70" t="n"/>
      <c r="P141" s="70" t="n"/>
      <c r="Q141" s="106" t="n"/>
      <c r="R141" s="106" t="n"/>
      <c r="S141" s="106" t="n"/>
      <c r="T141">
        <f>IF(OR(G141="Closed Lost",G141="",NOT(ISNUMBER(H141))),"",H141)</f>
        <v/>
      </c>
    </row>
    <row r="142" ht="18" customHeight="1" s="96">
      <c r="A142" s="64" t="n">
        <v>140</v>
      </c>
      <c r="B142" s="65" t="n"/>
      <c r="C142" s="65" t="n"/>
      <c r="D142" s="65" t="n"/>
      <c r="E142" s="65" t="n"/>
      <c r="F142" s="66" t="n"/>
      <c r="G142" s="65" t="n"/>
      <c r="H142" s="74" t="n"/>
      <c r="I142" s="74" t="n"/>
      <c r="J142" s="67" t="n"/>
      <c r="K142" s="68">
        <f>IFERROR(VLOOKUP(G142,Stage_Lookup!$A$2:$B$8,2,0),"")</f>
        <v/>
      </c>
      <c r="L142" s="69" t="n"/>
      <c r="M142" s="69" t="n"/>
      <c r="N142" s="67" t="n"/>
      <c r="O142" s="65" t="n"/>
      <c r="P142" s="65" t="n"/>
      <c r="Q142" s="106" t="n"/>
      <c r="R142" s="106" t="n"/>
      <c r="S142" s="106" t="n"/>
      <c r="T142">
        <f>IF(OR(G142="Closed Lost",G142="",NOT(ISNUMBER(H142))),"",H142)</f>
        <v/>
      </c>
    </row>
    <row r="143" ht="18" customHeight="1" s="96">
      <c r="A143" s="57" t="n">
        <v>141</v>
      </c>
      <c r="B143" s="70" t="n"/>
      <c r="C143" s="70" t="n"/>
      <c r="D143" s="70" t="n"/>
      <c r="E143" s="70" t="n"/>
      <c r="F143" s="71" t="n"/>
      <c r="G143" s="70" t="n"/>
      <c r="H143" s="75" t="n"/>
      <c r="I143" s="75" t="n"/>
      <c r="J143" s="72" t="n"/>
      <c r="K143" s="73">
        <f>IFERROR(VLOOKUP(G143,Stage_Lookup!$A$2:$B$8,2,0),"")</f>
        <v/>
      </c>
      <c r="L143" s="69" t="n"/>
      <c r="M143" s="69" t="n"/>
      <c r="N143" s="72" t="n"/>
      <c r="O143" s="70" t="n"/>
      <c r="P143" s="70" t="n"/>
      <c r="Q143" s="106" t="n"/>
      <c r="R143" s="106" t="n"/>
      <c r="S143" s="106" t="n"/>
      <c r="T143">
        <f>IF(OR(G143="Closed Lost",G143="",NOT(ISNUMBER(H143))),"",H143)</f>
        <v/>
      </c>
    </row>
    <row r="144" ht="18" customHeight="1" s="96">
      <c r="A144" s="64" t="n">
        <v>142</v>
      </c>
      <c r="B144" s="65" t="n"/>
      <c r="C144" s="65" t="n"/>
      <c r="D144" s="65" t="n"/>
      <c r="E144" s="65" t="n"/>
      <c r="F144" s="66" t="n"/>
      <c r="G144" s="65" t="n"/>
      <c r="H144" s="74" t="n"/>
      <c r="I144" s="74" t="n"/>
      <c r="J144" s="67" t="n"/>
      <c r="K144" s="68">
        <f>IFERROR(VLOOKUP(G144,Stage_Lookup!$A$2:$B$8,2,0),"")</f>
        <v/>
      </c>
      <c r="L144" s="69" t="n"/>
      <c r="M144" s="69" t="n"/>
      <c r="N144" s="67" t="n"/>
      <c r="O144" s="65" t="n"/>
      <c r="P144" s="65" t="n"/>
      <c r="Q144" s="106" t="n"/>
      <c r="R144" s="106" t="n"/>
      <c r="S144" s="106" t="n"/>
      <c r="T144">
        <f>IF(OR(G144="Closed Lost",G144="",NOT(ISNUMBER(H144))),"",H144)</f>
        <v/>
      </c>
    </row>
    <row r="145" ht="18" customHeight="1" s="96">
      <c r="A145" s="57" t="n">
        <v>143</v>
      </c>
      <c r="B145" s="70" t="n"/>
      <c r="C145" s="70" t="n"/>
      <c r="D145" s="70" t="n"/>
      <c r="E145" s="70" t="n"/>
      <c r="F145" s="71" t="n"/>
      <c r="G145" s="70" t="n"/>
      <c r="H145" s="75" t="n"/>
      <c r="I145" s="75" t="n"/>
      <c r="J145" s="72" t="n"/>
      <c r="K145" s="73">
        <f>IFERROR(VLOOKUP(G145,Stage_Lookup!$A$2:$B$8,2,0),"")</f>
        <v/>
      </c>
      <c r="L145" s="69" t="n"/>
      <c r="M145" s="69" t="n"/>
      <c r="N145" s="72" t="n"/>
      <c r="O145" s="70" t="n"/>
      <c r="P145" s="70" t="n"/>
      <c r="Q145" s="106" t="n"/>
      <c r="R145" s="106" t="n"/>
      <c r="S145" s="106" t="n"/>
      <c r="T145">
        <f>IF(OR(G145="Closed Lost",G145="",NOT(ISNUMBER(H145))),"",H145)</f>
        <v/>
      </c>
    </row>
    <row r="146" ht="18" customHeight="1" s="96">
      <c r="A146" s="64" t="n">
        <v>144</v>
      </c>
      <c r="B146" s="65" t="n"/>
      <c r="C146" s="65" t="n"/>
      <c r="D146" s="65" t="n"/>
      <c r="E146" s="65" t="n"/>
      <c r="F146" s="66" t="n"/>
      <c r="G146" s="65" t="n"/>
      <c r="H146" s="74" t="n"/>
      <c r="I146" s="74" t="n"/>
      <c r="J146" s="67" t="n"/>
      <c r="K146" s="68">
        <f>IFERROR(VLOOKUP(G146,Stage_Lookup!$A$2:$B$8,2,0),"")</f>
        <v/>
      </c>
      <c r="L146" s="69" t="n"/>
      <c r="M146" s="69" t="n"/>
      <c r="N146" s="67" t="n"/>
      <c r="O146" s="65" t="n"/>
      <c r="P146" s="65" t="n"/>
      <c r="Q146" s="106" t="n"/>
      <c r="R146" s="106" t="n"/>
      <c r="S146" s="106" t="n"/>
      <c r="T146">
        <f>IF(OR(G146="Closed Lost",G146="",NOT(ISNUMBER(H146))),"",H146)</f>
        <v/>
      </c>
    </row>
    <row r="147" ht="18" customHeight="1" s="96">
      <c r="A147" s="57" t="n">
        <v>145</v>
      </c>
      <c r="B147" s="70" t="n"/>
      <c r="C147" s="70" t="n"/>
      <c r="D147" s="70" t="n"/>
      <c r="E147" s="70" t="n"/>
      <c r="F147" s="71" t="n"/>
      <c r="G147" s="70" t="n"/>
      <c r="H147" s="75" t="n"/>
      <c r="I147" s="75" t="n"/>
      <c r="J147" s="72" t="n"/>
      <c r="K147" s="73">
        <f>IFERROR(VLOOKUP(G147,Stage_Lookup!$A$2:$B$8,2,0),"")</f>
        <v/>
      </c>
      <c r="L147" s="69" t="n"/>
      <c r="M147" s="69" t="n"/>
      <c r="N147" s="72" t="n"/>
      <c r="O147" s="70" t="n"/>
      <c r="P147" s="70" t="n"/>
      <c r="Q147" s="106" t="n"/>
      <c r="R147" s="106" t="n"/>
      <c r="S147" s="106" t="n"/>
      <c r="T147">
        <f>IF(OR(G147="Closed Lost",G147="",NOT(ISNUMBER(H147))),"",H147)</f>
        <v/>
      </c>
    </row>
    <row r="148" ht="18" customHeight="1" s="96">
      <c r="A148" s="64" t="n">
        <v>146</v>
      </c>
      <c r="B148" s="65" t="n"/>
      <c r="C148" s="65" t="n"/>
      <c r="D148" s="65" t="n"/>
      <c r="E148" s="65" t="n"/>
      <c r="F148" s="66" t="n"/>
      <c r="G148" s="65" t="n"/>
      <c r="H148" s="74" t="n"/>
      <c r="I148" s="74" t="n"/>
      <c r="J148" s="67" t="n"/>
      <c r="K148" s="68">
        <f>IFERROR(VLOOKUP(G148,Stage_Lookup!$A$2:$B$8,2,0),"")</f>
        <v/>
      </c>
      <c r="L148" s="69" t="n"/>
      <c r="M148" s="69" t="n"/>
      <c r="N148" s="67" t="n"/>
      <c r="O148" s="65" t="n"/>
      <c r="P148" s="65" t="n"/>
      <c r="Q148" s="106" t="n"/>
      <c r="R148" s="106" t="n"/>
      <c r="S148" s="106" t="n"/>
      <c r="T148">
        <f>IF(OR(G148="Closed Lost",G148="",NOT(ISNUMBER(H148))),"",H148)</f>
        <v/>
      </c>
    </row>
    <row r="149" ht="18" customHeight="1" s="96">
      <c r="A149" s="57" t="n">
        <v>147</v>
      </c>
      <c r="B149" s="70" t="n"/>
      <c r="C149" s="70" t="n"/>
      <c r="D149" s="70" t="n"/>
      <c r="E149" s="70" t="n"/>
      <c r="F149" s="71" t="n"/>
      <c r="G149" s="70" t="n"/>
      <c r="H149" s="75" t="n"/>
      <c r="I149" s="75" t="n"/>
      <c r="J149" s="72" t="n"/>
      <c r="K149" s="73">
        <f>IFERROR(VLOOKUP(G149,Stage_Lookup!$A$2:$B$8,2,0),"")</f>
        <v/>
      </c>
      <c r="L149" s="69" t="n"/>
      <c r="M149" s="69" t="n"/>
      <c r="N149" s="72" t="n"/>
      <c r="O149" s="70" t="n"/>
      <c r="P149" s="70" t="n"/>
      <c r="Q149" s="106" t="n"/>
      <c r="R149" s="106" t="n"/>
      <c r="S149" s="106" t="n"/>
      <c r="T149">
        <f>IF(OR(G149="Closed Lost",G149="",NOT(ISNUMBER(H149))),"",H149)</f>
        <v/>
      </c>
    </row>
    <row r="150" ht="18" customHeight="1" s="96">
      <c r="A150" s="64" t="n">
        <v>148</v>
      </c>
      <c r="B150" s="65" t="n"/>
      <c r="C150" s="65" t="n"/>
      <c r="D150" s="65" t="n"/>
      <c r="E150" s="65" t="n"/>
      <c r="F150" s="66" t="n"/>
      <c r="G150" s="65" t="n"/>
      <c r="H150" s="74" t="n"/>
      <c r="I150" s="74" t="n"/>
      <c r="J150" s="67" t="n"/>
      <c r="K150" s="68">
        <f>IFERROR(VLOOKUP(G150,Stage_Lookup!$A$2:$B$8,2,0),"")</f>
        <v/>
      </c>
      <c r="L150" s="69" t="n"/>
      <c r="M150" s="69" t="n"/>
      <c r="N150" s="67" t="n"/>
      <c r="O150" s="65" t="n"/>
      <c r="P150" s="65" t="n"/>
      <c r="Q150" s="106" t="n"/>
      <c r="R150" s="106" t="n"/>
      <c r="S150" s="106" t="n"/>
      <c r="T150">
        <f>IF(OR(G150="Closed Lost",G150="",NOT(ISNUMBER(H150))),"",H150)</f>
        <v/>
      </c>
    </row>
    <row r="151" ht="18" customHeight="1" s="96">
      <c r="A151" s="57" t="n">
        <v>149</v>
      </c>
      <c r="B151" s="70" t="n"/>
      <c r="C151" s="70" t="n"/>
      <c r="D151" s="70" t="n"/>
      <c r="E151" s="70" t="n"/>
      <c r="F151" s="71" t="n"/>
      <c r="G151" s="70" t="n"/>
      <c r="H151" s="75" t="n"/>
      <c r="I151" s="75" t="n"/>
      <c r="J151" s="72" t="n"/>
      <c r="K151" s="73">
        <f>IFERROR(VLOOKUP(G151,Stage_Lookup!$A$2:$B$8,2,0),"")</f>
        <v/>
      </c>
      <c r="L151" s="69" t="n"/>
      <c r="M151" s="69" t="n"/>
      <c r="N151" s="72" t="n"/>
      <c r="O151" s="70" t="n"/>
      <c r="P151" s="70" t="n"/>
      <c r="Q151" s="106" t="n"/>
      <c r="R151" s="106" t="n"/>
      <c r="S151" s="106" t="n"/>
      <c r="T151">
        <f>IF(OR(G151="Closed Lost",G151="",NOT(ISNUMBER(H151))),"",H151)</f>
        <v/>
      </c>
    </row>
    <row r="152" ht="18" customHeight="1" s="96">
      <c r="A152" s="64" t="n">
        <v>150</v>
      </c>
      <c r="B152" s="65" t="n"/>
      <c r="C152" s="65" t="n"/>
      <c r="D152" s="65" t="n"/>
      <c r="E152" s="65" t="n"/>
      <c r="F152" s="66" t="n"/>
      <c r="G152" s="65" t="n"/>
      <c r="H152" s="74" t="n"/>
      <c r="I152" s="74" t="n"/>
      <c r="J152" s="67" t="n"/>
      <c r="K152" s="68">
        <f>IFERROR(VLOOKUP(G152,Stage_Lookup!$A$2:$B$8,2,0),"")</f>
        <v/>
      </c>
      <c r="L152" s="69" t="n"/>
      <c r="M152" s="69" t="n"/>
      <c r="N152" s="67" t="n"/>
      <c r="O152" s="65" t="n"/>
      <c r="P152" s="65" t="n"/>
      <c r="Q152" s="106" t="n"/>
      <c r="R152" s="106" t="n"/>
      <c r="S152" s="106" t="n"/>
      <c r="T152">
        <f>IF(OR(G152="Closed Lost",G152="",NOT(ISNUMBER(H152))),"",H152)</f>
        <v/>
      </c>
    </row>
    <row r="153" ht="18" customHeight="1" s="96">
      <c r="A153" s="57" t="n">
        <v>151</v>
      </c>
      <c r="B153" s="70" t="n"/>
      <c r="C153" s="70" t="n"/>
      <c r="D153" s="70" t="n"/>
      <c r="E153" s="70" t="n"/>
      <c r="F153" s="71" t="n"/>
      <c r="G153" s="70" t="n"/>
      <c r="H153" s="75" t="n"/>
      <c r="I153" s="75" t="n"/>
      <c r="J153" s="72" t="n"/>
      <c r="K153" s="73">
        <f>IFERROR(VLOOKUP(G153,Stage_Lookup!$A$2:$B$8,2,0),"")</f>
        <v/>
      </c>
      <c r="L153" s="69" t="n"/>
      <c r="M153" s="69" t="n"/>
      <c r="N153" s="72" t="n"/>
      <c r="O153" s="70" t="n"/>
      <c r="P153" s="70" t="n"/>
      <c r="Q153" s="106" t="n"/>
      <c r="R153" s="106" t="n"/>
      <c r="S153" s="106" t="n"/>
      <c r="T153">
        <f>IF(OR(G153="Closed Lost",G153="",NOT(ISNUMBER(H153))),"",H153)</f>
        <v/>
      </c>
    </row>
    <row r="154" ht="18" customHeight="1" s="96">
      <c r="A154" s="64" t="n">
        <v>152</v>
      </c>
      <c r="B154" s="65" t="n"/>
      <c r="C154" s="65" t="n"/>
      <c r="D154" s="65" t="n"/>
      <c r="E154" s="65" t="n"/>
      <c r="F154" s="66" t="n"/>
      <c r="G154" s="65" t="n"/>
      <c r="H154" s="74" t="n"/>
      <c r="I154" s="74" t="n"/>
      <c r="J154" s="67" t="n"/>
      <c r="K154" s="68">
        <f>IFERROR(VLOOKUP(G154,Stage_Lookup!$A$2:$B$8,2,0),"")</f>
        <v/>
      </c>
      <c r="L154" s="69" t="n"/>
      <c r="M154" s="69" t="n"/>
      <c r="N154" s="67" t="n"/>
      <c r="O154" s="65" t="n"/>
      <c r="P154" s="65" t="n"/>
      <c r="Q154" s="106" t="n"/>
      <c r="R154" s="106" t="n"/>
      <c r="S154" s="106" t="n"/>
      <c r="T154">
        <f>IF(OR(G154="Closed Lost",G154="",NOT(ISNUMBER(H154))),"",H154)</f>
        <v/>
      </c>
    </row>
    <row r="155" ht="18" customHeight="1" s="96">
      <c r="A155" s="57" t="n">
        <v>153</v>
      </c>
      <c r="B155" s="70" t="n"/>
      <c r="C155" s="70" t="n"/>
      <c r="D155" s="70" t="n"/>
      <c r="E155" s="70" t="n"/>
      <c r="F155" s="71" t="n"/>
      <c r="G155" s="70" t="n"/>
      <c r="H155" s="75" t="n"/>
      <c r="I155" s="75" t="n"/>
      <c r="J155" s="72" t="n"/>
      <c r="K155" s="73">
        <f>IFERROR(VLOOKUP(G155,Stage_Lookup!$A$2:$B$8,2,0),"")</f>
        <v/>
      </c>
      <c r="L155" s="69" t="n"/>
      <c r="M155" s="69" t="n"/>
      <c r="N155" s="72" t="n"/>
      <c r="O155" s="70" t="n"/>
      <c r="P155" s="70" t="n"/>
      <c r="Q155" s="106" t="n"/>
      <c r="R155" s="106" t="n"/>
      <c r="S155" s="106" t="n"/>
      <c r="T155">
        <f>IF(OR(G155="Closed Lost",G155="",NOT(ISNUMBER(H155))),"",H155)</f>
        <v/>
      </c>
    </row>
    <row r="156" ht="18" customHeight="1" s="96">
      <c r="A156" s="64" t="n">
        <v>154</v>
      </c>
      <c r="B156" s="65" t="n"/>
      <c r="C156" s="65" t="n"/>
      <c r="D156" s="65" t="n"/>
      <c r="E156" s="65" t="n"/>
      <c r="F156" s="66" t="n"/>
      <c r="G156" s="65" t="n"/>
      <c r="H156" s="74" t="n"/>
      <c r="I156" s="74" t="n"/>
      <c r="J156" s="67" t="n"/>
      <c r="K156" s="68">
        <f>IFERROR(VLOOKUP(G156,Stage_Lookup!$A$2:$B$8,2,0),"")</f>
        <v/>
      </c>
      <c r="L156" s="69" t="n"/>
      <c r="M156" s="69" t="n"/>
      <c r="N156" s="67" t="n"/>
      <c r="O156" s="65" t="n"/>
      <c r="P156" s="65" t="n"/>
      <c r="Q156" s="106" t="n"/>
      <c r="R156" s="106" t="n"/>
      <c r="S156" s="106" t="n"/>
      <c r="T156">
        <f>IF(OR(G156="Closed Lost",G156="",NOT(ISNUMBER(H156))),"",H156)</f>
        <v/>
      </c>
    </row>
    <row r="157" ht="18" customHeight="1" s="96">
      <c r="A157" s="57" t="n">
        <v>155</v>
      </c>
      <c r="B157" s="70" t="n"/>
      <c r="C157" s="70" t="n"/>
      <c r="D157" s="70" t="n"/>
      <c r="E157" s="70" t="n"/>
      <c r="F157" s="71" t="n"/>
      <c r="G157" s="70" t="n"/>
      <c r="H157" s="75" t="n"/>
      <c r="I157" s="75" t="n"/>
      <c r="J157" s="72" t="n"/>
      <c r="K157" s="73">
        <f>IFERROR(VLOOKUP(G157,Stage_Lookup!$A$2:$B$8,2,0),"")</f>
        <v/>
      </c>
      <c r="L157" s="69" t="n"/>
      <c r="M157" s="69" t="n"/>
      <c r="N157" s="72" t="n"/>
      <c r="O157" s="70" t="n"/>
      <c r="P157" s="70" t="n"/>
      <c r="Q157" s="106" t="n"/>
      <c r="R157" s="106" t="n"/>
      <c r="S157" s="106" t="n"/>
      <c r="T157">
        <f>IF(OR(G157="Closed Lost",G157="",NOT(ISNUMBER(H157))),"",H157)</f>
        <v/>
      </c>
    </row>
    <row r="158" ht="18" customHeight="1" s="96">
      <c r="A158" s="64" t="n">
        <v>156</v>
      </c>
      <c r="B158" s="65" t="n"/>
      <c r="C158" s="65" t="n"/>
      <c r="D158" s="65" t="n"/>
      <c r="E158" s="65" t="n"/>
      <c r="F158" s="66" t="n"/>
      <c r="G158" s="65" t="n"/>
      <c r="H158" s="74" t="n"/>
      <c r="I158" s="74" t="n"/>
      <c r="J158" s="67" t="n"/>
      <c r="K158" s="68">
        <f>IFERROR(VLOOKUP(G158,Stage_Lookup!$A$2:$B$8,2,0),"")</f>
        <v/>
      </c>
      <c r="L158" s="69" t="n"/>
      <c r="M158" s="69" t="n"/>
      <c r="N158" s="67" t="n"/>
      <c r="O158" s="65" t="n"/>
      <c r="P158" s="65" t="n"/>
      <c r="Q158" s="106" t="n"/>
      <c r="R158" s="106" t="n"/>
      <c r="S158" s="106" t="n"/>
      <c r="T158">
        <f>IF(OR(G158="Closed Lost",G158="",NOT(ISNUMBER(H158))),"",H158)</f>
        <v/>
      </c>
    </row>
    <row r="159" ht="18" customHeight="1" s="96">
      <c r="A159" s="57" t="n">
        <v>157</v>
      </c>
      <c r="B159" s="70" t="n"/>
      <c r="C159" s="70" t="n"/>
      <c r="D159" s="70" t="n"/>
      <c r="E159" s="70" t="n"/>
      <c r="F159" s="71" t="n"/>
      <c r="G159" s="70" t="n"/>
      <c r="H159" s="75" t="n"/>
      <c r="I159" s="75" t="n"/>
      <c r="J159" s="72" t="n"/>
      <c r="K159" s="73">
        <f>IFERROR(VLOOKUP(G159,Stage_Lookup!$A$2:$B$8,2,0),"")</f>
        <v/>
      </c>
      <c r="L159" s="69" t="n"/>
      <c r="M159" s="69" t="n"/>
      <c r="N159" s="72" t="n"/>
      <c r="O159" s="70" t="n"/>
      <c r="P159" s="70" t="n"/>
      <c r="Q159" s="106" t="n"/>
      <c r="R159" s="106" t="n"/>
      <c r="S159" s="106" t="n"/>
      <c r="T159">
        <f>IF(OR(G159="Closed Lost",G159="",NOT(ISNUMBER(H159))),"",H159)</f>
        <v/>
      </c>
    </row>
    <row r="160" ht="18" customHeight="1" s="96">
      <c r="A160" s="64" t="n">
        <v>158</v>
      </c>
      <c r="B160" s="65" t="n"/>
      <c r="C160" s="65" t="n"/>
      <c r="D160" s="65" t="n"/>
      <c r="E160" s="65" t="n"/>
      <c r="F160" s="66" t="n"/>
      <c r="G160" s="65" t="n"/>
      <c r="H160" s="74" t="n"/>
      <c r="I160" s="74" t="n"/>
      <c r="J160" s="67" t="n"/>
      <c r="K160" s="68">
        <f>IFERROR(VLOOKUP(G160,Stage_Lookup!$A$2:$B$8,2,0),"")</f>
        <v/>
      </c>
      <c r="L160" s="69" t="n"/>
      <c r="M160" s="69" t="n"/>
      <c r="N160" s="67" t="n"/>
      <c r="O160" s="65" t="n"/>
      <c r="P160" s="65" t="n"/>
      <c r="Q160" s="106" t="n"/>
      <c r="R160" s="106" t="n"/>
      <c r="S160" s="106" t="n"/>
      <c r="T160">
        <f>IF(OR(G160="Closed Lost",G160="",NOT(ISNUMBER(H160))),"",H160)</f>
        <v/>
      </c>
    </row>
    <row r="161" ht="18" customHeight="1" s="96">
      <c r="A161" s="57" t="n">
        <v>159</v>
      </c>
      <c r="B161" s="70" t="n"/>
      <c r="C161" s="70" t="n"/>
      <c r="D161" s="70" t="n"/>
      <c r="E161" s="70" t="n"/>
      <c r="F161" s="71" t="n"/>
      <c r="G161" s="70" t="n"/>
      <c r="H161" s="75" t="n"/>
      <c r="I161" s="75" t="n"/>
      <c r="J161" s="72" t="n"/>
      <c r="K161" s="73">
        <f>IFERROR(VLOOKUP(G161,Stage_Lookup!$A$2:$B$8,2,0),"")</f>
        <v/>
      </c>
      <c r="L161" s="69" t="n"/>
      <c r="M161" s="69" t="n"/>
      <c r="N161" s="72" t="n"/>
      <c r="O161" s="70" t="n"/>
      <c r="P161" s="70" t="n"/>
      <c r="Q161" s="106" t="n"/>
      <c r="R161" s="106" t="n"/>
      <c r="S161" s="106" t="n"/>
      <c r="T161">
        <f>IF(OR(G161="Closed Lost",G161="",NOT(ISNUMBER(H161))),"",H161)</f>
        <v/>
      </c>
    </row>
    <row r="162" ht="18" customHeight="1" s="96">
      <c r="A162" s="64" t="n">
        <v>160</v>
      </c>
      <c r="B162" s="65" t="n"/>
      <c r="C162" s="65" t="n"/>
      <c r="D162" s="65" t="n"/>
      <c r="E162" s="65" t="n"/>
      <c r="F162" s="66" t="n"/>
      <c r="G162" s="65" t="n"/>
      <c r="H162" s="74" t="n"/>
      <c r="I162" s="74" t="n"/>
      <c r="J162" s="67" t="n"/>
      <c r="K162" s="68">
        <f>IFERROR(VLOOKUP(G162,Stage_Lookup!$A$2:$B$8,2,0),"")</f>
        <v/>
      </c>
      <c r="L162" s="69" t="n"/>
      <c r="M162" s="69" t="n"/>
      <c r="N162" s="67" t="n"/>
      <c r="O162" s="65" t="n"/>
      <c r="P162" s="65" t="n"/>
      <c r="Q162" s="106" t="n"/>
      <c r="R162" s="106" t="n"/>
      <c r="S162" s="106" t="n"/>
      <c r="T162">
        <f>IF(OR(G162="Closed Lost",G162="",NOT(ISNUMBER(H162))),"",H162)</f>
        <v/>
      </c>
    </row>
    <row r="163" ht="18" customHeight="1" s="96">
      <c r="A163" s="57" t="n">
        <v>161</v>
      </c>
      <c r="B163" s="70" t="n"/>
      <c r="C163" s="70" t="n"/>
      <c r="D163" s="70" t="n"/>
      <c r="E163" s="70" t="n"/>
      <c r="F163" s="71" t="n"/>
      <c r="G163" s="70" t="n"/>
      <c r="H163" s="75" t="n"/>
      <c r="I163" s="75" t="n"/>
      <c r="J163" s="72" t="n"/>
      <c r="K163" s="73">
        <f>IFERROR(VLOOKUP(G163,Stage_Lookup!$A$2:$B$8,2,0),"")</f>
        <v/>
      </c>
      <c r="L163" s="69" t="n"/>
      <c r="M163" s="69" t="n"/>
      <c r="N163" s="72" t="n"/>
      <c r="O163" s="70" t="n"/>
      <c r="P163" s="70" t="n"/>
      <c r="Q163" s="106" t="n"/>
      <c r="R163" s="106" t="n"/>
      <c r="S163" s="106" t="n"/>
      <c r="T163">
        <f>IF(OR(G163="Closed Lost",G163="",NOT(ISNUMBER(H163))),"",H163)</f>
        <v/>
      </c>
    </row>
    <row r="164" ht="18" customHeight="1" s="96">
      <c r="A164" s="64" t="n">
        <v>162</v>
      </c>
      <c r="B164" s="65" t="n"/>
      <c r="C164" s="65" t="n"/>
      <c r="D164" s="65" t="n"/>
      <c r="E164" s="65" t="n"/>
      <c r="F164" s="66" t="n"/>
      <c r="G164" s="65" t="n"/>
      <c r="H164" s="74" t="n"/>
      <c r="I164" s="74" t="n"/>
      <c r="J164" s="67" t="n"/>
      <c r="K164" s="68">
        <f>IFERROR(VLOOKUP(G164,Stage_Lookup!$A$2:$B$8,2,0),"")</f>
        <v/>
      </c>
      <c r="L164" s="69" t="n"/>
      <c r="M164" s="69" t="n"/>
      <c r="N164" s="67" t="n"/>
      <c r="O164" s="65" t="n"/>
      <c r="P164" s="65" t="n"/>
      <c r="Q164" s="106" t="n"/>
      <c r="R164" s="106" t="n"/>
      <c r="S164" s="106" t="n"/>
      <c r="T164">
        <f>IF(OR(G164="Closed Lost",G164="",NOT(ISNUMBER(H164))),"",H164)</f>
        <v/>
      </c>
    </row>
    <row r="165" ht="18" customHeight="1" s="96">
      <c r="A165" s="57" t="n">
        <v>163</v>
      </c>
      <c r="B165" s="70" t="n"/>
      <c r="C165" s="70" t="n"/>
      <c r="D165" s="70" t="n"/>
      <c r="E165" s="70" t="n"/>
      <c r="F165" s="71" t="n"/>
      <c r="G165" s="70" t="n"/>
      <c r="H165" s="75" t="n"/>
      <c r="I165" s="75" t="n"/>
      <c r="J165" s="72" t="n"/>
      <c r="K165" s="73">
        <f>IFERROR(VLOOKUP(G165,Stage_Lookup!$A$2:$B$8,2,0),"")</f>
        <v/>
      </c>
      <c r="L165" s="69" t="n"/>
      <c r="M165" s="69" t="n"/>
      <c r="N165" s="72" t="n"/>
      <c r="O165" s="70" t="n"/>
      <c r="P165" s="70" t="n"/>
      <c r="Q165" s="106" t="n"/>
      <c r="R165" s="106" t="n"/>
      <c r="S165" s="106" t="n"/>
      <c r="T165">
        <f>IF(OR(G165="Closed Lost",G165="",NOT(ISNUMBER(H165))),"",H165)</f>
        <v/>
      </c>
    </row>
    <row r="166" ht="18" customHeight="1" s="96">
      <c r="A166" s="64" t="n">
        <v>164</v>
      </c>
      <c r="B166" s="65" t="n"/>
      <c r="C166" s="65" t="n"/>
      <c r="D166" s="65" t="n"/>
      <c r="E166" s="65" t="n"/>
      <c r="F166" s="66" t="n"/>
      <c r="G166" s="65" t="n"/>
      <c r="H166" s="74" t="n"/>
      <c r="I166" s="74" t="n"/>
      <c r="J166" s="67" t="n"/>
      <c r="K166" s="68">
        <f>IFERROR(VLOOKUP(G166,Stage_Lookup!$A$2:$B$8,2,0),"")</f>
        <v/>
      </c>
      <c r="L166" s="69" t="n"/>
      <c r="M166" s="69" t="n"/>
      <c r="N166" s="67" t="n"/>
      <c r="O166" s="65" t="n"/>
      <c r="P166" s="65" t="n"/>
      <c r="Q166" s="106" t="n"/>
      <c r="R166" s="106" t="n"/>
      <c r="S166" s="106" t="n"/>
      <c r="T166">
        <f>IF(OR(G166="Closed Lost",G166="",NOT(ISNUMBER(H166))),"",H166)</f>
        <v/>
      </c>
    </row>
    <row r="167" ht="18" customHeight="1" s="96">
      <c r="A167" s="57" t="n">
        <v>165</v>
      </c>
      <c r="B167" s="70" t="n"/>
      <c r="C167" s="70" t="n"/>
      <c r="D167" s="70" t="n"/>
      <c r="E167" s="70" t="n"/>
      <c r="F167" s="71" t="n"/>
      <c r="G167" s="70" t="n"/>
      <c r="H167" s="75" t="n"/>
      <c r="I167" s="75" t="n"/>
      <c r="J167" s="72" t="n"/>
      <c r="K167" s="73">
        <f>IFERROR(VLOOKUP(G167,Stage_Lookup!$A$2:$B$8,2,0),"")</f>
        <v/>
      </c>
      <c r="L167" s="69" t="n"/>
      <c r="M167" s="69" t="n"/>
      <c r="N167" s="72" t="n"/>
      <c r="O167" s="70" t="n"/>
      <c r="P167" s="70" t="n"/>
      <c r="Q167" s="106" t="n"/>
      <c r="R167" s="106" t="n"/>
      <c r="S167" s="106" t="n"/>
      <c r="T167">
        <f>IF(OR(G167="Closed Lost",G167="",NOT(ISNUMBER(H167))),"",H167)</f>
        <v/>
      </c>
    </row>
    <row r="168" ht="18" customHeight="1" s="96">
      <c r="A168" s="64" t="n">
        <v>166</v>
      </c>
      <c r="B168" s="65" t="n"/>
      <c r="C168" s="65" t="n"/>
      <c r="D168" s="65" t="n"/>
      <c r="E168" s="65" t="n"/>
      <c r="F168" s="66" t="n"/>
      <c r="G168" s="65" t="n"/>
      <c r="H168" s="74" t="n"/>
      <c r="I168" s="74" t="n"/>
      <c r="J168" s="67" t="n"/>
      <c r="K168" s="68">
        <f>IFERROR(VLOOKUP(G168,Stage_Lookup!$A$2:$B$8,2,0),"")</f>
        <v/>
      </c>
      <c r="L168" s="69" t="n"/>
      <c r="M168" s="69" t="n"/>
      <c r="N168" s="67" t="n"/>
      <c r="O168" s="65" t="n"/>
      <c r="P168" s="65" t="n"/>
      <c r="Q168" s="106" t="n"/>
      <c r="R168" s="106" t="n"/>
      <c r="S168" s="106" t="n"/>
      <c r="T168">
        <f>IF(OR(G168="Closed Lost",G168="",NOT(ISNUMBER(H168))),"",H168)</f>
        <v/>
      </c>
    </row>
    <row r="169" ht="18" customHeight="1" s="96">
      <c r="A169" s="57" t="n">
        <v>167</v>
      </c>
      <c r="B169" s="70" t="n"/>
      <c r="C169" s="70" t="n"/>
      <c r="D169" s="70" t="n"/>
      <c r="E169" s="70" t="n"/>
      <c r="F169" s="71" t="n"/>
      <c r="G169" s="70" t="n"/>
      <c r="H169" s="75" t="n"/>
      <c r="I169" s="75" t="n"/>
      <c r="J169" s="72" t="n"/>
      <c r="K169" s="73">
        <f>IFERROR(VLOOKUP(G169,Stage_Lookup!$A$2:$B$8,2,0),"")</f>
        <v/>
      </c>
      <c r="L169" s="69" t="n"/>
      <c r="M169" s="69" t="n"/>
      <c r="N169" s="72" t="n"/>
      <c r="O169" s="70" t="n"/>
      <c r="P169" s="70" t="n"/>
      <c r="Q169" s="106" t="n"/>
      <c r="R169" s="106" t="n"/>
      <c r="S169" s="106" t="n"/>
      <c r="T169">
        <f>IF(OR(G169="Closed Lost",G169="",NOT(ISNUMBER(H169))),"",H169)</f>
        <v/>
      </c>
    </row>
    <row r="170" ht="18" customHeight="1" s="96">
      <c r="A170" s="64" t="n">
        <v>168</v>
      </c>
      <c r="B170" s="65" t="n"/>
      <c r="C170" s="65" t="n"/>
      <c r="D170" s="65" t="n"/>
      <c r="E170" s="65" t="n"/>
      <c r="F170" s="66" t="n"/>
      <c r="G170" s="65" t="n"/>
      <c r="H170" s="74" t="n"/>
      <c r="I170" s="74" t="n"/>
      <c r="J170" s="67" t="n"/>
      <c r="K170" s="68">
        <f>IFERROR(VLOOKUP(G170,Stage_Lookup!$A$2:$B$8,2,0),"")</f>
        <v/>
      </c>
      <c r="L170" s="69" t="n"/>
      <c r="M170" s="69" t="n"/>
      <c r="N170" s="67" t="n"/>
      <c r="O170" s="65" t="n"/>
      <c r="P170" s="65" t="n"/>
      <c r="Q170" s="106" t="n"/>
      <c r="R170" s="106" t="n"/>
      <c r="S170" s="106" t="n"/>
      <c r="T170">
        <f>IF(OR(G170="Closed Lost",G170="",NOT(ISNUMBER(H170))),"",H170)</f>
        <v/>
      </c>
    </row>
    <row r="171" ht="18" customHeight="1" s="96">
      <c r="A171" s="57" t="n">
        <v>169</v>
      </c>
      <c r="B171" s="70" t="n"/>
      <c r="C171" s="70" t="n"/>
      <c r="D171" s="70" t="n"/>
      <c r="E171" s="70" t="n"/>
      <c r="F171" s="71" t="n"/>
      <c r="G171" s="70" t="n"/>
      <c r="H171" s="75" t="n"/>
      <c r="I171" s="75" t="n"/>
      <c r="J171" s="72" t="n"/>
      <c r="K171" s="73">
        <f>IFERROR(VLOOKUP(G171,Stage_Lookup!$A$2:$B$8,2,0),"")</f>
        <v/>
      </c>
      <c r="L171" s="69" t="n"/>
      <c r="M171" s="69" t="n"/>
      <c r="N171" s="72" t="n"/>
      <c r="O171" s="70" t="n"/>
      <c r="P171" s="70" t="n"/>
      <c r="Q171" s="106" t="n"/>
      <c r="R171" s="106" t="n"/>
      <c r="S171" s="106" t="n"/>
      <c r="T171">
        <f>IF(OR(G171="Closed Lost",G171="",NOT(ISNUMBER(H171))),"",H171)</f>
        <v/>
      </c>
    </row>
    <row r="172" ht="18" customHeight="1" s="96">
      <c r="A172" s="64" t="n">
        <v>170</v>
      </c>
      <c r="B172" s="65" t="n"/>
      <c r="C172" s="65" t="n"/>
      <c r="D172" s="65" t="n"/>
      <c r="E172" s="65" t="n"/>
      <c r="F172" s="66" t="n"/>
      <c r="G172" s="65" t="n"/>
      <c r="H172" s="74" t="n"/>
      <c r="I172" s="74" t="n"/>
      <c r="J172" s="67" t="n"/>
      <c r="K172" s="68">
        <f>IFERROR(VLOOKUP(G172,Stage_Lookup!$A$2:$B$8,2,0),"")</f>
        <v/>
      </c>
      <c r="L172" s="69" t="n"/>
      <c r="M172" s="69" t="n"/>
      <c r="N172" s="67" t="n"/>
      <c r="O172" s="65" t="n"/>
      <c r="P172" s="65" t="n"/>
      <c r="Q172" s="106" t="n"/>
      <c r="R172" s="106" t="n"/>
      <c r="S172" s="106" t="n"/>
      <c r="T172">
        <f>IF(OR(G172="Closed Lost",G172="",NOT(ISNUMBER(H172))),"",H172)</f>
        <v/>
      </c>
    </row>
    <row r="173" ht="18" customHeight="1" s="96">
      <c r="A173" s="57" t="n">
        <v>171</v>
      </c>
      <c r="B173" s="70" t="n"/>
      <c r="C173" s="70" t="n"/>
      <c r="D173" s="70" t="n"/>
      <c r="E173" s="70" t="n"/>
      <c r="F173" s="71" t="n"/>
      <c r="G173" s="70" t="n"/>
      <c r="H173" s="75" t="n"/>
      <c r="I173" s="75" t="n"/>
      <c r="J173" s="72" t="n"/>
      <c r="K173" s="73">
        <f>IFERROR(VLOOKUP(G173,Stage_Lookup!$A$2:$B$8,2,0),"")</f>
        <v/>
      </c>
      <c r="L173" s="69" t="n"/>
      <c r="M173" s="69" t="n"/>
      <c r="N173" s="72" t="n"/>
      <c r="O173" s="70" t="n"/>
      <c r="P173" s="70" t="n"/>
      <c r="Q173" s="106" t="n"/>
      <c r="R173" s="106" t="n"/>
      <c r="S173" s="106" t="n"/>
      <c r="T173">
        <f>IF(OR(G173="Closed Lost",G173="",NOT(ISNUMBER(H173))),"",H173)</f>
        <v/>
      </c>
    </row>
    <row r="174" ht="18" customHeight="1" s="96">
      <c r="A174" s="64" t="n">
        <v>172</v>
      </c>
      <c r="B174" s="65" t="n"/>
      <c r="C174" s="65" t="n"/>
      <c r="D174" s="65" t="n"/>
      <c r="E174" s="65" t="n"/>
      <c r="F174" s="66" t="n"/>
      <c r="G174" s="65" t="n"/>
      <c r="H174" s="74" t="n"/>
      <c r="I174" s="74" t="n"/>
      <c r="J174" s="67" t="n"/>
      <c r="K174" s="68">
        <f>IFERROR(VLOOKUP(G174,Stage_Lookup!$A$2:$B$8,2,0),"")</f>
        <v/>
      </c>
      <c r="L174" s="69" t="n"/>
      <c r="M174" s="69" t="n"/>
      <c r="N174" s="67" t="n"/>
      <c r="O174" s="65" t="n"/>
      <c r="P174" s="65" t="n"/>
      <c r="Q174" s="106" t="n"/>
      <c r="R174" s="106" t="n"/>
      <c r="S174" s="106" t="n"/>
      <c r="T174">
        <f>IF(OR(G174="Closed Lost",G174="",NOT(ISNUMBER(H174))),"",H174)</f>
        <v/>
      </c>
    </row>
    <row r="175" ht="18" customHeight="1" s="96">
      <c r="A175" s="57" t="n">
        <v>173</v>
      </c>
      <c r="B175" s="70" t="n"/>
      <c r="C175" s="70" t="n"/>
      <c r="D175" s="70" t="n"/>
      <c r="E175" s="70" t="n"/>
      <c r="F175" s="71" t="n"/>
      <c r="G175" s="70" t="n"/>
      <c r="H175" s="75" t="n"/>
      <c r="I175" s="75" t="n"/>
      <c r="J175" s="72" t="n"/>
      <c r="K175" s="73">
        <f>IFERROR(VLOOKUP(G175,Stage_Lookup!$A$2:$B$8,2,0),"")</f>
        <v/>
      </c>
      <c r="L175" s="69" t="n"/>
      <c r="M175" s="69" t="n"/>
      <c r="N175" s="72" t="n"/>
      <c r="O175" s="70" t="n"/>
      <c r="P175" s="70" t="n"/>
      <c r="Q175" s="106" t="n"/>
      <c r="R175" s="106" t="n"/>
      <c r="S175" s="106" t="n"/>
      <c r="T175">
        <f>IF(OR(G175="Closed Lost",G175="",NOT(ISNUMBER(H175))),"",H175)</f>
        <v/>
      </c>
    </row>
    <row r="176" ht="18" customHeight="1" s="96">
      <c r="A176" s="64" t="n">
        <v>174</v>
      </c>
      <c r="B176" s="65" t="n"/>
      <c r="C176" s="65" t="n"/>
      <c r="D176" s="65" t="n"/>
      <c r="E176" s="65" t="n"/>
      <c r="F176" s="66" t="n"/>
      <c r="G176" s="65" t="n"/>
      <c r="H176" s="74" t="n"/>
      <c r="I176" s="74" t="n"/>
      <c r="J176" s="67" t="n"/>
      <c r="K176" s="68">
        <f>IFERROR(VLOOKUP(G176,Stage_Lookup!$A$2:$B$8,2,0),"")</f>
        <v/>
      </c>
      <c r="L176" s="69" t="n"/>
      <c r="M176" s="69" t="n"/>
      <c r="N176" s="67" t="n"/>
      <c r="O176" s="65" t="n"/>
      <c r="P176" s="65" t="n"/>
      <c r="Q176" s="106" t="n"/>
      <c r="R176" s="106" t="n"/>
      <c r="S176" s="106" t="n"/>
      <c r="T176">
        <f>IF(OR(G176="Closed Lost",G176="",NOT(ISNUMBER(H176))),"",H176)</f>
        <v/>
      </c>
    </row>
    <row r="177" ht="18" customHeight="1" s="96">
      <c r="A177" s="57" t="n">
        <v>175</v>
      </c>
      <c r="B177" s="70" t="n"/>
      <c r="C177" s="70" t="n"/>
      <c r="D177" s="70" t="n"/>
      <c r="E177" s="70" t="n"/>
      <c r="F177" s="71" t="n"/>
      <c r="G177" s="70" t="n"/>
      <c r="H177" s="75" t="n"/>
      <c r="I177" s="75" t="n"/>
      <c r="J177" s="72" t="n"/>
      <c r="K177" s="73">
        <f>IFERROR(VLOOKUP(G177,Stage_Lookup!$A$2:$B$8,2,0),"")</f>
        <v/>
      </c>
      <c r="L177" s="69" t="n"/>
      <c r="M177" s="69" t="n"/>
      <c r="N177" s="72" t="n"/>
      <c r="O177" s="70" t="n"/>
      <c r="P177" s="70" t="n"/>
      <c r="Q177" s="106" t="n"/>
      <c r="R177" s="106" t="n"/>
      <c r="S177" s="106" t="n"/>
      <c r="T177">
        <f>IF(OR(G177="Closed Lost",G177="",NOT(ISNUMBER(H177))),"",H177)</f>
        <v/>
      </c>
    </row>
    <row r="178" ht="18" customHeight="1" s="96">
      <c r="A178" s="64" t="n">
        <v>176</v>
      </c>
      <c r="B178" s="65" t="n"/>
      <c r="C178" s="65" t="n"/>
      <c r="D178" s="65" t="n"/>
      <c r="E178" s="65" t="n"/>
      <c r="F178" s="66" t="n"/>
      <c r="G178" s="65" t="n"/>
      <c r="H178" s="74" t="n"/>
      <c r="I178" s="74" t="n"/>
      <c r="J178" s="67" t="n"/>
      <c r="K178" s="68">
        <f>IFERROR(VLOOKUP(G178,Stage_Lookup!$A$2:$B$8,2,0),"")</f>
        <v/>
      </c>
      <c r="L178" s="69" t="n"/>
      <c r="M178" s="69" t="n"/>
      <c r="N178" s="67" t="n"/>
      <c r="O178" s="65" t="n"/>
      <c r="P178" s="65" t="n"/>
      <c r="Q178" s="106" t="n"/>
      <c r="R178" s="106" t="n"/>
      <c r="S178" s="106" t="n"/>
      <c r="T178">
        <f>IF(OR(G178="Closed Lost",G178="",NOT(ISNUMBER(H178))),"",H178)</f>
        <v/>
      </c>
    </row>
    <row r="179" ht="18" customHeight="1" s="96">
      <c r="A179" s="57" t="n">
        <v>177</v>
      </c>
      <c r="B179" s="70" t="n"/>
      <c r="C179" s="70" t="n"/>
      <c r="D179" s="70" t="n"/>
      <c r="E179" s="70" t="n"/>
      <c r="F179" s="71" t="n"/>
      <c r="G179" s="70" t="n"/>
      <c r="H179" s="75" t="n"/>
      <c r="I179" s="75" t="n"/>
      <c r="J179" s="72" t="n"/>
      <c r="K179" s="73">
        <f>IFERROR(VLOOKUP(G179,Stage_Lookup!$A$2:$B$8,2,0),"")</f>
        <v/>
      </c>
      <c r="L179" s="69" t="n"/>
      <c r="M179" s="69" t="n"/>
      <c r="N179" s="72" t="n"/>
      <c r="O179" s="70" t="n"/>
      <c r="P179" s="70" t="n"/>
      <c r="Q179" s="106" t="n"/>
      <c r="R179" s="106" t="n"/>
      <c r="S179" s="106" t="n"/>
      <c r="T179">
        <f>IF(OR(G179="Closed Lost",G179="",NOT(ISNUMBER(H179))),"",H179)</f>
        <v/>
      </c>
    </row>
    <row r="180" ht="18" customHeight="1" s="96">
      <c r="A180" s="64" t="n">
        <v>178</v>
      </c>
      <c r="B180" s="65" t="n"/>
      <c r="C180" s="65" t="n"/>
      <c r="D180" s="65" t="n"/>
      <c r="E180" s="65" t="n"/>
      <c r="F180" s="66" t="n"/>
      <c r="G180" s="65" t="n"/>
      <c r="H180" s="74" t="n"/>
      <c r="I180" s="74" t="n"/>
      <c r="J180" s="67" t="n"/>
      <c r="K180" s="68">
        <f>IFERROR(VLOOKUP(G180,Stage_Lookup!$A$2:$B$8,2,0),"")</f>
        <v/>
      </c>
      <c r="L180" s="69" t="n"/>
      <c r="M180" s="69" t="n"/>
      <c r="N180" s="67" t="n"/>
      <c r="O180" s="65" t="n"/>
      <c r="P180" s="65" t="n"/>
      <c r="Q180" s="106" t="n"/>
      <c r="R180" s="106" t="n"/>
      <c r="S180" s="106" t="n"/>
      <c r="T180">
        <f>IF(OR(G180="Closed Lost",G180="",NOT(ISNUMBER(H180))),"",H180)</f>
        <v/>
      </c>
    </row>
    <row r="181" ht="18" customHeight="1" s="96">
      <c r="A181" s="57" t="n">
        <v>179</v>
      </c>
      <c r="B181" s="70" t="n"/>
      <c r="C181" s="70" t="n"/>
      <c r="D181" s="70" t="n"/>
      <c r="E181" s="70" t="n"/>
      <c r="F181" s="71" t="n"/>
      <c r="G181" s="70" t="n"/>
      <c r="H181" s="75" t="n"/>
      <c r="I181" s="75" t="n"/>
      <c r="J181" s="72" t="n"/>
      <c r="K181" s="73">
        <f>IFERROR(VLOOKUP(G181,Stage_Lookup!$A$2:$B$8,2,0),"")</f>
        <v/>
      </c>
      <c r="L181" s="69" t="n"/>
      <c r="M181" s="69" t="n"/>
      <c r="N181" s="72" t="n"/>
      <c r="O181" s="70" t="n"/>
      <c r="P181" s="70" t="n"/>
      <c r="Q181" s="106" t="n"/>
      <c r="R181" s="106" t="n"/>
      <c r="S181" s="106" t="n"/>
      <c r="T181">
        <f>IF(OR(G181="Closed Lost",G181="",NOT(ISNUMBER(H181))),"",H181)</f>
        <v/>
      </c>
    </row>
    <row r="182" ht="18" customHeight="1" s="96">
      <c r="A182" s="64" t="n">
        <v>180</v>
      </c>
      <c r="B182" s="65" t="n"/>
      <c r="C182" s="65" t="n"/>
      <c r="D182" s="65" t="n"/>
      <c r="E182" s="65" t="n"/>
      <c r="F182" s="66" t="n"/>
      <c r="G182" s="65" t="n"/>
      <c r="H182" s="74" t="n"/>
      <c r="I182" s="74" t="n"/>
      <c r="J182" s="67" t="n"/>
      <c r="K182" s="68">
        <f>IFERROR(VLOOKUP(G182,Stage_Lookup!$A$2:$B$8,2,0),"")</f>
        <v/>
      </c>
      <c r="L182" s="69" t="n"/>
      <c r="M182" s="69" t="n"/>
      <c r="N182" s="67" t="n"/>
      <c r="O182" s="65" t="n"/>
      <c r="P182" s="65" t="n"/>
      <c r="Q182" s="106" t="n"/>
      <c r="R182" s="106" t="n"/>
      <c r="S182" s="106" t="n"/>
      <c r="T182">
        <f>IF(OR(G182="Closed Lost",G182="",NOT(ISNUMBER(H182))),"",H182)</f>
        <v/>
      </c>
    </row>
    <row r="183" ht="18" customHeight="1" s="96">
      <c r="A183" s="57" t="n">
        <v>181</v>
      </c>
      <c r="B183" s="70" t="n"/>
      <c r="C183" s="70" t="n"/>
      <c r="D183" s="70" t="n"/>
      <c r="E183" s="70" t="n"/>
      <c r="F183" s="71" t="n"/>
      <c r="G183" s="70" t="n"/>
      <c r="H183" s="75" t="n"/>
      <c r="I183" s="75" t="n"/>
      <c r="J183" s="72" t="n"/>
      <c r="K183" s="73">
        <f>IFERROR(VLOOKUP(G183,Stage_Lookup!$A$2:$B$8,2,0),"")</f>
        <v/>
      </c>
      <c r="L183" s="69" t="n"/>
      <c r="M183" s="69" t="n"/>
      <c r="N183" s="72" t="n"/>
      <c r="O183" s="70" t="n"/>
      <c r="P183" s="70" t="n"/>
      <c r="Q183" s="106" t="n"/>
      <c r="R183" s="106" t="n"/>
      <c r="S183" s="106" t="n"/>
      <c r="T183">
        <f>IF(OR(G183="Closed Lost",G183="",NOT(ISNUMBER(H183))),"",H183)</f>
        <v/>
      </c>
    </row>
    <row r="184" ht="18" customHeight="1" s="96">
      <c r="A184" s="64" t="n">
        <v>182</v>
      </c>
      <c r="B184" s="65" t="n"/>
      <c r="C184" s="65" t="n"/>
      <c r="D184" s="65" t="n"/>
      <c r="E184" s="65" t="n"/>
      <c r="F184" s="66" t="n"/>
      <c r="G184" s="65" t="n"/>
      <c r="H184" s="74" t="n"/>
      <c r="I184" s="74" t="n"/>
      <c r="J184" s="67" t="n"/>
      <c r="K184" s="68">
        <f>IFERROR(VLOOKUP(G184,Stage_Lookup!$A$2:$B$8,2,0),"")</f>
        <v/>
      </c>
      <c r="L184" s="69" t="n"/>
      <c r="M184" s="69" t="n"/>
      <c r="N184" s="67" t="n"/>
      <c r="O184" s="65" t="n"/>
      <c r="P184" s="65" t="n"/>
      <c r="Q184" s="106" t="n"/>
      <c r="R184" s="106" t="n"/>
      <c r="S184" s="106" t="n"/>
      <c r="T184">
        <f>IF(OR(G184="Closed Lost",G184="",NOT(ISNUMBER(H184))),"",H184)</f>
        <v/>
      </c>
    </row>
    <row r="185" ht="18" customHeight="1" s="96">
      <c r="A185" s="57" t="n">
        <v>183</v>
      </c>
      <c r="B185" s="70" t="n"/>
      <c r="C185" s="70" t="n"/>
      <c r="D185" s="70" t="n"/>
      <c r="E185" s="70" t="n"/>
      <c r="F185" s="71" t="n"/>
      <c r="G185" s="70" t="n"/>
      <c r="H185" s="75" t="n"/>
      <c r="I185" s="75" t="n"/>
      <c r="J185" s="72" t="n"/>
      <c r="K185" s="73">
        <f>IFERROR(VLOOKUP(G185,Stage_Lookup!$A$2:$B$8,2,0),"")</f>
        <v/>
      </c>
      <c r="L185" s="69" t="n"/>
      <c r="M185" s="69" t="n"/>
      <c r="N185" s="72" t="n"/>
      <c r="O185" s="70" t="n"/>
      <c r="P185" s="70" t="n"/>
      <c r="Q185" s="106" t="n"/>
      <c r="R185" s="106" t="n"/>
      <c r="S185" s="106" t="n"/>
      <c r="T185">
        <f>IF(OR(G185="Closed Lost",G185="",NOT(ISNUMBER(H185))),"",H185)</f>
        <v/>
      </c>
    </row>
    <row r="186" ht="18" customHeight="1" s="96">
      <c r="A186" s="64" t="n">
        <v>184</v>
      </c>
      <c r="B186" s="65" t="n"/>
      <c r="C186" s="65" t="n"/>
      <c r="D186" s="65" t="n"/>
      <c r="E186" s="65" t="n"/>
      <c r="F186" s="66" t="n"/>
      <c r="G186" s="65" t="n"/>
      <c r="H186" s="74" t="n"/>
      <c r="I186" s="74" t="n"/>
      <c r="J186" s="67" t="n"/>
      <c r="K186" s="68">
        <f>IFERROR(VLOOKUP(G186,Stage_Lookup!$A$2:$B$8,2,0),"")</f>
        <v/>
      </c>
      <c r="L186" s="69" t="n"/>
      <c r="M186" s="69" t="n"/>
      <c r="N186" s="67" t="n"/>
      <c r="O186" s="65" t="n"/>
      <c r="P186" s="65" t="n"/>
      <c r="Q186" s="106" t="n"/>
      <c r="R186" s="106" t="n"/>
      <c r="S186" s="106" t="n"/>
      <c r="T186">
        <f>IF(OR(G186="Closed Lost",G186="",NOT(ISNUMBER(H186))),"",H186)</f>
        <v/>
      </c>
    </row>
    <row r="187" ht="18" customHeight="1" s="96">
      <c r="A187" s="57" t="n">
        <v>185</v>
      </c>
      <c r="B187" s="70" t="n"/>
      <c r="C187" s="70" t="n"/>
      <c r="D187" s="70" t="n"/>
      <c r="E187" s="70" t="n"/>
      <c r="F187" s="71" t="n"/>
      <c r="G187" s="70" t="n"/>
      <c r="H187" s="75" t="n"/>
      <c r="I187" s="75" t="n"/>
      <c r="J187" s="72" t="n"/>
      <c r="K187" s="73">
        <f>IFERROR(VLOOKUP(G187,Stage_Lookup!$A$2:$B$8,2,0),"")</f>
        <v/>
      </c>
      <c r="L187" s="69" t="n"/>
      <c r="M187" s="69" t="n"/>
      <c r="N187" s="72" t="n"/>
      <c r="O187" s="70" t="n"/>
      <c r="P187" s="70" t="n"/>
      <c r="Q187" s="106" t="n"/>
      <c r="R187" s="106" t="n"/>
      <c r="S187" s="106" t="n"/>
      <c r="T187">
        <f>IF(OR(G187="Closed Lost",G187="",NOT(ISNUMBER(H187))),"",H187)</f>
        <v/>
      </c>
    </row>
    <row r="188" ht="18" customHeight="1" s="96">
      <c r="A188" s="64" t="n">
        <v>186</v>
      </c>
      <c r="B188" s="65" t="n"/>
      <c r="C188" s="65" t="n"/>
      <c r="D188" s="65" t="n"/>
      <c r="E188" s="65" t="n"/>
      <c r="F188" s="66" t="n"/>
      <c r="G188" s="65" t="n"/>
      <c r="H188" s="74" t="n"/>
      <c r="I188" s="74" t="n"/>
      <c r="J188" s="67" t="n"/>
      <c r="K188" s="68">
        <f>IFERROR(VLOOKUP(G188,Stage_Lookup!$A$2:$B$8,2,0),"")</f>
        <v/>
      </c>
      <c r="L188" s="69" t="n"/>
      <c r="M188" s="69" t="n"/>
      <c r="N188" s="67" t="n"/>
      <c r="O188" s="65" t="n"/>
      <c r="P188" s="65" t="n"/>
      <c r="Q188" s="106" t="n"/>
      <c r="R188" s="106" t="n"/>
      <c r="S188" s="106" t="n"/>
      <c r="T188">
        <f>IF(OR(G188="Closed Lost",G188="",NOT(ISNUMBER(H188))),"",H188)</f>
        <v/>
      </c>
    </row>
    <row r="189" ht="18" customHeight="1" s="96">
      <c r="A189" s="57" t="n">
        <v>187</v>
      </c>
      <c r="B189" s="70" t="n"/>
      <c r="C189" s="70" t="n"/>
      <c r="D189" s="70" t="n"/>
      <c r="E189" s="70" t="n"/>
      <c r="F189" s="71" t="n"/>
      <c r="G189" s="70" t="n"/>
      <c r="H189" s="75" t="n"/>
      <c r="I189" s="75" t="n"/>
      <c r="J189" s="72" t="n"/>
      <c r="K189" s="73">
        <f>IFERROR(VLOOKUP(G189,Stage_Lookup!$A$2:$B$8,2,0),"")</f>
        <v/>
      </c>
      <c r="L189" s="69" t="n"/>
      <c r="M189" s="69" t="n"/>
      <c r="N189" s="72" t="n"/>
      <c r="O189" s="70" t="n"/>
      <c r="P189" s="70" t="n"/>
      <c r="Q189" s="106" t="n"/>
      <c r="R189" s="106" t="n"/>
      <c r="S189" s="106" t="n"/>
      <c r="T189">
        <f>IF(OR(G189="Closed Lost",G189="",NOT(ISNUMBER(H189))),"",H189)</f>
        <v/>
      </c>
    </row>
    <row r="190" ht="18" customHeight="1" s="96">
      <c r="A190" s="64" t="n">
        <v>188</v>
      </c>
      <c r="B190" s="65" t="n"/>
      <c r="C190" s="65" t="n"/>
      <c r="D190" s="65" t="n"/>
      <c r="E190" s="65" t="n"/>
      <c r="F190" s="66" t="n"/>
      <c r="G190" s="65" t="n"/>
      <c r="H190" s="74" t="n"/>
      <c r="I190" s="74" t="n"/>
      <c r="J190" s="67" t="n"/>
      <c r="K190" s="68">
        <f>IFERROR(VLOOKUP(G190,Stage_Lookup!$A$2:$B$8,2,0),"")</f>
        <v/>
      </c>
      <c r="L190" s="69" t="n"/>
      <c r="M190" s="69" t="n"/>
      <c r="N190" s="67" t="n"/>
      <c r="O190" s="65" t="n"/>
      <c r="P190" s="65" t="n"/>
      <c r="Q190" s="106" t="n"/>
      <c r="R190" s="106" t="n"/>
      <c r="S190" s="106" t="n"/>
      <c r="T190">
        <f>IF(OR(G190="Closed Lost",G190="",NOT(ISNUMBER(H190))),"",H190)</f>
        <v/>
      </c>
    </row>
    <row r="191" ht="18" customHeight="1" s="96">
      <c r="A191" s="57" t="n">
        <v>189</v>
      </c>
      <c r="B191" s="70" t="n"/>
      <c r="C191" s="70" t="n"/>
      <c r="D191" s="70" t="n"/>
      <c r="E191" s="70" t="n"/>
      <c r="F191" s="71" t="n"/>
      <c r="G191" s="70" t="n"/>
      <c r="H191" s="75" t="n"/>
      <c r="I191" s="75" t="n"/>
      <c r="J191" s="72" t="n"/>
      <c r="K191" s="73">
        <f>IFERROR(VLOOKUP(G191,Stage_Lookup!$A$2:$B$8,2,0),"")</f>
        <v/>
      </c>
      <c r="L191" s="69" t="n"/>
      <c r="M191" s="69" t="n"/>
      <c r="N191" s="72" t="n"/>
      <c r="O191" s="70" t="n"/>
      <c r="P191" s="70" t="n"/>
      <c r="Q191" s="106" t="n"/>
      <c r="R191" s="106" t="n"/>
      <c r="S191" s="106" t="n"/>
      <c r="T191">
        <f>IF(OR(G191="Closed Lost",G191="",NOT(ISNUMBER(H191))),"",H191)</f>
        <v/>
      </c>
    </row>
    <row r="192" ht="18" customHeight="1" s="96">
      <c r="A192" s="64" t="n">
        <v>190</v>
      </c>
      <c r="B192" s="65" t="n"/>
      <c r="C192" s="65" t="n"/>
      <c r="D192" s="65" t="n"/>
      <c r="E192" s="65" t="n"/>
      <c r="F192" s="66" t="n"/>
      <c r="G192" s="65" t="n"/>
      <c r="H192" s="74" t="n"/>
      <c r="I192" s="74" t="n"/>
      <c r="J192" s="67" t="n"/>
      <c r="K192" s="68">
        <f>IFERROR(VLOOKUP(G192,Stage_Lookup!$A$2:$B$8,2,0),"")</f>
        <v/>
      </c>
      <c r="L192" s="69" t="n"/>
      <c r="M192" s="69" t="n"/>
      <c r="N192" s="67" t="n"/>
      <c r="O192" s="65" t="n"/>
      <c r="P192" s="65" t="n"/>
      <c r="Q192" s="106" t="n"/>
      <c r="R192" s="106" t="n"/>
      <c r="S192" s="106" t="n"/>
      <c r="T192">
        <f>IF(OR(G192="Closed Lost",G192="",NOT(ISNUMBER(H192))),"",H192)</f>
        <v/>
      </c>
    </row>
    <row r="193" ht="18" customHeight="1" s="96">
      <c r="A193" s="57" t="n">
        <v>191</v>
      </c>
      <c r="B193" s="70" t="n"/>
      <c r="C193" s="70" t="n"/>
      <c r="D193" s="70" t="n"/>
      <c r="E193" s="70" t="n"/>
      <c r="F193" s="71" t="n"/>
      <c r="G193" s="70" t="n"/>
      <c r="H193" s="75" t="n"/>
      <c r="I193" s="75" t="n"/>
      <c r="J193" s="72" t="n"/>
      <c r="K193" s="73">
        <f>IFERROR(VLOOKUP(G193,Stage_Lookup!$A$2:$B$8,2,0),"")</f>
        <v/>
      </c>
      <c r="L193" s="69" t="n"/>
      <c r="M193" s="69" t="n"/>
      <c r="N193" s="72" t="n"/>
      <c r="O193" s="70" t="n"/>
      <c r="P193" s="70" t="n"/>
      <c r="Q193" s="106" t="n"/>
      <c r="R193" s="106" t="n"/>
      <c r="S193" s="106" t="n"/>
      <c r="T193">
        <f>IF(OR(G193="Closed Lost",G193="",NOT(ISNUMBER(H193))),"",H193)</f>
        <v/>
      </c>
    </row>
    <row r="194" ht="18" customHeight="1" s="96">
      <c r="A194" s="64" t="n">
        <v>192</v>
      </c>
      <c r="B194" s="65" t="n"/>
      <c r="C194" s="65" t="n"/>
      <c r="D194" s="65" t="n"/>
      <c r="E194" s="65" t="n"/>
      <c r="F194" s="66" t="n"/>
      <c r="G194" s="65" t="n"/>
      <c r="H194" s="74" t="n"/>
      <c r="I194" s="74" t="n"/>
      <c r="J194" s="67" t="n"/>
      <c r="K194" s="68">
        <f>IFERROR(VLOOKUP(G194,Stage_Lookup!$A$2:$B$8,2,0),"")</f>
        <v/>
      </c>
      <c r="L194" s="69" t="n"/>
      <c r="M194" s="69" t="n"/>
      <c r="N194" s="67" t="n"/>
      <c r="O194" s="65" t="n"/>
      <c r="P194" s="65" t="n"/>
      <c r="Q194" s="106" t="n"/>
      <c r="R194" s="106" t="n"/>
      <c r="S194" s="106" t="n"/>
      <c r="T194">
        <f>IF(OR(G194="Closed Lost",G194="",NOT(ISNUMBER(H194))),"",H194)</f>
        <v/>
      </c>
    </row>
    <row r="195" ht="18" customHeight="1" s="96">
      <c r="A195" s="57" t="n">
        <v>193</v>
      </c>
      <c r="B195" s="70" t="n"/>
      <c r="C195" s="70" t="n"/>
      <c r="D195" s="70" t="n"/>
      <c r="E195" s="70" t="n"/>
      <c r="F195" s="71" t="n"/>
      <c r="G195" s="70" t="n"/>
      <c r="H195" s="75" t="n"/>
      <c r="I195" s="75" t="n"/>
      <c r="J195" s="72" t="n"/>
      <c r="K195" s="73">
        <f>IFERROR(VLOOKUP(G195,Stage_Lookup!$A$2:$B$8,2,0),"")</f>
        <v/>
      </c>
      <c r="L195" s="69" t="n"/>
      <c r="M195" s="69" t="n"/>
      <c r="N195" s="72" t="n"/>
      <c r="O195" s="70" t="n"/>
      <c r="P195" s="70" t="n"/>
      <c r="Q195" s="106" t="n"/>
      <c r="R195" s="106" t="n"/>
      <c r="S195" s="106" t="n"/>
      <c r="T195">
        <f>IF(OR(G195="Closed Lost",G195="",NOT(ISNUMBER(H195))),"",H195)</f>
        <v/>
      </c>
    </row>
    <row r="196" ht="18" customHeight="1" s="96">
      <c r="A196" s="64" t="n">
        <v>194</v>
      </c>
      <c r="B196" s="65" t="n"/>
      <c r="C196" s="65" t="n"/>
      <c r="D196" s="65" t="n"/>
      <c r="E196" s="65" t="n"/>
      <c r="F196" s="66" t="n"/>
      <c r="G196" s="65" t="n"/>
      <c r="H196" s="74" t="n"/>
      <c r="I196" s="74" t="n"/>
      <c r="J196" s="67" t="n"/>
      <c r="K196" s="68">
        <f>IFERROR(VLOOKUP(G196,Stage_Lookup!$A$2:$B$8,2,0),"")</f>
        <v/>
      </c>
      <c r="L196" s="69" t="n"/>
      <c r="M196" s="69" t="n"/>
      <c r="N196" s="67" t="n"/>
      <c r="O196" s="65" t="n"/>
      <c r="P196" s="65" t="n"/>
      <c r="Q196" s="106" t="n"/>
      <c r="R196" s="106" t="n"/>
      <c r="S196" s="106" t="n"/>
      <c r="T196">
        <f>IF(OR(G196="Closed Lost",G196="",NOT(ISNUMBER(H196))),"",H196)</f>
        <v/>
      </c>
    </row>
    <row r="197" ht="18" customHeight="1" s="96">
      <c r="A197" s="57" t="n">
        <v>195</v>
      </c>
      <c r="B197" s="70" t="n"/>
      <c r="C197" s="70" t="n"/>
      <c r="D197" s="70" t="n"/>
      <c r="E197" s="70" t="n"/>
      <c r="F197" s="71" t="n"/>
      <c r="G197" s="70" t="n"/>
      <c r="H197" s="75" t="n"/>
      <c r="I197" s="75" t="n"/>
      <c r="J197" s="72" t="n"/>
      <c r="K197" s="73">
        <f>IFERROR(VLOOKUP(G197,Stage_Lookup!$A$2:$B$8,2,0),"")</f>
        <v/>
      </c>
      <c r="L197" s="69" t="n"/>
      <c r="M197" s="69" t="n"/>
      <c r="N197" s="72" t="n"/>
      <c r="O197" s="70" t="n"/>
      <c r="P197" s="70" t="n"/>
      <c r="Q197" s="106" t="n"/>
      <c r="R197" s="106" t="n"/>
      <c r="S197" s="106" t="n"/>
      <c r="T197">
        <f>IF(OR(G197="Closed Lost",G197="",NOT(ISNUMBER(H197))),"",H197)</f>
        <v/>
      </c>
    </row>
    <row r="198" ht="18" customHeight="1" s="96">
      <c r="A198" s="64" t="n">
        <v>196</v>
      </c>
      <c r="B198" s="65" t="n"/>
      <c r="C198" s="65" t="n"/>
      <c r="D198" s="65" t="n"/>
      <c r="E198" s="65" t="n"/>
      <c r="F198" s="66" t="n"/>
      <c r="G198" s="65" t="n"/>
      <c r="H198" s="74" t="n"/>
      <c r="I198" s="74" t="n"/>
      <c r="J198" s="67" t="n"/>
      <c r="K198" s="68">
        <f>IFERROR(VLOOKUP(G198,Stage_Lookup!$A$2:$B$8,2,0),"")</f>
        <v/>
      </c>
      <c r="L198" s="69" t="n"/>
      <c r="M198" s="69" t="n"/>
      <c r="N198" s="67" t="n"/>
      <c r="O198" s="65" t="n"/>
      <c r="P198" s="65" t="n"/>
      <c r="Q198" s="106" t="n"/>
      <c r="R198" s="106" t="n"/>
      <c r="S198" s="106" t="n"/>
      <c r="T198">
        <f>IF(OR(G198="Closed Lost",G198="",NOT(ISNUMBER(H198))),"",H198)</f>
        <v/>
      </c>
    </row>
    <row r="199" ht="18" customHeight="1" s="96">
      <c r="A199" s="57" t="n">
        <v>197</v>
      </c>
      <c r="B199" s="70" t="n"/>
      <c r="C199" s="70" t="n"/>
      <c r="D199" s="70" t="n"/>
      <c r="E199" s="70" t="n"/>
      <c r="F199" s="71" t="n"/>
      <c r="G199" s="70" t="n"/>
      <c r="H199" s="75" t="n"/>
      <c r="I199" s="75" t="n"/>
      <c r="J199" s="72" t="n"/>
      <c r="K199" s="73">
        <f>IFERROR(VLOOKUP(G199,Stage_Lookup!$A$2:$B$8,2,0),"")</f>
        <v/>
      </c>
      <c r="L199" s="69" t="n"/>
      <c r="M199" s="69" t="n"/>
      <c r="N199" s="72" t="n"/>
      <c r="O199" s="70" t="n"/>
      <c r="P199" s="70" t="n"/>
      <c r="Q199" s="106" t="n"/>
      <c r="R199" s="106" t="n"/>
      <c r="S199" s="106" t="n"/>
      <c r="T199">
        <f>IF(OR(G199="Closed Lost",G199="",NOT(ISNUMBER(H199))),"",H199)</f>
        <v/>
      </c>
    </row>
    <row r="200" ht="18" customHeight="1" s="96">
      <c r="A200" s="64" t="n">
        <v>198</v>
      </c>
      <c r="B200" s="65" t="n"/>
      <c r="C200" s="65" t="n"/>
      <c r="D200" s="65" t="n"/>
      <c r="E200" s="65" t="n"/>
      <c r="F200" s="66" t="n"/>
      <c r="G200" s="65" t="n"/>
      <c r="H200" s="74" t="n"/>
      <c r="I200" s="74" t="n"/>
      <c r="J200" s="67" t="n"/>
      <c r="K200" s="68">
        <f>IFERROR(VLOOKUP(G200,Stage_Lookup!$A$2:$B$8,2,0),"")</f>
        <v/>
      </c>
      <c r="L200" s="69" t="n"/>
      <c r="M200" s="69" t="n"/>
      <c r="N200" s="67" t="n"/>
      <c r="O200" s="65" t="n"/>
      <c r="P200" s="65" t="n"/>
      <c r="Q200" s="106" t="n"/>
      <c r="R200" s="106" t="n"/>
      <c r="S200" s="106" t="n"/>
      <c r="T200">
        <f>IF(OR(G200="Closed Lost",G200="",NOT(ISNUMBER(H200))),"",H200)</f>
        <v/>
      </c>
    </row>
    <row r="201" ht="18" customHeight="1" s="96">
      <c r="A201" s="57" t="n">
        <v>199</v>
      </c>
      <c r="B201" s="70" t="n"/>
      <c r="C201" s="70" t="n"/>
      <c r="D201" s="70" t="n"/>
      <c r="E201" s="70" t="n"/>
      <c r="F201" s="71" t="n"/>
      <c r="G201" s="70" t="n"/>
      <c r="H201" s="75" t="n"/>
      <c r="I201" s="75" t="n"/>
      <c r="J201" s="72" t="n"/>
      <c r="K201" s="73">
        <f>IFERROR(VLOOKUP(G201,Stage_Lookup!$A$2:$B$8,2,0),"")</f>
        <v/>
      </c>
      <c r="L201" s="69" t="n"/>
      <c r="M201" s="69" t="n"/>
      <c r="N201" s="72" t="n"/>
      <c r="O201" s="70" t="n"/>
      <c r="P201" s="70" t="n"/>
      <c r="Q201" s="106" t="n"/>
      <c r="R201" s="106" t="n"/>
      <c r="S201" s="106" t="n"/>
      <c r="T201">
        <f>IF(OR(G201="Closed Lost",G201="",NOT(ISNUMBER(H201))),"",H201)</f>
        <v/>
      </c>
    </row>
    <row r="202" ht="18" customHeight="1" s="96">
      <c r="A202" s="64" t="n">
        <v>200</v>
      </c>
      <c r="B202" s="65" t="n"/>
      <c r="C202" s="65" t="n"/>
      <c r="D202" s="65" t="n"/>
      <c r="E202" s="65" t="n"/>
      <c r="F202" s="66" t="n"/>
      <c r="G202" s="65" t="n"/>
      <c r="H202" s="74" t="n"/>
      <c r="I202" s="74" t="n"/>
      <c r="J202" s="67" t="n"/>
      <c r="K202" s="68">
        <f>IFERROR(VLOOKUP(G202,Stage_Lookup!$A$2:$B$8,2,0),"")</f>
        <v/>
      </c>
      <c r="L202" s="69" t="n"/>
      <c r="M202" s="69" t="n"/>
      <c r="N202" s="67" t="n"/>
      <c r="O202" s="65" t="n"/>
      <c r="P202" s="65" t="n"/>
      <c r="Q202" s="106" t="n"/>
      <c r="R202" s="106" t="n"/>
      <c r="S202" s="106" t="n"/>
      <c r="T202">
        <f>IF(OR(G202="Closed Lost",G202="",NOT(ISNUMBER(H202))),"",H202)</f>
        <v/>
      </c>
    </row>
    <row r="203" ht="24" customHeight="1" s="96">
      <c r="A203" s="76" t="inlineStr">
        <is>
          <t>TOTALS</t>
        </is>
      </c>
      <c r="B203" s="77" t="n"/>
      <c r="C203" s="78" t="inlineStr">
        <is>
          <t># DEALS:</t>
        </is>
      </c>
      <c r="D203" s="79">
        <f>COUNTA(D3:D202)</f>
        <v/>
      </c>
      <c r="E203" s="77" t="n"/>
      <c r="F203" s="80">
        <f>SUM(F3:F202)</f>
        <v/>
      </c>
      <c r="G203" s="77" t="n"/>
      <c r="H203" s="81">
        <f>SUM(H3:H202)</f>
        <v/>
      </c>
      <c r="I203" s="81">
        <f>SUM(I3:I202)</f>
        <v/>
      </c>
      <c r="J203" s="77" t="n"/>
      <c r="K203" s="77" t="n"/>
      <c r="L203" s="82" t="n"/>
      <c r="M203" s="82" t="n"/>
      <c r="N203" s="77" t="n"/>
      <c r="O203" s="77" t="n"/>
      <c r="P203" s="77" t="n"/>
      <c r="Q203" s="106" t="n"/>
      <c r="R203" s="106" t="n"/>
      <c r="S203" s="10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P1"/>
    <mergeCell ref="A2:P2"/>
  </mergeCells>
  <conditionalFormatting sqref="L4:M203">
    <cfRule type="expression" priority="1" dxfId="1">
      <formula>$K4=0.9</formula>
    </cfRule>
    <cfRule type="expression" priority="2" dxfId="0">
      <formula>$K4&lt;&gt;0.9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workbookViewId="0">
      <selection activeCell="A1" sqref="A1"/>
    </sheetView>
  </sheetViews>
  <sheetFormatPr baseColWidth="8" defaultColWidth="8.7421875" defaultRowHeight="15"/>
  <cols>
    <col width="23.9453125" customWidth="1" style="96" min="1" max="1"/>
    <col width="11.97265625" customWidth="1" style="96" min="2" max="2"/>
  </cols>
  <sheetData>
    <row r="1" ht="15" customHeight="1" s="96">
      <c r="A1" s="46" t="inlineStr">
        <is>
          <t>Opportunity Stage</t>
        </is>
      </c>
      <c r="B1" s="46" t="inlineStr">
        <is>
          <t>Probability</t>
        </is>
      </c>
    </row>
    <row r="2" ht="15" customHeight="1" s="96">
      <c r="A2" s="47" t="inlineStr">
        <is>
          <t>Closed Lost</t>
        </is>
      </c>
      <c r="B2" s="48" t="n">
        <v>0</v>
      </c>
    </row>
    <row r="3" ht="15" customHeight="1" s="96">
      <c r="A3" s="47" t="inlineStr">
        <is>
          <t>Opportunity Creation</t>
        </is>
      </c>
      <c r="B3" s="48" t="n">
        <v>0.1</v>
      </c>
    </row>
    <row r="4" ht="15" customHeight="1" s="96">
      <c r="A4" s="47" t="inlineStr">
        <is>
          <t>Scoping</t>
        </is>
      </c>
      <c r="B4" s="48" t="n">
        <v>0.3</v>
      </c>
    </row>
    <row r="5" ht="15" customHeight="1" s="96">
      <c r="A5" s="47" t="inlineStr">
        <is>
          <t>BOM Submission</t>
        </is>
      </c>
      <c r="B5" s="48" t="n">
        <v>0.5</v>
      </c>
    </row>
    <row r="6" ht="15" customHeight="1" s="96">
      <c r="A6" s="47" t="inlineStr">
        <is>
          <t>Resubmission</t>
        </is>
      </c>
      <c r="B6" s="48" t="n">
        <v>0.7</v>
      </c>
    </row>
    <row r="7" ht="15" customHeight="1" s="96">
      <c r="A7" s="47" t="inlineStr">
        <is>
          <t>Negotiation</t>
        </is>
      </c>
      <c r="B7" s="48" t="n">
        <v>0.9</v>
      </c>
    </row>
    <row r="8" ht="15" customHeight="1" s="96">
      <c r="A8" s="47" t="inlineStr">
        <is>
          <t>Closed Won</t>
        </is>
      </c>
      <c r="B8" s="48" t="n">
        <v>1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237"/>
  <sheetViews>
    <sheetView showGridLines="0" zoomScale="90" zoomScaleNormal="75" workbookViewId="0">
      <pane ySplit="3" topLeftCell="A4" activePane="bottomLeft" state="frozen"/>
      <selection pane="bottomLeft" activeCell="F24" sqref="F24"/>
    </sheetView>
  </sheetViews>
  <sheetFormatPr baseColWidth="8" defaultColWidth="8.7421875" defaultRowHeight="15"/>
  <cols>
    <col width="30.8046875" customWidth="1" style="96" min="1" max="3"/>
    <col width="27.98046875" customWidth="1" style="96" min="4" max="5"/>
    <col width="29.99609375" customWidth="1" style="96" min="6" max="6"/>
    <col width="13.98828125" customWidth="1" style="96" min="7" max="7"/>
    <col width="20.04296875" customWidth="1" style="96" min="8" max="8"/>
    <col width="16.0078125" customWidth="1" style="96" min="9" max="10"/>
    <col width="29.99609375" customWidth="1" style="96" min="11" max="11"/>
    <col width="13.046875" customWidth="1" style="96" min="12" max="12"/>
    <col width="16.0078125" customWidth="1" style="96" min="13" max="13"/>
    <col width="34.97265625" customWidth="1" style="96" min="14" max="15"/>
  </cols>
  <sheetData>
    <row r="1" ht="36" customHeight="1" s="96">
      <c r="A1" s="98" t="inlineStr">
        <is>
          <t>CONSOLIDATED SALES MONITORING DASHBOARD</t>
        </is>
      </c>
    </row>
    <row r="2" ht="15.75" customHeight="1" s="96">
      <c r="A2" s="97" t="inlineStr">
        <is>
          <t>⚡  All figures are live-linked from individual sheets. Update data in each person's sheet — this dashboard refreshes automatically.</t>
        </is>
      </c>
    </row>
    <row r="4" ht="27.75" customHeight="1" s="96">
      <c r="A4" s="102" t="inlineStr">
        <is>
          <t>SECTION A — EXECUTIVE COMMITTEE (ExCom) PERFORMANCE SUMMARY</t>
        </is>
      </c>
      <c r="O4" s="100" t="n"/>
    </row>
    <row r="5" ht="15.75" customHeight="1" s="96">
      <c r="A5" s="99" t="inlineStr">
        <is>
          <t>Summary of Coverage and Conversion performance per sales person — for ExCom reporting.</t>
        </is>
      </c>
      <c r="O5" s="100" t="n"/>
    </row>
    <row r="6" ht="36" customHeight="1" s="96">
      <c r="A6" s="25" t="inlineStr">
        <is>
          <t>SALES PERSON</t>
        </is>
      </c>
      <c r="B6" s="25" t="inlineStr">
        <is>
          <t>TOTAL DEALS
(COVERAGE)</t>
        </is>
      </c>
      <c r="C6" s="25" t="inlineStr">
        <is>
          <t>TOTAL AREA
(SQM)</t>
        </is>
      </c>
      <c r="D6" s="25" t="inlineStr">
        <is>
          <t>TOTAL TCV
(Coverage)</t>
        </is>
      </c>
      <c r="E6" s="25" t="inlineStr">
        <is>
          <t>TOTAL GP
(Coverage)</t>
        </is>
      </c>
      <c r="F6" s="25" t="inlineStr">
        <is>
          <t>AVG TCV
PER DEAL</t>
        </is>
      </c>
      <c r="G6" s="25" t="inlineStr">
        <is>
          <t>AVG GP
PER DEAL</t>
        </is>
      </c>
    </row>
    <row r="7" ht="21.75" customHeight="1" s="96">
      <c r="A7" s="93" t="inlineStr">
        <is>
          <t>Madine</t>
        </is>
      </c>
      <c r="B7" s="93">
        <f>COUNTA('Madine- Coverage'!C3:C202)</f>
        <v/>
      </c>
      <c r="C7" s="9">
        <f>'Madine- Coverage'!F203</f>
        <v/>
      </c>
      <c r="D7" s="10">
        <f>'Madine- Coverage'!G203</f>
        <v/>
      </c>
      <c r="E7" s="10">
        <f>'Madine- Coverage'!H203</f>
        <v/>
      </c>
      <c r="F7" s="10">
        <f>IFERROR('Madine- Coverage'!G203/COUNTA('Madine- Coverage'!C3:C202),0)</f>
        <v/>
      </c>
      <c r="G7" s="10">
        <f>IFERROR('Madine- Coverage'!H203/COUNTA('Madine- Coverage'!C3:C202),0)</f>
        <v/>
      </c>
    </row>
    <row r="8" ht="21.75" customHeight="1" s="96">
      <c r="A8" s="2" t="inlineStr">
        <is>
          <t>Zarrah</t>
        </is>
      </c>
      <c r="B8" s="2">
        <f>COUNTA('Zarrah- Coverage'!C3:C202)</f>
        <v/>
      </c>
      <c r="C8" s="4">
        <f>'Zarrah- Coverage'!F203</f>
        <v/>
      </c>
      <c r="D8" s="5">
        <f>'Zarrah- Coverage'!G203</f>
        <v/>
      </c>
      <c r="E8" s="5">
        <f>'Zarrah- Coverage'!H203</f>
        <v/>
      </c>
      <c r="F8" s="5">
        <f>IFERROR('Zarrah- Coverage'!G203/COUNTA('Zarrah- Coverage'!C3:C202),0)</f>
        <v/>
      </c>
      <c r="G8" s="5">
        <f>IFERROR('Zarrah- Coverage'!H203/COUNTA('Zarrah- Coverage'!C3:C202),0)</f>
        <v/>
      </c>
    </row>
    <row r="9" ht="21.75" customHeight="1" s="96">
      <c r="A9" s="93" t="inlineStr">
        <is>
          <t>Home</t>
        </is>
      </c>
      <c r="B9" s="93">
        <f>COUNTA('Home-Coverage'!C3:C202)</f>
        <v/>
      </c>
      <c r="C9" s="9">
        <f>'Home-Coverage'!F203</f>
        <v/>
      </c>
      <c r="D9" s="10">
        <f>'Home-Coverage'!G203</f>
        <v/>
      </c>
      <c r="E9" s="10">
        <f>'Home-Coverage'!H203</f>
        <v/>
      </c>
      <c r="F9" s="10">
        <f>IFERROR('Home-Coverage'!G203/COUNTA('Home-Coverage'!C3:C202),0)</f>
        <v/>
      </c>
      <c r="G9" s="10">
        <f>IFERROR('Home-Coverage'!H203/COUNTA('Home-Coverage'!C3:C202),0)</f>
        <v/>
      </c>
    </row>
    <row r="10" ht="21.75" customHeight="1" s="96">
      <c r="A10" s="26" t="inlineStr">
        <is>
          <t>TOTAL</t>
        </is>
      </c>
      <c r="B10" s="26">
        <f>SUM(B7:B9)</f>
        <v/>
      </c>
      <c r="C10" s="27">
        <f>SUM(C7:C9)</f>
        <v/>
      </c>
      <c r="D10" s="28">
        <f>SUM(D7:D9)</f>
        <v/>
      </c>
      <c r="E10" s="28">
        <f>SUM(E7:E9)</f>
        <v/>
      </c>
      <c r="F10" s="28">
        <f>IFERROR(D10/B10,0)</f>
        <v/>
      </c>
      <c r="G10" s="28">
        <f>IFERROR(E10/B10,0)</f>
        <v/>
      </c>
    </row>
    <row r="12" ht="36" customHeight="1" s="96">
      <c r="A12" s="25" t="inlineStr">
        <is>
          <t>SALES PERSON</t>
        </is>
      </c>
      <c r="B12" s="25" t="inlineStr">
        <is>
          <t>TOTAL DEALS
(CONVERSION)</t>
        </is>
      </c>
      <c r="C12" s="25" t="inlineStr">
        <is>
          <t>TOTAL AREA
(SQM)</t>
        </is>
      </c>
      <c r="D12" s="25" t="inlineStr">
        <is>
          <t>TOTAL TCV
(VAT EX)</t>
        </is>
      </c>
      <c r="E12" s="25" t="inlineStr">
        <is>
          <t>TOTAL GP
(VAT EX)</t>
        </is>
      </c>
      <c r="F12" s="25" t="inlineStr">
        <is>
          <t>AVG TCV
PER DEAL</t>
        </is>
      </c>
      <c r="G12" s="25" t="inlineStr">
        <is>
          <t>AVG GP
PER DEAL</t>
        </is>
      </c>
      <c r="H12" s="25" t="inlineStr">
        <is>
          <t>GP MARGIN
%</t>
        </is>
      </c>
    </row>
    <row r="13" ht="21.75" customHeight="1" s="96">
      <c r="A13" s="93" t="inlineStr">
        <is>
          <t>Madine</t>
        </is>
      </c>
      <c r="B13" s="93">
        <f>COUNTA('Madine- Conversion'!D3:D202)</f>
        <v/>
      </c>
      <c r="C13" s="9">
        <f>'Madine- Conversion'!F203</f>
        <v/>
      </c>
      <c r="D13" s="10">
        <f>'Madine- Conversion'!H203</f>
        <v/>
      </c>
      <c r="E13" s="10">
        <f>'Madine- Conversion'!I203</f>
        <v/>
      </c>
      <c r="F13" s="10">
        <f>IFERROR('Madine- Conversion'!H203/COUNTA('Madine- Conversion'!D3:D202),0)</f>
        <v/>
      </c>
      <c r="G13" s="10">
        <f>IFERROR('Madine- Conversion'!I203/COUNTA('Madine- Conversion'!D3:D202),0)</f>
        <v/>
      </c>
      <c r="H13" s="29">
        <f>IFERROR('Madine- Conversion'!I203/'Madine- Conversion'!H203,0)</f>
        <v/>
      </c>
    </row>
    <row r="14" ht="21.75" customHeight="1" s="96">
      <c r="A14" s="2" t="inlineStr">
        <is>
          <t>Zarrah</t>
        </is>
      </c>
      <c r="B14" s="2">
        <f>COUNTA('Zarrah-Conversion'!D2:D201)</f>
        <v/>
      </c>
      <c r="C14" s="4">
        <f>'Zarrah-Conversion'!F202</f>
        <v/>
      </c>
      <c r="D14" s="5">
        <f>'Zarrah-Conversion'!H202</f>
        <v/>
      </c>
      <c r="E14" s="5">
        <f>'Zarrah-Conversion'!I202</f>
        <v/>
      </c>
      <c r="F14" s="5">
        <f>IFERROR('Zarrah-Conversion'!H202/COUNTA('Zarrah-Conversion'!D2:D201),0)</f>
        <v/>
      </c>
      <c r="G14" s="5">
        <f>IFERROR('Zarrah-Conversion'!I202/COUNTA('Zarrah-Conversion'!D2:D201),0)</f>
        <v/>
      </c>
      <c r="H14" s="30">
        <f>IFERROR('Zarrah-Conversion'!I202/'Zarrah-Conversion'!H202,0)</f>
        <v/>
      </c>
    </row>
    <row r="15" ht="21.75" customHeight="1" s="96">
      <c r="A15" s="93" t="inlineStr">
        <is>
          <t>Home</t>
        </is>
      </c>
      <c r="B15" s="93">
        <f>COUNTA('Home-Conversion'!D3:D202)</f>
        <v/>
      </c>
      <c r="C15" s="9">
        <f>'Home-Conversion'!F203</f>
        <v/>
      </c>
      <c r="D15" s="10">
        <f>'Home-Conversion'!H203</f>
        <v/>
      </c>
      <c r="E15" s="10">
        <f>'Home-Conversion'!I203</f>
        <v/>
      </c>
      <c r="F15" s="10">
        <f>IFERROR('Home-Conversion'!H203/COUNTA('Home-Conversion'!D3:D202),0)</f>
        <v/>
      </c>
      <c r="G15" s="10">
        <f>IFERROR('Home-Conversion'!I203/COUNTA('Home-Conversion'!D3:D202),0)</f>
        <v/>
      </c>
      <c r="H15" s="29">
        <f>IFERROR('Home-Conversion'!I203/'Home-Conversion'!H203,0)</f>
        <v/>
      </c>
    </row>
    <row r="16" ht="21.75" customHeight="1" s="96">
      <c r="A16" s="26" t="inlineStr">
        <is>
          <t>TOTAL</t>
        </is>
      </c>
      <c r="B16" s="26">
        <f>SUM(B13:B15)</f>
        <v/>
      </c>
      <c r="C16" s="27">
        <f>SUM(C13:C15)</f>
        <v/>
      </c>
      <c r="D16" s="28">
        <f>SUM(D13:D15)</f>
        <v/>
      </c>
      <c r="E16" s="28">
        <f>SUM(E13:E15)</f>
        <v/>
      </c>
      <c r="F16" s="28">
        <f>IFERROR(D16/B16,0)</f>
        <v/>
      </c>
      <c r="G16" s="28">
        <f>IFERROR(E16/B16,0)</f>
        <v/>
      </c>
      <c r="H16" s="31">
        <f>IFERROR(E16/D16,0)</f>
        <v/>
      </c>
    </row>
    <row r="18" ht="24" customHeight="1" s="96">
      <c r="A18" s="101" t="inlineStr">
        <is>
          <t>CONVERSION PIPELINE BY STAGE — ALL PERSONS</t>
        </is>
      </c>
      <c r="O18" s="100" t="n"/>
    </row>
    <row r="19" ht="36" customHeight="1" s="96">
      <c r="A19" s="20" t="inlineStr">
        <is>
          <t>OPPORTUNITY STAGE (PROBABILITY)</t>
        </is>
      </c>
      <c r="B19" s="20" t="inlineStr">
        <is>
          <t>PERSON A
DEALS</t>
        </is>
      </c>
      <c r="C19" s="20" t="inlineStr">
        <is>
          <t>PERSON B
DEALS</t>
        </is>
      </c>
      <c r="D19" s="20" t="inlineStr">
        <is>
          <t>PERSON C
DEALS</t>
        </is>
      </c>
      <c r="E19" s="20" t="inlineStr">
        <is>
          <t>TOTAL
DEALS</t>
        </is>
      </c>
      <c r="F19" s="20" t="inlineStr">
        <is>
          <t>TOTAL TCV
(VAT EX)</t>
        </is>
      </c>
      <c r="G19" s="20" t="inlineStr">
        <is>
          <t>TOTAL GP
(VAT EX)</t>
        </is>
      </c>
      <c r="H19" s="20" t="inlineStr">
        <is>
          <t>WEIGHTED TCV
(TCV × Prob %)</t>
        </is>
      </c>
    </row>
    <row r="20" ht="19.5" customHeight="1" s="96">
      <c r="A20" s="32" t="inlineStr">
        <is>
          <t>Closed Lost  (0%)</t>
        </is>
      </c>
      <c r="B20" s="33">
        <f>COUNTIF('Madine- Conversion'!G3:G202,"Closed Lost")</f>
        <v/>
      </c>
      <c r="C20" s="33">
        <f>COUNTIF('Zarrah-Conversion'!G2:G201,"Closed Lost")</f>
        <v/>
      </c>
      <c r="D20" s="33">
        <f>COUNTIF('Home-Conversion'!G3:G202,"Closed Lost")</f>
        <v/>
      </c>
      <c r="E20" s="34">
        <f>SUM(B20:D20)</f>
        <v/>
      </c>
      <c r="F20" s="35">
        <f>SUMIF('Madine- Conversion'!G3:G202,"Closed Lost",'Madine- Conversion'!H3:H202)+SUMIF('Zarrah-Conversion'!G2:G201,"Closed Lost",'Zarrah-Conversion'!H2:H201)+SUMIF('Home-Conversion'!G3:G202,"Closed Lost",'Home-Conversion'!H3:H202)</f>
        <v/>
      </c>
      <c r="G20" s="35">
        <f>SUMIF('Madine- Conversion'!G3:G202,"Closed Lost",'Madine- Conversion'!I3:I202)+SUMIF('Zarrah-Conversion'!G2:G201,"Closed Lost",'Zarrah-Conversion'!I2:I201)+SUMIF('Home-Conversion'!G3:G202,"Closed Lost",'Home-Conversion'!I3:I202)</f>
        <v/>
      </c>
      <c r="H20" s="35">
        <f>F20*0</f>
        <v/>
      </c>
    </row>
    <row r="21" ht="19.5" customHeight="1" s="96">
      <c r="A21" s="36" t="inlineStr">
        <is>
          <t>Opportunity Creation  (10%)</t>
        </is>
      </c>
      <c r="B21" s="37">
        <f>COUNTIF('Madine- Conversion'!G3:G202,"Opportunity Creation")</f>
        <v/>
      </c>
      <c r="C21" s="37">
        <f>COUNTIF('Zarrah-Conversion'!G2:G201,"Opportunity Creation")</f>
        <v/>
      </c>
      <c r="D21" s="37">
        <f>COUNTIF('Home-Conversion'!G3:G202,"Opportunity Creation")</f>
        <v/>
      </c>
      <c r="E21" s="38">
        <f>SUM(B21:D21)</f>
        <v/>
      </c>
      <c r="F21" s="39">
        <f>SUMIF('Madine- Conversion'!G3:G202,"Opportunity Creation",'Madine- Conversion'!H3:H202)+SUMIF('Zarrah-Conversion'!G2:G201,"Opportunity Creation",'Zarrah-Conversion'!H2:H201)+SUMIF('Home-Conversion'!G3:G202,"Opportunity Creation",'Home-Conversion'!H3:H202)</f>
        <v/>
      </c>
      <c r="G21" s="39">
        <f>SUMIF('Madine- Conversion'!G3:G202,"Opportunity Creation",'Madine- Conversion'!I3:I202)+SUMIF('Zarrah-Conversion'!G2:G201,"Opportunity Creation",'Zarrah-Conversion'!I2:I201)+SUMIF('Home-Conversion'!G3:G202,"Opportunity Creation",'Home-Conversion'!I3:I202)</f>
        <v/>
      </c>
      <c r="H21" s="39">
        <f>F21*0.1</f>
        <v/>
      </c>
    </row>
    <row r="22" ht="19.5" customHeight="1" s="96">
      <c r="A22" s="32" t="inlineStr">
        <is>
          <t>Scoping  (30%)</t>
        </is>
      </c>
      <c r="B22" s="33">
        <f>COUNTIF('Madine- Conversion'!G3:G202,"Scoping")</f>
        <v/>
      </c>
      <c r="C22" s="33">
        <f>COUNTIF('Zarrah-Conversion'!G2:G201,"Scoping")</f>
        <v/>
      </c>
      <c r="D22" s="33">
        <f>COUNTIF('Home-Conversion'!G3:G202,"Scoping")</f>
        <v/>
      </c>
      <c r="E22" s="34">
        <f>SUM(B22:D22)</f>
        <v/>
      </c>
      <c r="F22" s="35">
        <f>SUMIF('Madine- Conversion'!G3:G202,"Scoping",'Madine- Conversion'!H3:H202)+SUMIF('Zarrah-Conversion'!G2:G201,"Scoping",'Zarrah-Conversion'!H2:H201)+SUMIF('Home-Conversion'!G3:G202,"Scoping",'Home-Conversion'!H3:H202)</f>
        <v/>
      </c>
      <c r="G22" s="35">
        <f>SUMIF('Madine- Conversion'!G3:G202,"Scoping",'Madine- Conversion'!I3:I202)+SUMIF('Zarrah-Conversion'!G2:G201,"Scoping",'Zarrah-Conversion'!I2:I201)+SUMIF('Home-Conversion'!G3:G202,"Scoping",'Home-Conversion'!I3:I202)</f>
        <v/>
      </c>
      <c r="H22" s="35">
        <f>F22*0.3</f>
        <v/>
      </c>
    </row>
    <row r="23" ht="19.5" customHeight="1" s="96">
      <c r="A23" s="36" t="inlineStr">
        <is>
          <t>BOM Submission  (50%)</t>
        </is>
      </c>
      <c r="B23" s="37">
        <f>COUNTIF('Madine- Conversion'!G3:G202,"BOM Submission")</f>
        <v/>
      </c>
      <c r="C23" s="37">
        <f>COUNTIF('Zarrah-Conversion'!G2:G201,"BOM Submission")</f>
        <v/>
      </c>
      <c r="D23" s="37">
        <f>COUNTIF('Home-Conversion'!G3:G202,"BOM Submission")</f>
        <v/>
      </c>
      <c r="E23" s="38">
        <f>SUM(B23:D23)</f>
        <v/>
      </c>
      <c r="F23" s="39">
        <f>SUMIF('Madine- Conversion'!G3:G202,"BOM Submission",'Madine- Conversion'!H3:H202)+SUMIF('Zarrah-Conversion'!G2:G201,"BOM Submission",'Zarrah-Conversion'!H2:H201)+SUMIF('Home-Conversion'!G3:G202,"BOM Submission",'Home-Conversion'!H3:H202)</f>
        <v/>
      </c>
      <c r="G23" s="39">
        <f>SUMIF('Madine- Conversion'!G3:G202,"BOM Submission",'Madine- Conversion'!I3:I202)+SUMIF('Zarrah-Conversion'!G2:G201,"BOM Submission",'Zarrah-Conversion'!I2:I201)+SUMIF('Home-Conversion'!G3:G202,"BOM Submission",'Home-Conversion'!I3:I202)</f>
        <v/>
      </c>
      <c r="H23" s="39">
        <f>F23*0.5</f>
        <v/>
      </c>
    </row>
    <row r="24" ht="19.5" customHeight="1" s="96">
      <c r="A24" s="32" t="inlineStr">
        <is>
          <t>Resubmission  (70%)</t>
        </is>
      </c>
      <c r="B24" s="33">
        <f>COUNTIF('Madine- Conversion'!G3:G202,"Resubmission")</f>
        <v/>
      </c>
      <c r="C24" s="33">
        <f>COUNTIF('Zarrah-Conversion'!G2:G201,"Resubmission")</f>
        <v/>
      </c>
      <c r="D24" s="33">
        <f>COUNTIF('Home-Conversion'!G3:G202,"Resubmission")</f>
        <v/>
      </c>
      <c r="E24" s="34">
        <f>SUM(B24:D24)</f>
        <v/>
      </c>
      <c r="F24" s="35">
        <f>SUMIF('Madine- Conversion'!G3:G202,"Resubmission",'Madine- Conversion'!H3:H202)+SUMIF('Zarrah-Conversion'!G2:G201,"Resubmission",'Zarrah-Conversion'!H2:H201)+SUMIF('Home-Conversion'!G3:G202,"Resubmission",'Home-Conversion'!H3:H202)</f>
        <v/>
      </c>
      <c r="G24" s="35">
        <f>SUMIF('Madine- Conversion'!G3:G202,"Resubmission",'Madine- Conversion'!I3:I202)+SUMIF('Zarrah-Conversion'!G2:G201,"Resubmission",'Zarrah-Conversion'!I2:I201)+SUMIF('Home-Conversion'!G3:G202,"Resubmission",'Home-Conversion'!I3:I202)</f>
        <v/>
      </c>
      <c r="H24" s="35">
        <f>F24*0.7</f>
        <v/>
      </c>
    </row>
    <row r="25" ht="19.5" customHeight="1" s="96">
      <c r="A25" s="36" t="inlineStr">
        <is>
          <t>Negotiation  (90%)</t>
        </is>
      </c>
      <c r="B25" s="37">
        <f>COUNTIF('Madine- Conversion'!G3:G202,"Negotiation")</f>
        <v/>
      </c>
      <c r="C25" s="37">
        <f>COUNTIF('Zarrah-Conversion'!G2:G201,"Negotiation")</f>
        <v/>
      </c>
      <c r="D25" s="37">
        <f>COUNTIF('Home-Conversion'!G3:G202,"Negotiation")</f>
        <v/>
      </c>
      <c r="E25" s="38">
        <f>SUM(B25:D25)</f>
        <v/>
      </c>
      <c r="F25" s="39">
        <f>SUMIF('Madine- Conversion'!G3:G202,"Negotiation",'Madine- Conversion'!H3:H202)+SUMIF('Zarrah-Conversion'!G2:G201,"Negotiation",'Zarrah-Conversion'!H2:H201)+SUMIF('Home-Conversion'!G3:G202,"Negotiation",'Home-Conversion'!H3:H202)</f>
        <v/>
      </c>
      <c r="G25" s="39">
        <f>SUMIF('Madine- Conversion'!G3:G202,"Negotiation",'Madine- Conversion'!I3:I202)+SUMIF('Zarrah-Conversion'!G2:G201,"Negotiation",'Zarrah-Conversion'!I2:I201)+SUMIF('Home-Conversion'!G3:G202,"Negotiation",'Home-Conversion'!I3:I202)</f>
        <v/>
      </c>
      <c r="H25" s="39">
        <f>F25*0.9</f>
        <v/>
      </c>
    </row>
    <row r="26" ht="19.5" customHeight="1" s="96">
      <c r="A26" s="32" t="inlineStr">
        <is>
          <t>Closed Won  (100%)</t>
        </is>
      </c>
      <c r="B26" s="33">
        <f>COUNTIF('Madine- Conversion'!G3:G202,"Closed Won")</f>
        <v/>
      </c>
      <c r="C26" s="33">
        <f>COUNTIF('Zarrah-Conversion'!G2:G201,"Closed Won")</f>
        <v/>
      </c>
      <c r="D26" s="33">
        <f>COUNTIF('Home-Conversion'!G3:G202,"Closed Won")</f>
        <v/>
      </c>
      <c r="E26" s="34">
        <f>SUM(B26:D26)</f>
        <v/>
      </c>
      <c r="F26" s="35">
        <f>SUMIF('Madine- Conversion'!G3:G202,"Closed Won",'Madine- Conversion'!H3:H202)+SUMIF('Zarrah-Conversion'!G2:G201,"Closed Won",'Zarrah-Conversion'!H2:H201)+SUMIF('Home-Conversion'!G3:G202,"Closed Won",'Home-Conversion'!H3:H202)</f>
        <v/>
      </c>
      <c r="G26" s="35">
        <f>SUMIF('Madine- Conversion'!G3:G202,"Closed Won",'Madine- Conversion'!I3:I202)+SUMIF('Zarrah-Conversion'!G2:G201,"Closed Won",'Zarrah-Conversion'!I2:I201)+SUMIF('Home-Conversion'!G3:G202,"Closed Won",'Home-Conversion'!I3:I202)</f>
        <v/>
      </c>
      <c r="H26" s="35">
        <f>F26*1</f>
        <v/>
      </c>
    </row>
    <row r="27" ht="21.75" customHeight="1" s="96">
      <c r="A27" s="23" t="inlineStr">
        <is>
          <t>TOTAL</t>
        </is>
      </c>
      <c r="B27" s="21">
        <f>SUM(B20:B26)</f>
        <v/>
      </c>
      <c r="C27" s="21">
        <f>SUM(C20:C26)</f>
        <v/>
      </c>
      <c r="D27" s="21">
        <f>SUM(D20:D26)</f>
        <v/>
      </c>
      <c r="E27" s="21">
        <f>SUM(E20:E26)</f>
        <v/>
      </c>
      <c r="F27" s="24">
        <f>SUM(F20:F26)</f>
        <v/>
      </c>
      <c r="G27" s="24">
        <f>SUM(G20:G26)</f>
        <v/>
      </c>
      <c r="H27" s="24">
        <f>SUM(H20:H26)</f>
        <v/>
      </c>
    </row>
    <row r="29" ht="27.75" customHeight="1" s="96"/>
    <row r="30" ht="36" customHeight="1" s="96">
      <c r="A30" s="103" t="inlineStr">
        <is>
          <t>SECTION B — SALES COVERAGE DETAIL (ALL PERSONS)</t>
        </is>
      </c>
      <c r="B30" s="193" t="n"/>
      <c r="C30" s="193" t="n"/>
      <c r="L30" s="100" t="n"/>
    </row>
    <row r="31" ht="79.15000000000001" customHeight="1" s="96">
      <c r="A31" s="41" t="inlineStr">
        <is>
          <t>TOTAL GP
(VAT EX)</t>
        </is>
      </c>
      <c r="B31" s="42" t="inlineStr">
        <is>
          <t>TOTAL GP
(VAT EX)</t>
        </is>
      </c>
      <c r="C31" s="42" t="inlineStr">
        <is>
          <t>TOTAL GP
(VAT EX)</t>
        </is>
      </c>
      <c r="D31" s="42" t="inlineStr">
        <is>
          <t>TOTAL GP
(VAT EX)</t>
        </is>
      </c>
      <c r="E31" s="42" t="inlineStr">
        <is>
          <t>TOTAL GP
(VAT EX)</t>
        </is>
      </c>
      <c r="F31" s="42" t="inlineStr">
        <is>
          <t>TOTAL GP
(VAT EX)</t>
        </is>
      </c>
      <c r="G31" s="42" t="inlineStr">
        <is>
          <t>TOTAL GP
(VAT EX)</t>
        </is>
      </c>
      <c r="H31" s="42" t="inlineStr">
        <is>
          <t>TOTAL GP
(VAT EX)</t>
        </is>
      </c>
      <c r="I31" s="42" t="inlineStr">
        <is>
          <t>TOTAL GP
(VAT EX)</t>
        </is>
      </c>
      <c r="J31" s="42" t="inlineStr">
        <is>
          <t>TOTAL GP
(VAT EX)</t>
        </is>
      </c>
      <c r="K31" s="42" t="inlineStr">
        <is>
          <t>TOTAL GP
(VAT EX)</t>
        </is>
      </c>
      <c r="L31" s="42" t="inlineStr">
        <is>
          <t>TOTAL GP
(VAT EX)</t>
        </is>
      </c>
    </row>
    <row r="32" ht="18" customHeight="1" s="96">
      <c r="A32" s="2" t="inlineStr">
        <is>
          <t>Person A</t>
        </is>
      </c>
      <c r="B32" s="3">
        <f>'Madine- Coverage'!A3</f>
        <v/>
      </c>
      <c r="C32" s="2">
        <f>'Madine- Coverage'!A3</f>
        <v/>
      </c>
      <c r="D32" s="3">
        <f>'Madine- Coverage'!C3</f>
        <v/>
      </c>
      <c r="E32" s="3">
        <f>'Madine- Coverage'!D3</f>
        <v/>
      </c>
      <c r="F32" s="3">
        <f>'Madine- Coverage'!E3</f>
        <v/>
      </c>
      <c r="G32" s="4">
        <f>'Madine- Coverage'!F3</f>
        <v/>
      </c>
      <c r="H32" s="5">
        <f>'Madine- Coverage'!G3</f>
        <v/>
      </c>
      <c r="I32" s="5">
        <f>'Madine- Coverage'!H3</f>
        <v/>
      </c>
      <c r="J32" s="6">
        <f>'Madine- Coverage'!I3</f>
        <v/>
      </c>
      <c r="K32" s="3">
        <f>'Madine- Coverage'!J3</f>
        <v/>
      </c>
      <c r="L32" s="13">
        <f>'Madine- Coverage'!K3</f>
        <v/>
      </c>
    </row>
    <row r="33" ht="18" customHeight="1" s="96">
      <c r="A33" s="93" t="inlineStr">
        <is>
          <t>Person A</t>
        </is>
      </c>
      <c r="B33" s="8">
        <f>'Madine- Coverage'!A4</f>
        <v/>
      </c>
      <c r="C33" s="93">
        <f>'Madine- Coverage'!A4</f>
        <v/>
      </c>
      <c r="D33" s="8">
        <f>'Madine- Coverage'!C4</f>
        <v/>
      </c>
      <c r="E33" s="8">
        <f>'Madine- Coverage'!D4</f>
        <v/>
      </c>
      <c r="F33" s="8">
        <f>'Madine- Coverage'!E4</f>
        <v/>
      </c>
      <c r="G33" s="9">
        <f>'Madine- Coverage'!F4</f>
        <v/>
      </c>
      <c r="H33" s="10">
        <f>'Madine- Coverage'!G4</f>
        <v/>
      </c>
      <c r="I33" s="10">
        <f>'Madine- Coverage'!H4</f>
        <v/>
      </c>
      <c r="J33" s="11">
        <f>'Madine- Coverage'!I4</f>
        <v/>
      </c>
      <c r="K33" s="8">
        <f>'Madine- Coverage'!J4</f>
        <v/>
      </c>
      <c r="L33" s="12">
        <f>'Madine- Coverage'!K4</f>
        <v/>
      </c>
    </row>
    <row r="34" ht="18" customHeight="1" s="96">
      <c r="A34" s="2" t="inlineStr">
        <is>
          <t>Person A</t>
        </is>
      </c>
      <c r="B34" s="3">
        <f>'Madine- Coverage'!A5</f>
        <v/>
      </c>
      <c r="C34" s="2">
        <f>'Madine- Coverage'!A5</f>
        <v/>
      </c>
      <c r="D34" s="3">
        <f>'Madine- Coverage'!C5</f>
        <v/>
      </c>
      <c r="E34" s="3">
        <f>'Madine- Coverage'!D5</f>
        <v/>
      </c>
      <c r="F34" s="3">
        <f>'Madine- Coverage'!E5</f>
        <v/>
      </c>
      <c r="G34" s="4">
        <f>'Madine- Coverage'!F5</f>
        <v/>
      </c>
      <c r="H34" s="5">
        <f>'Madine- Coverage'!G5</f>
        <v/>
      </c>
      <c r="I34" s="5">
        <f>'Madine- Coverage'!H5</f>
        <v/>
      </c>
      <c r="J34" s="6">
        <f>'Madine- Coverage'!I5</f>
        <v/>
      </c>
      <c r="K34" s="3">
        <f>'Madine- Coverage'!J5</f>
        <v/>
      </c>
      <c r="L34" s="13">
        <f>'Madine- Coverage'!K5</f>
        <v/>
      </c>
    </row>
    <row r="35" ht="18" customHeight="1" s="96">
      <c r="A35" s="93" t="inlineStr">
        <is>
          <t>Person A</t>
        </is>
      </c>
      <c r="B35" s="8">
        <f>'Madine- Coverage'!A6</f>
        <v/>
      </c>
      <c r="C35" s="93">
        <f>'Madine- Coverage'!A6</f>
        <v/>
      </c>
      <c r="D35" s="8">
        <f>'Madine- Coverage'!C6</f>
        <v/>
      </c>
      <c r="E35" s="8">
        <f>'Madine- Coverage'!D6</f>
        <v/>
      </c>
      <c r="F35" s="8">
        <f>'Madine- Coverage'!E6</f>
        <v/>
      </c>
      <c r="G35" s="9">
        <f>'Madine- Coverage'!F6</f>
        <v/>
      </c>
      <c r="H35" s="10">
        <f>'Madine- Coverage'!G6</f>
        <v/>
      </c>
      <c r="I35" s="10">
        <f>'Madine- Coverage'!H6</f>
        <v/>
      </c>
      <c r="J35" s="11">
        <f>'Madine- Coverage'!I6</f>
        <v/>
      </c>
      <c r="K35" s="8">
        <f>'Madine- Coverage'!J6</f>
        <v/>
      </c>
      <c r="L35" s="12">
        <f>'Madine- Coverage'!K6</f>
        <v/>
      </c>
    </row>
    <row r="36" ht="18" customHeight="1" s="96">
      <c r="A36" s="2" t="inlineStr">
        <is>
          <t>Person A</t>
        </is>
      </c>
      <c r="B36" s="3">
        <f>'Madine- Coverage'!A7</f>
        <v/>
      </c>
      <c r="C36" s="2">
        <f>'Madine- Coverage'!A7</f>
        <v/>
      </c>
      <c r="D36" s="3">
        <f>'Madine- Coverage'!C7</f>
        <v/>
      </c>
      <c r="E36" s="3">
        <f>'Madine- Coverage'!D7</f>
        <v/>
      </c>
      <c r="F36" s="3">
        <f>'Madine- Coverage'!E7</f>
        <v/>
      </c>
      <c r="G36" s="4">
        <f>'Madine- Coverage'!F7</f>
        <v/>
      </c>
      <c r="H36" s="5">
        <f>'Madine- Coverage'!G7</f>
        <v/>
      </c>
      <c r="I36" s="5">
        <f>'Madine- Coverage'!H7</f>
        <v/>
      </c>
      <c r="J36" s="6">
        <f>'Madine- Coverage'!I7</f>
        <v/>
      </c>
      <c r="K36" s="3">
        <f>'Madine- Coverage'!J7</f>
        <v/>
      </c>
      <c r="L36" s="13">
        <f>'Madine- Coverage'!K7</f>
        <v/>
      </c>
    </row>
    <row r="37" ht="18" customHeight="1" s="96">
      <c r="A37" s="93" t="inlineStr">
        <is>
          <t>Person A</t>
        </is>
      </c>
      <c r="B37" s="8">
        <f>'Madine- Coverage'!A8</f>
        <v/>
      </c>
      <c r="C37" s="93">
        <f>'Madine- Coverage'!A8</f>
        <v/>
      </c>
      <c r="D37" s="8">
        <f>'Madine- Coverage'!C8</f>
        <v/>
      </c>
      <c r="E37" s="8">
        <f>'Madine- Coverage'!D8</f>
        <v/>
      </c>
      <c r="F37" s="8">
        <f>'Madine- Coverage'!E8</f>
        <v/>
      </c>
      <c r="G37" s="9">
        <f>'Madine- Coverage'!F8</f>
        <v/>
      </c>
      <c r="H37" s="10">
        <f>'Madine- Coverage'!G8</f>
        <v/>
      </c>
      <c r="I37" s="10">
        <f>'Madine- Coverage'!H8</f>
        <v/>
      </c>
      <c r="J37" s="11">
        <f>'Madine- Coverage'!I8</f>
        <v/>
      </c>
      <c r="K37" s="8">
        <f>'Madine- Coverage'!J8</f>
        <v/>
      </c>
      <c r="L37" s="12">
        <f>'Madine- Coverage'!K8</f>
        <v/>
      </c>
    </row>
    <row r="38" ht="18" customHeight="1" s="96">
      <c r="A38" s="2" t="inlineStr">
        <is>
          <t>Person A</t>
        </is>
      </c>
      <c r="B38" s="3">
        <f>'Madine- Coverage'!A9</f>
        <v/>
      </c>
      <c r="C38" s="2">
        <f>'Madine- Coverage'!A9</f>
        <v/>
      </c>
      <c r="D38" s="3">
        <f>'Madine- Coverage'!C9</f>
        <v/>
      </c>
      <c r="E38" s="3">
        <f>'Madine- Coverage'!D9</f>
        <v/>
      </c>
      <c r="F38" s="3">
        <f>'Madine- Coverage'!E9</f>
        <v/>
      </c>
      <c r="G38" s="4">
        <f>'Madine- Coverage'!F9</f>
        <v/>
      </c>
      <c r="H38" s="5">
        <f>'Madine- Coverage'!G9</f>
        <v/>
      </c>
      <c r="I38" s="5">
        <f>'Madine- Coverage'!H9</f>
        <v/>
      </c>
      <c r="J38" s="6">
        <f>'Madine- Coverage'!I9</f>
        <v/>
      </c>
      <c r="K38" s="3">
        <f>'Madine- Coverage'!J9</f>
        <v/>
      </c>
      <c r="L38" s="13">
        <f>'Madine- Coverage'!K9</f>
        <v/>
      </c>
    </row>
    <row r="39" ht="18" customHeight="1" s="96">
      <c r="A39" s="93" t="inlineStr">
        <is>
          <t>Person A</t>
        </is>
      </c>
      <c r="B39" s="8">
        <f>'Madine- Coverage'!A10</f>
        <v/>
      </c>
      <c r="C39" s="93">
        <f>'Madine- Coverage'!A10</f>
        <v/>
      </c>
      <c r="D39" s="8">
        <f>'Madine- Coverage'!C10</f>
        <v/>
      </c>
      <c r="E39" s="8">
        <f>'Madine- Coverage'!D10</f>
        <v/>
      </c>
      <c r="F39" s="8">
        <f>'Madine- Coverage'!E10</f>
        <v/>
      </c>
      <c r="G39" s="9">
        <f>'Madine- Coverage'!F10</f>
        <v/>
      </c>
      <c r="H39" s="10">
        <f>'Madine- Coverage'!G10</f>
        <v/>
      </c>
      <c r="I39" s="10">
        <f>'Madine- Coverage'!H10</f>
        <v/>
      </c>
      <c r="J39" s="11">
        <f>'Madine- Coverage'!I10</f>
        <v/>
      </c>
      <c r="K39" s="8">
        <f>'Madine- Coverage'!J10</f>
        <v/>
      </c>
      <c r="L39" s="12">
        <f>'Madine- Coverage'!K10</f>
        <v/>
      </c>
    </row>
    <row r="40" ht="18" customHeight="1" s="96">
      <c r="A40" s="2" t="inlineStr">
        <is>
          <t>Person A</t>
        </is>
      </c>
      <c r="B40" s="3">
        <f>'Madine- Coverage'!A11</f>
        <v/>
      </c>
      <c r="C40" s="2">
        <f>'Madine- Coverage'!A11</f>
        <v/>
      </c>
      <c r="D40" s="3">
        <f>'Madine- Coverage'!C11</f>
        <v/>
      </c>
      <c r="E40" s="3">
        <f>'Madine- Coverage'!D11</f>
        <v/>
      </c>
      <c r="F40" s="3">
        <f>'Madine- Coverage'!E11</f>
        <v/>
      </c>
      <c r="G40" s="4">
        <f>'Madine- Coverage'!F11</f>
        <v/>
      </c>
      <c r="H40" s="5">
        <f>'Madine- Coverage'!G11</f>
        <v/>
      </c>
      <c r="I40" s="5">
        <f>'Madine- Coverage'!H11</f>
        <v/>
      </c>
      <c r="J40" s="6">
        <f>'Madine- Coverage'!I11</f>
        <v/>
      </c>
      <c r="K40" s="3">
        <f>'Madine- Coverage'!J11</f>
        <v/>
      </c>
      <c r="L40" s="13">
        <f>'Madine- Coverage'!K11</f>
        <v/>
      </c>
    </row>
    <row r="41" ht="18" customHeight="1" s="96">
      <c r="A41" s="93" t="inlineStr">
        <is>
          <t>Person A</t>
        </is>
      </c>
      <c r="B41" s="8">
        <f>'Madine- Coverage'!A12</f>
        <v/>
      </c>
      <c r="C41" s="93">
        <f>'Madine- Coverage'!A12</f>
        <v/>
      </c>
      <c r="D41" s="8">
        <f>'Madine- Coverage'!C12</f>
        <v/>
      </c>
      <c r="E41" s="8">
        <f>'Madine- Coverage'!D12</f>
        <v/>
      </c>
      <c r="F41" s="8">
        <f>'Madine- Coverage'!E12</f>
        <v/>
      </c>
      <c r="G41" s="9">
        <f>'Madine- Coverage'!F12</f>
        <v/>
      </c>
      <c r="H41" s="10">
        <f>'Madine- Coverage'!G12</f>
        <v/>
      </c>
      <c r="I41" s="10">
        <f>'Madine- Coverage'!H12</f>
        <v/>
      </c>
      <c r="J41" s="11">
        <f>'Madine- Coverage'!I12</f>
        <v/>
      </c>
      <c r="K41" s="8">
        <f>'Madine- Coverage'!J12</f>
        <v/>
      </c>
      <c r="L41" s="12">
        <f>'Madine- Coverage'!K12</f>
        <v/>
      </c>
    </row>
    <row r="42" ht="18" customHeight="1" s="96">
      <c r="A42" s="2" t="inlineStr">
        <is>
          <t>Person A</t>
        </is>
      </c>
      <c r="B42" s="3">
        <f>'Madine- Coverage'!A13</f>
        <v/>
      </c>
      <c r="C42" s="2">
        <f>'Madine- Coverage'!A13</f>
        <v/>
      </c>
      <c r="D42" s="3">
        <f>'Madine- Coverage'!C13</f>
        <v/>
      </c>
      <c r="E42" s="3">
        <f>'Madine- Coverage'!D13</f>
        <v/>
      </c>
      <c r="F42" s="3">
        <f>'Madine- Coverage'!E13</f>
        <v/>
      </c>
      <c r="G42" s="4">
        <f>'Madine- Coverage'!F13</f>
        <v/>
      </c>
      <c r="H42" s="5">
        <f>'Madine- Coverage'!G13</f>
        <v/>
      </c>
      <c r="I42" s="5">
        <f>'Madine- Coverage'!H13</f>
        <v/>
      </c>
      <c r="J42" s="6">
        <f>'Madine- Coverage'!I13</f>
        <v/>
      </c>
      <c r="K42" s="3">
        <f>'Madine- Coverage'!J13</f>
        <v/>
      </c>
      <c r="L42" s="13">
        <f>'Madine- Coverage'!K13</f>
        <v/>
      </c>
    </row>
    <row r="43" ht="18" customHeight="1" s="96">
      <c r="A43" s="93" t="inlineStr">
        <is>
          <t>Person A</t>
        </is>
      </c>
      <c r="B43" s="8">
        <f>'Madine- Coverage'!A14</f>
        <v/>
      </c>
      <c r="C43" s="93">
        <f>'Madine- Coverage'!A14</f>
        <v/>
      </c>
      <c r="D43" s="8">
        <f>'Madine- Coverage'!C14</f>
        <v/>
      </c>
      <c r="E43" s="8">
        <f>'Madine- Coverage'!D14</f>
        <v/>
      </c>
      <c r="F43" s="8">
        <f>'Madine- Coverage'!E14</f>
        <v/>
      </c>
      <c r="G43" s="9">
        <f>'Madine- Coverage'!F14</f>
        <v/>
      </c>
      <c r="H43" s="10">
        <f>'Madine- Coverage'!G14</f>
        <v/>
      </c>
      <c r="I43" s="10">
        <f>'Madine- Coverage'!H14</f>
        <v/>
      </c>
      <c r="J43" s="11">
        <f>'Madine- Coverage'!I14</f>
        <v/>
      </c>
      <c r="K43" s="8">
        <f>'Madine- Coverage'!J14</f>
        <v/>
      </c>
      <c r="L43" s="12">
        <f>'Madine- Coverage'!K14</f>
        <v/>
      </c>
    </row>
    <row r="44" ht="18" customHeight="1" s="96">
      <c r="A44" s="2" t="inlineStr">
        <is>
          <t>Person A</t>
        </is>
      </c>
      <c r="B44" s="3">
        <f>'Madine- Coverage'!A15</f>
        <v/>
      </c>
      <c r="C44" s="2">
        <f>'Madine- Coverage'!A15</f>
        <v/>
      </c>
      <c r="D44" s="3">
        <f>'Madine- Coverage'!C15</f>
        <v/>
      </c>
      <c r="E44" s="3">
        <f>'Madine- Coverage'!D15</f>
        <v/>
      </c>
      <c r="F44" s="3">
        <f>'Madine- Coverage'!E15</f>
        <v/>
      </c>
      <c r="G44" s="4">
        <f>'Madine- Coverage'!F15</f>
        <v/>
      </c>
      <c r="H44" s="5">
        <f>'Madine- Coverage'!G15</f>
        <v/>
      </c>
      <c r="I44" s="5">
        <f>'Madine- Coverage'!H15</f>
        <v/>
      </c>
      <c r="J44" s="6">
        <f>'Madine- Coverage'!I15</f>
        <v/>
      </c>
      <c r="K44" s="3">
        <f>'Madine- Coverage'!J15</f>
        <v/>
      </c>
      <c r="L44" s="13">
        <f>'Madine- Coverage'!K15</f>
        <v/>
      </c>
    </row>
    <row r="45" ht="18" customHeight="1" s="96">
      <c r="A45" s="93" t="inlineStr">
        <is>
          <t>Person A</t>
        </is>
      </c>
      <c r="B45" s="8">
        <f>'Madine- Coverage'!A16</f>
        <v/>
      </c>
      <c r="C45" s="93">
        <f>'Madine- Coverage'!A16</f>
        <v/>
      </c>
      <c r="D45" s="8">
        <f>'Madine- Coverage'!C16</f>
        <v/>
      </c>
      <c r="E45" s="8">
        <f>'Madine- Coverage'!D16</f>
        <v/>
      </c>
      <c r="F45" s="8">
        <f>'Madine- Coverage'!E16</f>
        <v/>
      </c>
      <c r="G45" s="9">
        <f>'Madine- Coverage'!F16</f>
        <v/>
      </c>
      <c r="H45" s="10">
        <f>'Madine- Coverage'!G16</f>
        <v/>
      </c>
      <c r="I45" s="10">
        <f>'Madine- Coverage'!H16</f>
        <v/>
      </c>
      <c r="J45" s="11">
        <f>'Madine- Coverage'!I16</f>
        <v/>
      </c>
      <c r="K45" s="8">
        <f>'Madine- Coverage'!J16</f>
        <v/>
      </c>
      <c r="L45" s="12">
        <f>'Madine- Coverage'!K16</f>
        <v/>
      </c>
    </row>
    <row r="46" ht="18" customHeight="1" s="96">
      <c r="A46" s="2" t="inlineStr">
        <is>
          <t>Person A</t>
        </is>
      </c>
      <c r="B46" s="3">
        <f>'Madine- Coverage'!A17</f>
        <v/>
      </c>
      <c r="C46" s="2">
        <f>'Madine- Coverage'!A17</f>
        <v/>
      </c>
      <c r="D46" s="3">
        <f>'Madine- Coverage'!C17</f>
        <v/>
      </c>
      <c r="E46" s="3">
        <f>'Madine- Coverage'!D17</f>
        <v/>
      </c>
      <c r="F46" s="3">
        <f>'Madine- Coverage'!E17</f>
        <v/>
      </c>
      <c r="G46" s="4">
        <f>'Madine- Coverage'!F17</f>
        <v/>
      </c>
      <c r="H46" s="5">
        <f>'Madine- Coverage'!G17</f>
        <v/>
      </c>
      <c r="I46" s="5">
        <f>'Madine- Coverage'!H17</f>
        <v/>
      </c>
      <c r="J46" s="6">
        <f>'Madine- Coverage'!I17</f>
        <v/>
      </c>
      <c r="K46" s="3">
        <f>'Madine- Coverage'!J17</f>
        <v/>
      </c>
      <c r="L46" s="13">
        <f>'Madine- Coverage'!K17</f>
        <v/>
      </c>
    </row>
    <row r="47" ht="18" customHeight="1" s="96">
      <c r="A47" s="93" t="inlineStr">
        <is>
          <t>Person A</t>
        </is>
      </c>
      <c r="B47" s="8">
        <f>'Madine- Coverage'!A18</f>
        <v/>
      </c>
      <c r="C47" s="93">
        <f>'Madine- Coverage'!A18</f>
        <v/>
      </c>
      <c r="D47" s="8">
        <f>'Madine- Coverage'!C18</f>
        <v/>
      </c>
      <c r="E47" s="8">
        <f>'Madine- Coverage'!D18</f>
        <v/>
      </c>
      <c r="F47" s="8">
        <f>'Madine- Coverage'!E18</f>
        <v/>
      </c>
      <c r="G47" s="9">
        <f>'Madine- Coverage'!F18</f>
        <v/>
      </c>
      <c r="H47" s="10">
        <f>'Madine- Coverage'!G18</f>
        <v/>
      </c>
      <c r="I47" s="10">
        <f>'Madine- Coverage'!H18</f>
        <v/>
      </c>
      <c r="J47" s="11">
        <f>'Madine- Coverage'!I18</f>
        <v/>
      </c>
      <c r="K47" s="8">
        <f>'Madine- Coverage'!J18</f>
        <v/>
      </c>
      <c r="L47" s="12">
        <f>'Madine- Coverage'!K18</f>
        <v/>
      </c>
    </row>
    <row r="48" ht="18" customHeight="1" s="96">
      <c r="A48" s="2" t="inlineStr">
        <is>
          <t>Person A</t>
        </is>
      </c>
      <c r="B48" s="3">
        <f>'Madine- Coverage'!A19</f>
        <v/>
      </c>
      <c r="C48" s="2">
        <f>'Madine- Coverage'!A19</f>
        <v/>
      </c>
      <c r="D48" s="3">
        <f>'Madine- Coverage'!C19</f>
        <v/>
      </c>
      <c r="E48" s="3">
        <f>'Madine- Coverage'!D19</f>
        <v/>
      </c>
      <c r="F48" s="3">
        <f>'Madine- Coverage'!E19</f>
        <v/>
      </c>
      <c r="G48" s="4">
        <f>'Madine- Coverage'!F19</f>
        <v/>
      </c>
      <c r="H48" s="5">
        <f>'Madine- Coverage'!G19</f>
        <v/>
      </c>
      <c r="I48" s="5">
        <f>'Madine- Coverage'!H19</f>
        <v/>
      </c>
      <c r="J48" s="6">
        <f>'Madine- Coverage'!I19</f>
        <v/>
      </c>
      <c r="K48" s="3">
        <f>'Madine- Coverage'!J19</f>
        <v/>
      </c>
      <c r="L48" s="13">
        <f>'Madine- Coverage'!K19</f>
        <v/>
      </c>
    </row>
    <row r="49" ht="18" customHeight="1" s="96">
      <c r="A49" s="93" t="inlineStr">
        <is>
          <t>Person A</t>
        </is>
      </c>
      <c r="B49" s="8">
        <f>'Madine- Coverage'!A20</f>
        <v/>
      </c>
      <c r="C49" s="93">
        <f>'Madine- Coverage'!A20</f>
        <v/>
      </c>
      <c r="D49" s="8">
        <f>'Madine- Coverage'!C20</f>
        <v/>
      </c>
      <c r="E49" s="8">
        <f>'Madine- Coverage'!D20</f>
        <v/>
      </c>
      <c r="F49" s="8">
        <f>'Madine- Coverage'!E20</f>
        <v/>
      </c>
      <c r="G49" s="9">
        <f>'Madine- Coverage'!F20</f>
        <v/>
      </c>
      <c r="H49" s="10">
        <f>'Madine- Coverage'!G20</f>
        <v/>
      </c>
      <c r="I49" s="10">
        <f>'Madine- Coverage'!H20</f>
        <v/>
      </c>
      <c r="J49" s="11">
        <f>'Madine- Coverage'!I20</f>
        <v/>
      </c>
      <c r="K49" s="8">
        <f>'Madine- Coverage'!J20</f>
        <v/>
      </c>
      <c r="L49" s="12">
        <f>'Madine- Coverage'!K20</f>
        <v/>
      </c>
    </row>
    <row r="50" ht="18" customHeight="1" s="96">
      <c r="A50" s="2" t="inlineStr">
        <is>
          <t>Person A</t>
        </is>
      </c>
      <c r="B50" s="3">
        <f>'Madine- Coverage'!A21</f>
        <v/>
      </c>
      <c r="C50" s="2">
        <f>'Madine- Coverage'!A21</f>
        <v/>
      </c>
      <c r="D50" s="3">
        <f>'Madine- Coverage'!C21</f>
        <v/>
      </c>
      <c r="E50" s="3">
        <f>'Madine- Coverage'!D21</f>
        <v/>
      </c>
      <c r="F50" s="3">
        <f>'Madine- Coverage'!E21</f>
        <v/>
      </c>
      <c r="G50" s="4">
        <f>'Madine- Coverage'!F21</f>
        <v/>
      </c>
      <c r="H50" s="5">
        <f>'Madine- Coverage'!G21</f>
        <v/>
      </c>
      <c r="I50" s="5">
        <f>'Madine- Coverage'!H21</f>
        <v/>
      </c>
      <c r="J50" s="6">
        <f>'Madine- Coverage'!I21</f>
        <v/>
      </c>
      <c r="K50" s="3">
        <f>'Madine- Coverage'!J21</f>
        <v/>
      </c>
      <c r="L50" s="13">
        <f>'Madine- Coverage'!K21</f>
        <v/>
      </c>
    </row>
    <row r="51" ht="18" customHeight="1" s="96">
      <c r="A51" s="93" t="inlineStr">
        <is>
          <t>Person A</t>
        </is>
      </c>
      <c r="B51" s="8">
        <f>'Madine- Coverage'!A22</f>
        <v/>
      </c>
      <c r="C51" s="93">
        <f>'Madine- Coverage'!A22</f>
        <v/>
      </c>
      <c r="D51" s="8">
        <f>'Madine- Coverage'!C22</f>
        <v/>
      </c>
      <c r="E51" s="8">
        <f>'Madine- Coverage'!D22</f>
        <v/>
      </c>
      <c r="F51" s="8">
        <f>'Madine- Coverage'!E22</f>
        <v/>
      </c>
      <c r="G51" s="9">
        <f>'Madine- Coverage'!F22</f>
        <v/>
      </c>
      <c r="H51" s="10">
        <f>'Madine- Coverage'!G22</f>
        <v/>
      </c>
      <c r="I51" s="10">
        <f>'Madine- Coverage'!H22</f>
        <v/>
      </c>
      <c r="J51" s="11">
        <f>'Madine- Coverage'!I22</f>
        <v/>
      </c>
      <c r="K51" s="8">
        <f>'Madine- Coverage'!J22</f>
        <v/>
      </c>
      <c r="L51" s="12">
        <f>'Madine- Coverage'!K22</f>
        <v/>
      </c>
    </row>
    <row r="52" ht="18" customHeight="1" s="96">
      <c r="A52" s="2" t="inlineStr">
        <is>
          <t>Person A</t>
        </is>
      </c>
      <c r="B52" s="3">
        <f>'Madine- Coverage'!A23</f>
        <v/>
      </c>
      <c r="C52" s="2">
        <f>'Madine- Coverage'!A23</f>
        <v/>
      </c>
      <c r="D52" s="3">
        <f>'Madine- Coverage'!C23</f>
        <v/>
      </c>
      <c r="E52" s="3">
        <f>'Madine- Coverage'!D23</f>
        <v/>
      </c>
      <c r="F52" s="3">
        <f>'Madine- Coverage'!E23</f>
        <v/>
      </c>
      <c r="G52" s="4">
        <f>'Madine- Coverage'!F23</f>
        <v/>
      </c>
      <c r="H52" s="5">
        <f>'Madine- Coverage'!G23</f>
        <v/>
      </c>
      <c r="I52" s="5">
        <f>'Madine- Coverage'!H23</f>
        <v/>
      </c>
      <c r="J52" s="6">
        <f>'Madine- Coverage'!I23</f>
        <v/>
      </c>
      <c r="K52" s="3">
        <f>'Madine- Coverage'!J23</f>
        <v/>
      </c>
      <c r="L52" s="13">
        <f>'Madine- Coverage'!K23</f>
        <v/>
      </c>
    </row>
    <row r="53" ht="18" customHeight="1" s="96">
      <c r="A53" s="93" t="inlineStr">
        <is>
          <t>Person A</t>
        </is>
      </c>
      <c r="B53" s="8">
        <f>'Madine- Coverage'!A24</f>
        <v/>
      </c>
      <c r="C53" s="93">
        <f>'Madine- Coverage'!A24</f>
        <v/>
      </c>
      <c r="D53" s="8">
        <f>'Madine- Coverage'!C24</f>
        <v/>
      </c>
      <c r="E53" s="8">
        <f>'Madine- Coverage'!D24</f>
        <v/>
      </c>
      <c r="F53" s="8">
        <f>'Madine- Coverage'!E24</f>
        <v/>
      </c>
      <c r="G53" s="9">
        <f>'Madine- Coverage'!F24</f>
        <v/>
      </c>
      <c r="H53" s="10">
        <f>'Madine- Coverage'!G24</f>
        <v/>
      </c>
      <c r="I53" s="10">
        <f>'Madine- Coverage'!H24</f>
        <v/>
      </c>
      <c r="J53" s="11">
        <f>'Madine- Coverage'!I24</f>
        <v/>
      </c>
      <c r="K53" s="8">
        <f>'Madine- Coverage'!J24</f>
        <v/>
      </c>
      <c r="L53" s="12">
        <f>'Madine- Coverage'!K24</f>
        <v/>
      </c>
    </row>
    <row r="54" ht="18" customHeight="1" s="96">
      <c r="A54" s="2" t="inlineStr">
        <is>
          <t>Person A</t>
        </is>
      </c>
      <c r="B54" s="3">
        <f>'Madine- Coverage'!A25</f>
        <v/>
      </c>
      <c r="C54" s="2">
        <f>'Madine- Coverage'!A25</f>
        <v/>
      </c>
      <c r="D54" s="3">
        <f>'Madine- Coverage'!C25</f>
        <v/>
      </c>
      <c r="E54" s="3">
        <f>'Madine- Coverage'!D25</f>
        <v/>
      </c>
      <c r="F54" s="3">
        <f>'Madine- Coverage'!E25</f>
        <v/>
      </c>
      <c r="G54" s="4">
        <f>'Madine- Coverage'!F25</f>
        <v/>
      </c>
      <c r="H54" s="5">
        <f>'Madine- Coverage'!G25</f>
        <v/>
      </c>
      <c r="I54" s="5">
        <f>'Madine- Coverage'!H25</f>
        <v/>
      </c>
      <c r="J54" s="6">
        <f>'Madine- Coverage'!I25</f>
        <v/>
      </c>
      <c r="K54" s="3">
        <f>'Madine- Coverage'!J25</f>
        <v/>
      </c>
      <c r="L54" s="13">
        <f>'Madine- Coverage'!K25</f>
        <v/>
      </c>
    </row>
    <row r="55" ht="18" customHeight="1" s="96">
      <c r="A55" s="93" t="inlineStr">
        <is>
          <t>Person A</t>
        </is>
      </c>
      <c r="B55" s="8">
        <f>'Madine- Coverage'!A26</f>
        <v/>
      </c>
      <c r="C55" s="93">
        <f>'Madine- Coverage'!A26</f>
        <v/>
      </c>
      <c r="D55" s="8">
        <f>'Madine- Coverage'!C26</f>
        <v/>
      </c>
      <c r="E55" s="8">
        <f>'Madine- Coverage'!D26</f>
        <v/>
      </c>
      <c r="F55" s="8">
        <f>'Madine- Coverage'!E26</f>
        <v/>
      </c>
      <c r="G55" s="9">
        <f>'Madine- Coverage'!F26</f>
        <v/>
      </c>
      <c r="H55" s="10">
        <f>'Madine- Coverage'!G26</f>
        <v/>
      </c>
      <c r="I55" s="10">
        <f>'Madine- Coverage'!H26</f>
        <v/>
      </c>
      <c r="J55" s="11">
        <f>'Madine- Coverage'!I26</f>
        <v/>
      </c>
      <c r="K55" s="8">
        <f>'Madine- Coverage'!J26</f>
        <v/>
      </c>
      <c r="L55" s="12">
        <f>'Madine- Coverage'!K26</f>
        <v/>
      </c>
    </row>
    <row r="56" ht="18" customHeight="1" s="96">
      <c r="A56" s="2" t="inlineStr">
        <is>
          <t>Person A</t>
        </is>
      </c>
      <c r="B56" s="3">
        <f>'Madine- Coverage'!A27</f>
        <v/>
      </c>
      <c r="C56" s="2">
        <f>'Madine- Coverage'!A27</f>
        <v/>
      </c>
      <c r="D56" s="3">
        <f>'Madine- Coverage'!C27</f>
        <v/>
      </c>
      <c r="E56" s="3">
        <f>'Madine- Coverage'!D27</f>
        <v/>
      </c>
      <c r="F56" s="3">
        <f>'Madine- Coverage'!E27</f>
        <v/>
      </c>
      <c r="G56" s="4">
        <f>'Madine- Coverage'!F27</f>
        <v/>
      </c>
      <c r="H56" s="5">
        <f>'Madine- Coverage'!G27</f>
        <v/>
      </c>
      <c r="I56" s="5">
        <f>'Madine- Coverage'!H27</f>
        <v/>
      </c>
      <c r="J56" s="6">
        <f>'Madine- Coverage'!I27</f>
        <v/>
      </c>
      <c r="K56" s="3">
        <f>'Madine- Coverage'!J27</f>
        <v/>
      </c>
      <c r="L56" s="13">
        <f>'Madine- Coverage'!K27</f>
        <v/>
      </c>
    </row>
    <row r="57" ht="18" customHeight="1" s="96">
      <c r="A57" s="93" t="inlineStr">
        <is>
          <t>Person A</t>
        </is>
      </c>
      <c r="B57" s="8">
        <f>'Madine- Coverage'!A28</f>
        <v/>
      </c>
      <c r="C57" s="93">
        <f>'Madine- Coverage'!A28</f>
        <v/>
      </c>
      <c r="D57" s="8">
        <f>'Madine- Coverage'!C28</f>
        <v/>
      </c>
      <c r="E57" s="8">
        <f>'Madine- Coverage'!D28</f>
        <v/>
      </c>
      <c r="F57" s="8">
        <f>'Madine- Coverage'!E28</f>
        <v/>
      </c>
      <c r="G57" s="9">
        <f>'Madine- Coverage'!F28</f>
        <v/>
      </c>
      <c r="H57" s="10">
        <f>'Madine- Coverage'!G28</f>
        <v/>
      </c>
      <c r="I57" s="10">
        <f>'Madine- Coverage'!H28</f>
        <v/>
      </c>
      <c r="J57" s="11">
        <f>'Madine- Coverage'!I28</f>
        <v/>
      </c>
      <c r="K57" s="8">
        <f>'Madine- Coverage'!J28</f>
        <v/>
      </c>
      <c r="L57" s="12">
        <f>'Madine- Coverage'!K28</f>
        <v/>
      </c>
    </row>
    <row r="58" ht="18" customHeight="1" s="96">
      <c r="A58" s="2" t="inlineStr">
        <is>
          <t>Person A</t>
        </is>
      </c>
      <c r="B58" s="3">
        <f>'Madine- Coverage'!A29</f>
        <v/>
      </c>
      <c r="C58" s="2">
        <f>'Madine- Coverage'!A29</f>
        <v/>
      </c>
      <c r="D58" s="3">
        <f>'Madine- Coverage'!C29</f>
        <v/>
      </c>
      <c r="E58" s="3">
        <f>'Madine- Coverage'!D29</f>
        <v/>
      </c>
      <c r="F58" s="3">
        <f>'Madine- Coverage'!E29</f>
        <v/>
      </c>
      <c r="G58" s="4">
        <f>'Madine- Coverage'!F29</f>
        <v/>
      </c>
      <c r="H58" s="5">
        <f>'Madine- Coverage'!G29</f>
        <v/>
      </c>
      <c r="I58" s="5">
        <f>'Madine- Coverage'!H29</f>
        <v/>
      </c>
      <c r="J58" s="6">
        <f>'Madine- Coverage'!I29</f>
        <v/>
      </c>
      <c r="K58" s="3">
        <f>'Madine- Coverage'!J29</f>
        <v/>
      </c>
      <c r="L58" s="13">
        <f>'Madine- Coverage'!K29</f>
        <v/>
      </c>
    </row>
    <row r="59" ht="18" customHeight="1" s="96">
      <c r="A59" s="93" t="inlineStr">
        <is>
          <t>Person A</t>
        </is>
      </c>
      <c r="B59" s="8">
        <f>'Madine- Coverage'!A30</f>
        <v/>
      </c>
      <c r="C59" s="93">
        <f>'Madine- Coverage'!A30</f>
        <v/>
      </c>
      <c r="D59" s="8">
        <f>'Madine- Coverage'!C30</f>
        <v/>
      </c>
      <c r="E59" s="8">
        <f>'Madine- Coverage'!D30</f>
        <v/>
      </c>
      <c r="F59" s="8">
        <f>'Madine- Coverage'!E30</f>
        <v/>
      </c>
      <c r="G59" s="9">
        <f>'Madine- Coverage'!F30</f>
        <v/>
      </c>
      <c r="H59" s="10">
        <f>'Madine- Coverage'!G30</f>
        <v/>
      </c>
      <c r="I59" s="10">
        <f>'Madine- Coverage'!H30</f>
        <v/>
      </c>
      <c r="J59" s="11">
        <f>'Madine- Coverage'!I30</f>
        <v/>
      </c>
      <c r="K59" s="8">
        <f>'Madine- Coverage'!J30</f>
        <v/>
      </c>
      <c r="L59" s="12">
        <f>'Madine- Coverage'!K30</f>
        <v/>
      </c>
    </row>
    <row r="60" ht="18" customHeight="1" s="96">
      <c r="A60" s="2" t="inlineStr">
        <is>
          <t>Person A</t>
        </is>
      </c>
      <c r="B60" s="3">
        <f>'Madine- Coverage'!A31</f>
        <v/>
      </c>
      <c r="C60" s="2">
        <f>'Madine- Coverage'!A31</f>
        <v/>
      </c>
      <c r="D60" s="3">
        <f>'Madine- Coverage'!C31</f>
        <v/>
      </c>
      <c r="E60" s="3">
        <f>'Madine- Coverage'!D31</f>
        <v/>
      </c>
      <c r="F60" s="3">
        <f>'Madine- Coverage'!E31</f>
        <v/>
      </c>
      <c r="G60" s="4">
        <f>'Madine- Coverage'!F31</f>
        <v/>
      </c>
      <c r="H60" s="5">
        <f>'Madine- Coverage'!G31</f>
        <v/>
      </c>
      <c r="I60" s="5">
        <f>'Madine- Coverage'!H31</f>
        <v/>
      </c>
      <c r="J60" s="6">
        <f>'Madine- Coverage'!I31</f>
        <v/>
      </c>
      <c r="K60" s="3">
        <f>'Madine- Coverage'!J31</f>
        <v/>
      </c>
      <c r="L60" s="13">
        <f>'Madine- Coverage'!K31</f>
        <v/>
      </c>
    </row>
    <row r="61" ht="18" customHeight="1" s="96">
      <c r="A61" s="93" t="inlineStr">
        <is>
          <t>Person A</t>
        </is>
      </c>
      <c r="B61" s="8">
        <f>'Madine- Coverage'!A32</f>
        <v/>
      </c>
      <c r="C61" s="93">
        <f>'Madine- Coverage'!A32</f>
        <v/>
      </c>
      <c r="D61" s="8">
        <f>'Madine- Coverage'!C32</f>
        <v/>
      </c>
      <c r="E61" s="8">
        <f>'Madine- Coverage'!D32</f>
        <v/>
      </c>
      <c r="F61" s="8">
        <f>'Madine- Coverage'!E32</f>
        <v/>
      </c>
      <c r="G61" s="9">
        <f>'Madine- Coverage'!F32</f>
        <v/>
      </c>
      <c r="H61" s="10">
        <f>'Madine- Coverage'!G32</f>
        <v/>
      </c>
      <c r="I61" s="10">
        <f>'Madine- Coverage'!H32</f>
        <v/>
      </c>
      <c r="J61" s="11">
        <f>'Madine- Coverage'!I32</f>
        <v/>
      </c>
      <c r="K61" s="8">
        <f>'Madine- Coverage'!J32</f>
        <v/>
      </c>
      <c r="L61" s="12">
        <f>'Madine- Coverage'!K32</f>
        <v/>
      </c>
    </row>
    <row r="62" ht="18" customHeight="1" s="96">
      <c r="A62" s="2" t="inlineStr">
        <is>
          <t>Person A</t>
        </is>
      </c>
      <c r="B62" s="3">
        <f>'Madine- Coverage'!A33</f>
        <v/>
      </c>
      <c r="C62" s="2">
        <f>'Madine- Coverage'!A33</f>
        <v/>
      </c>
      <c r="D62" s="3">
        <f>'Madine- Coverage'!C33</f>
        <v/>
      </c>
      <c r="E62" s="3">
        <f>'Madine- Coverage'!D33</f>
        <v/>
      </c>
      <c r="F62" s="3">
        <f>'Madine- Coverage'!E33</f>
        <v/>
      </c>
      <c r="G62" s="4">
        <f>'Madine- Coverage'!F33</f>
        <v/>
      </c>
      <c r="H62" s="5">
        <f>'Madine- Coverage'!G33</f>
        <v/>
      </c>
      <c r="I62" s="5">
        <f>'Madine- Coverage'!H33</f>
        <v/>
      </c>
      <c r="J62" s="6">
        <f>'Madine- Coverage'!I33</f>
        <v/>
      </c>
      <c r="K62" s="3">
        <f>'Madine- Coverage'!J33</f>
        <v/>
      </c>
      <c r="L62" s="13">
        <f>'Madine- Coverage'!K33</f>
        <v/>
      </c>
    </row>
    <row r="63" ht="18" customHeight="1" s="96">
      <c r="A63" s="93" t="inlineStr">
        <is>
          <t>Person A</t>
        </is>
      </c>
      <c r="B63" s="8">
        <f>'Madine- Coverage'!A34</f>
        <v/>
      </c>
      <c r="C63" s="93">
        <f>'Madine- Coverage'!A34</f>
        <v/>
      </c>
      <c r="D63" s="8">
        <f>'Madine- Coverage'!C34</f>
        <v/>
      </c>
      <c r="E63" s="8">
        <f>'Madine- Coverage'!D34</f>
        <v/>
      </c>
      <c r="F63" s="8">
        <f>'Madine- Coverage'!E34</f>
        <v/>
      </c>
      <c r="G63" s="9">
        <f>'Madine- Coverage'!F34</f>
        <v/>
      </c>
      <c r="H63" s="10">
        <f>'Madine- Coverage'!G34</f>
        <v/>
      </c>
      <c r="I63" s="10">
        <f>'Madine- Coverage'!H34</f>
        <v/>
      </c>
      <c r="J63" s="11">
        <f>'Madine- Coverage'!I34</f>
        <v/>
      </c>
      <c r="K63" s="8">
        <f>'Madine- Coverage'!J34</f>
        <v/>
      </c>
      <c r="L63" s="12">
        <f>'Madine- Coverage'!K34</f>
        <v/>
      </c>
    </row>
    <row r="64" ht="18" customHeight="1" s="96">
      <c r="A64" s="2" t="inlineStr">
        <is>
          <t>Person A</t>
        </is>
      </c>
      <c r="B64" s="3">
        <f>'Madine- Coverage'!A35</f>
        <v/>
      </c>
      <c r="C64" s="2">
        <f>'Madine- Coverage'!A35</f>
        <v/>
      </c>
      <c r="D64" s="3">
        <f>'Madine- Coverage'!C35</f>
        <v/>
      </c>
      <c r="E64" s="3">
        <f>'Madine- Coverage'!D35</f>
        <v/>
      </c>
      <c r="F64" s="3">
        <f>'Madine- Coverage'!E35</f>
        <v/>
      </c>
      <c r="G64" s="4">
        <f>'Madine- Coverage'!F35</f>
        <v/>
      </c>
      <c r="H64" s="5">
        <f>'Madine- Coverage'!G35</f>
        <v/>
      </c>
      <c r="I64" s="5">
        <f>'Madine- Coverage'!H35</f>
        <v/>
      </c>
      <c r="J64" s="6">
        <f>'Madine- Coverage'!I35</f>
        <v/>
      </c>
      <c r="K64" s="3">
        <f>'Madine- Coverage'!J35</f>
        <v/>
      </c>
      <c r="L64" s="13">
        <f>'Madine- Coverage'!K35</f>
        <v/>
      </c>
    </row>
    <row r="65" ht="18" customHeight="1" s="96">
      <c r="A65" s="93" t="inlineStr">
        <is>
          <t>Person A</t>
        </is>
      </c>
      <c r="B65" s="8">
        <f>'Madine- Coverage'!A36</f>
        <v/>
      </c>
      <c r="C65" s="93">
        <f>'Madine- Coverage'!A36</f>
        <v/>
      </c>
      <c r="D65" s="8">
        <f>'Madine- Coverage'!C36</f>
        <v/>
      </c>
      <c r="E65" s="8">
        <f>'Madine- Coverage'!D36</f>
        <v/>
      </c>
      <c r="F65" s="8">
        <f>'Madine- Coverage'!E36</f>
        <v/>
      </c>
      <c r="G65" s="9">
        <f>'Madine- Coverage'!F36</f>
        <v/>
      </c>
      <c r="H65" s="10">
        <f>'Madine- Coverage'!G36</f>
        <v/>
      </c>
      <c r="I65" s="10">
        <f>'Madine- Coverage'!H36</f>
        <v/>
      </c>
      <c r="J65" s="11">
        <f>'Madine- Coverage'!I36</f>
        <v/>
      </c>
      <c r="K65" s="8">
        <f>'Madine- Coverage'!J36</f>
        <v/>
      </c>
      <c r="L65" s="12">
        <f>'Madine- Coverage'!K36</f>
        <v/>
      </c>
    </row>
    <row r="66" ht="18" customHeight="1" s="96">
      <c r="A66" s="2" t="inlineStr">
        <is>
          <t>Person A</t>
        </is>
      </c>
      <c r="B66" s="3">
        <f>'Madine- Coverage'!A37</f>
        <v/>
      </c>
      <c r="C66" s="2">
        <f>'Madine- Coverage'!A37</f>
        <v/>
      </c>
      <c r="D66" s="3">
        <f>'Madine- Coverage'!C37</f>
        <v/>
      </c>
      <c r="E66" s="3">
        <f>'Madine- Coverage'!D37</f>
        <v/>
      </c>
      <c r="F66" s="3">
        <f>'Madine- Coverage'!E37</f>
        <v/>
      </c>
      <c r="G66" s="4">
        <f>'Madine- Coverage'!F37</f>
        <v/>
      </c>
      <c r="H66" s="5">
        <f>'Madine- Coverage'!G37</f>
        <v/>
      </c>
      <c r="I66" s="5">
        <f>'Madine- Coverage'!H37</f>
        <v/>
      </c>
      <c r="J66" s="6">
        <f>'Madine- Coverage'!I37</f>
        <v/>
      </c>
      <c r="K66" s="3">
        <f>'Madine- Coverage'!J37</f>
        <v/>
      </c>
      <c r="L66" s="13">
        <f>'Madine- Coverage'!K37</f>
        <v/>
      </c>
    </row>
    <row r="67" ht="18" customHeight="1" s="96">
      <c r="A67" s="93" t="inlineStr">
        <is>
          <t>Person A</t>
        </is>
      </c>
      <c r="B67" s="8">
        <f>'Madine- Coverage'!A38</f>
        <v/>
      </c>
      <c r="C67" s="93">
        <f>'Madine- Coverage'!A38</f>
        <v/>
      </c>
      <c r="D67" s="8">
        <f>'Madine- Coverage'!C38</f>
        <v/>
      </c>
      <c r="E67" s="8">
        <f>'Madine- Coverage'!D38</f>
        <v/>
      </c>
      <c r="F67" s="8">
        <f>'Madine- Coverage'!E38</f>
        <v/>
      </c>
      <c r="G67" s="9">
        <f>'Madine- Coverage'!F38</f>
        <v/>
      </c>
      <c r="H67" s="10">
        <f>'Madine- Coverage'!G38</f>
        <v/>
      </c>
      <c r="I67" s="10">
        <f>'Madine- Coverage'!H38</f>
        <v/>
      </c>
      <c r="J67" s="11">
        <f>'Madine- Coverage'!I38</f>
        <v/>
      </c>
      <c r="K67" s="8">
        <f>'Madine- Coverage'!J38</f>
        <v/>
      </c>
      <c r="L67" s="12">
        <f>'Madine- Coverage'!K38</f>
        <v/>
      </c>
    </row>
    <row r="68" ht="18" customHeight="1" s="96">
      <c r="A68" s="2" t="inlineStr">
        <is>
          <t>Person A</t>
        </is>
      </c>
      <c r="B68" s="3">
        <f>'Madine- Coverage'!A39</f>
        <v/>
      </c>
      <c r="C68" s="2">
        <f>'Madine- Coverage'!A39</f>
        <v/>
      </c>
      <c r="D68" s="3">
        <f>'Madine- Coverage'!C39</f>
        <v/>
      </c>
      <c r="E68" s="3">
        <f>'Madine- Coverage'!D39</f>
        <v/>
      </c>
      <c r="F68" s="3">
        <f>'Madine- Coverage'!E39</f>
        <v/>
      </c>
      <c r="G68" s="4">
        <f>'Madine- Coverage'!F39</f>
        <v/>
      </c>
      <c r="H68" s="5">
        <f>'Madine- Coverage'!G39</f>
        <v/>
      </c>
      <c r="I68" s="5">
        <f>'Madine- Coverage'!H39</f>
        <v/>
      </c>
      <c r="J68" s="6">
        <f>'Madine- Coverage'!I39</f>
        <v/>
      </c>
      <c r="K68" s="3">
        <f>'Madine- Coverage'!J39</f>
        <v/>
      </c>
      <c r="L68" s="13">
        <f>'Madine- Coverage'!K39</f>
        <v/>
      </c>
    </row>
    <row r="69" ht="18" customHeight="1" s="96">
      <c r="A69" s="93" t="inlineStr">
        <is>
          <t>Person A</t>
        </is>
      </c>
      <c r="B69" s="8">
        <f>'Madine- Coverage'!A40</f>
        <v/>
      </c>
      <c r="C69" s="93">
        <f>'Madine- Coverage'!A40</f>
        <v/>
      </c>
      <c r="D69" s="8">
        <f>'Madine- Coverage'!C40</f>
        <v/>
      </c>
      <c r="E69" s="8">
        <f>'Madine- Coverage'!D40</f>
        <v/>
      </c>
      <c r="F69" s="8">
        <f>'Madine- Coverage'!E40</f>
        <v/>
      </c>
      <c r="G69" s="9">
        <f>'Madine- Coverage'!F40</f>
        <v/>
      </c>
      <c r="H69" s="10">
        <f>'Madine- Coverage'!G40</f>
        <v/>
      </c>
      <c r="I69" s="10">
        <f>'Madine- Coverage'!H40</f>
        <v/>
      </c>
      <c r="J69" s="11">
        <f>'Madine- Coverage'!I40</f>
        <v/>
      </c>
      <c r="K69" s="8">
        <f>'Madine- Coverage'!J40</f>
        <v/>
      </c>
      <c r="L69" s="12">
        <f>'Madine- Coverage'!K40</f>
        <v/>
      </c>
    </row>
    <row r="70" ht="18" customHeight="1" s="96">
      <c r="A70" s="2" t="inlineStr">
        <is>
          <t>Person A</t>
        </is>
      </c>
      <c r="B70" s="3">
        <f>'Madine- Coverage'!A41</f>
        <v/>
      </c>
      <c r="C70" s="2">
        <f>'Madine- Coverage'!A41</f>
        <v/>
      </c>
      <c r="D70" s="3">
        <f>'Madine- Coverage'!C41</f>
        <v/>
      </c>
      <c r="E70" s="3">
        <f>'Madine- Coverage'!D41</f>
        <v/>
      </c>
      <c r="F70" s="3">
        <f>'Madine- Coverage'!E41</f>
        <v/>
      </c>
      <c r="G70" s="4">
        <f>'Madine- Coverage'!F41</f>
        <v/>
      </c>
      <c r="H70" s="5">
        <f>'Madine- Coverage'!G41</f>
        <v/>
      </c>
      <c r="I70" s="5">
        <f>'Madine- Coverage'!H41</f>
        <v/>
      </c>
      <c r="J70" s="6">
        <f>'Madine- Coverage'!I41</f>
        <v/>
      </c>
      <c r="K70" s="3">
        <f>'Madine- Coverage'!J41</f>
        <v/>
      </c>
      <c r="L70" s="13">
        <f>'Madine- Coverage'!K41</f>
        <v/>
      </c>
    </row>
    <row r="71" ht="18" customHeight="1" s="96">
      <c r="A71" s="93" t="inlineStr">
        <is>
          <t>Person A</t>
        </is>
      </c>
      <c r="B71" s="8">
        <f>'Madine- Coverage'!A42</f>
        <v/>
      </c>
      <c r="C71" s="93">
        <f>'Madine- Coverage'!A42</f>
        <v/>
      </c>
      <c r="D71" s="8">
        <f>'Madine- Coverage'!C42</f>
        <v/>
      </c>
      <c r="E71" s="8">
        <f>'Madine- Coverage'!D42</f>
        <v/>
      </c>
      <c r="F71" s="8">
        <f>'Madine- Coverage'!E42</f>
        <v/>
      </c>
      <c r="G71" s="9">
        <f>'Madine- Coverage'!F42</f>
        <v/>
      </c>
      <c r="H71" s="10">
        <f>'Madine- Coverage'!G42</f>
        <v/>
      </c>
      <c r="I71" s="10">
        <f>'Madine- Coverage'!H42</f>
        <v/>
      </c>
      <c r="J71" s="11">
        <f>'Madine- Coverage'!I42</f>
        <v/>
      </c>
      <c r="K71" s="8">
        <f>'Madine- Coverage'!J42</f>
        <v/>
      </c>
      <c r="L71" s="12">
        <f>'Madine- Coverage'!K42</f>
        <v/>
      </c>
    </row>
    <row r="72" ht="18" customHeight="1" s="96">
      <c r="A72" s="2" t="inlineStr">
        <is>
          <t>Person A</t>
        </is>
      </c>
      <c r="B72" s="3">
        <f>'Madine- Coverage'!A43</f>
        <v/>
      </c>
      <c r="C72" s="2">
        <f>'Madine- Coverage'!A43</f>
        <v/>
      </c>
      <c r="D72" s="3">
        <f>'Madine- Coverage'!C43</f>
        <v/>
      </c>
      <c r="E72" s="3">
        <f>'Madine- Coverage'!D43</f>
        <v/>
      </c>
      <c r="F72" s="3">
        <f>'Madine- Coverage'!E43</f>
        <v/>
      </c>
      <c r="G72" s="4">
        <f>'Madine- Coverage'!F43</f>
        <v/>
      </c>
      <c r="H72" s="5">
        <f>'Madine- Coverage'!G43</f>
        <v/>
      </c>
      <c r="I72" s="5">
        <f>'Madine- Coverage'!H43</f>
        <v/>
      </c>
      <c r="J72" s="6">
        <f>'Madine- Coverage'!I43</f>
        <v/>
      </c>
      <c r="K72" s="3">
        <f>'Madine- Coverage'!J43</f>
        <v/>
      </c>
      <c r="L72" s="13">
        <f>'Madine- Coverage'!K43</f>
        <v/>
      </c>
    </row>
    <row r="73" ht="18" customHeight="1" s="96">
      <c r="A73" s="93" t="inlineStr">
        <is>
          <t>Person A</t>
        </is>
      </c>
      <c r="B73" s="8">
        <f>'Madine- Coverage'!A44</f>
        <v/>
      </c>
      <c r="C73" s="93">
        <f>'Madine- Coverage'!A44</f>
        <v/>
      </c>
      <c r="D73" s="8">
        <f>'Madine- Coverage'!C44</f>
        <v/>
      </c>
      <c r="E73" s="8">
        <f>'Madine- Coverage'!D44</f>
        <v/>
      </c>
      <c r="F73" s="8">
        <f>'Madine- Coverage'!E44</f>
        <v/>
      </c>
      <c r="G73" s="9">
        <f>'Madine- Coverage'!F44</f>
        <v/>
      </c>
      <c r="H73" s="10">
        <f>'Madine- Coverage'!G44</f>
        <v/>
      </c>
      <c r="I73" s="10">
        <f>'Madine- Coverage'!H44</f>
        <v/>
      </c>
      <c r="J73" s="11">
        <f>'Madine- Coverage'!I44</f>
        <v/>
      </c>
      <c r="K73" s="8">
        <f>'Madine- Coverage'!J44</f>
        <v/>
      </c>
      <c r="L73" s="12">
        <f>'Madine- Coverage'!K44</f>
        <v/>
      </c>
    </row>
    <row r="74" ht="18" customHeight="1" s="96">
      <c r="A74" s="2" t="inlineStr">
        <is>
          <t>Person A</t>
        </is>
      </c>
      <c r="B74" s="3">
        <f>'Madine- Coverage'!A45</f>
        <v/>
      </c>
      <c r="C74" s="2">
        <f>'Madine- Coverage'!A45</f>
        <v/>
      </c>
      <c r="D74" s="3">
        <f>'Madine- Coverage'!C45</f>
        <v/>
      </c>
      <c r="E74" s="3">
        <f>'Madine- Coverage'!D45</f>
        <v/>
      </c>
      <c r="F74" s="3">
        <f>'Madine- Coverage'!E45</f>
        <v/>
      </c>
      <c r="G74" s="4">
        <f>'Madine- Coverage'!F45</f>
        <v/>
      </c>
      <c r="H74" s="5">
        <f>'Madine- Coverage'!G45</f>
        <v/>
      </c>
      <c r="I74" s="5">
        <f>'Madine- Coverage'!H45</f>
        <v/>
      </c>
      <c r="J74" s="6">
        <f>'Madine- Coverage'!I45</f>
        <v/>
      </c>
      <c r="K74" s="3">
        <f>'Madine- Coverage'!J45</f>
        <v/>
      </c>
      <c r="L74" s="13">
        <f>'Madine- Coverage'!K45</f>
        <v/>
      </c>
    </row>
    <row r="75" ht="18" customHeight="1" s="96">
      <c r="A75" s="93" t="inlineStr">
        <is>
          <t>Person A</t>
        </is>
      </c>
      <c r="B75" s="8">
        <f>'Madine- Coverage'!A46</f>
        <v/>
      </c>
      <c r="C75" s="93">
        <f>'Madine- Coverage'!A46</f>
        <v/>
      </c>
      <c r="D75" s="8">
        <f>'Madine- Coverage'!C46</f>
        <v/>
      </c>
      <c r="E75" s="8">
        <f>'Madine- Coverage'!D46</f>
        <v/>
      </c>
      <c r="F75" s="8">
        <f>'Madine- Coverage'!E46</f>
        <v/>
      </c>
      <c r="G75" s="9">
        <f>'Madine- Coverage'!F46</f>
        <v/>
      </c>
      <c r="H75" s="10">
        <f>'Madine- Coverage'!G46</f>
        <v/>
      </c>
      <c r="I75" s="10">
        <f>'Madine- Coverage'!H46</f>
        <v/>
      </c>
      <c r="J75" s="11">
        <f>'Madine- Coverage'!I46</f>
        <v/>
      </c>
      <c r="K75" s="8">
        <f>'Madine- Coverage'!J46</f>
        <v/>
      </c>
      <c r="L75" s="12">
        <f>'Madine- Coverage'!K46</f>
        <v/>
      </c>
    </row>
    <row r="76" ht="18" customHeight="1" s="96">
      <c r="A76" s="2" t="inlineStr">
        <is>
          <t>Person A</t>
        </is>
      </c>
      <c r="B76" s="3">
        <f>'Madine- Coverage'!A47</f>
        <v/>
      </c>
      <c r="C76" s="2">
        <f>'Madine- Coverage'!A47</f>
        <v/>
      </c>
      <c r="D76" s="3">
        <f>'Madine- Coverage'!C47</f>
        <v/>
      </c>
      <c r="E76" s="3">
        <f>'Madine- Coverage'!D47</f>
        <v/>
      </c>
      <c r="F76" s="3">
        <f>'Madine- Coverage'!E47</f>
        <v/>
      </c>
      <c r="G76" s="4">
        <f>'Madine- Coverage'!F47</f>
        <v/>
      </c>
      <c r="H76" s="5">
        <f>'Madine- Coverage'!G47</f>
        <v/>
      </c>
      <c r="I76" s="5">
        <f>'Madine- Coverage'!H47</f>
        <v/>
      </c>
      <c r="J76" s="6">
        <f>'Madine- Coverage'!I47</f>
        <v/>
      </c>
      <c r="K76" s="3">
        <f>'Madine- Coverage'!J47</f>
        <v/>
      </c>
      <c r="L76" s="13">
        <f>'Madine- Coverage'!K47</f>
        <v/>
      </c>
    </row>
    <row r="77" ht="18" customHeight="1" s="96">
      <c r="A77" s="93" t="inlineStr">
        <is>
          <t>Person A</t>
        </is>
      </c>
      <c r="B77" s="8">
        <f>'Madine- Coverage'!A48</f>
        <v/>
      </c>
      <c r="C77" s="93">
        <f>'Madine- Coverage'!A48</f>
        <v/>
      </c>
      <c r="D77" s="8">
        <f>'Madine- Coverage'!C48</f>
        <v/>
      </c>
      <c r="E77" s="8">
        <f>'Madine- Coverage'!D48</f>
        <v/>
      </c>
      <c r="F77" s="8">
        <f>'Madine- Coverage'!E48</f>
        <v/>
      </c>
      <c r="G77" s="9">
        <f>'Madine- Coverage'!F48</f>
        <v/>
      </c>
      <c r="H77" s="10">
        <f>'Madine- Coverage'!G48</f>
        <v/>
      </c>
      <c r="I77" s="10">
        <f>'Madine- Coverage'!H48</f>
        <v/>
      </c>
      <c r="J77" s="11">
        <f>'Madine- Coverage'!I48</f>
        <v/>
      </c>
      <c r="K77" s="8">
        <f>'Madine- Coverage'!J48</f>
        <v/>
      </c>
      <c r="L77" s="12">
        <f>'Madine- Coverage'!K48</f>
        <v/>
      </c>
    </row>
    <row r="78" ht="18" customHeight="1" s="96">
      <c r="A78" s="2" t="inlineStr">
        <is>
          <t>Person A</t>
        </is>
      </c>
      <c r="B78" s="3">
        <f>'Madine- Coverage'!A49</f>
        <v/>
      </c>
      <c r="C78" s="2">
        <f>'Madine- Coverage'!A49</f>
        <v/>
      </c>
      <c r="D78" s="3">
        <f>'Madine- Coverage'!C49</f>
        <v/>
      </c>
      <c r="E78" s="3">
        <f>'Madine- Coverage'!D49</f>
        <v/>
      </c>
      <c r="F78" s="3">
        <f>'Madine- Coverage'!E49</f>
        <v/>
      </c>
      <c r="G78" s="4">
        <f>'Madine- Coverage'!F49</f>
        <v/>
      </c>
      <c r="H78" s="5">
        <f>'Madine- Coverage'!G49</f>
        <v/>
      </c>
      <c r="I78" s="5">
        <f>'Madine- Coverage'!H49</f>
        <v/>
      </c>
      <c r="J78" s="6">
        <f>'Madine- Coverage'!I49</f>
        <v/>
      </c>
      <c r="K78" s="3">
        <f>'Madine- Coverage'!J49</f>
        <v/>
      </c>
      <c r="L78" s="13">
        <f>'Madine- Coverage'!K49</f>
        <v/>
      </c>
    </row>
    <row r="79" ht="18" customHeight="1" s="96">
      <c r="A79" s="93" t="inlineStr">
        <is>
          <t>Person A</t>
        </is>
      </c>
      <c r="B79" s="8">
        <f>'Madine- Coverage'!A50</f>
        <v/>
      </c>
      <c r="C79" s="93">
        <f>'Madine- Coverage'!A50</f>
        <v/>
      </c>
      <c r="D79" s="8">
        <f>'Madine- Coverage'!C50</f>
        <v/>
      </c>
      <c r="E79" s="8">
        <f>'Madine- Coverage'!D50</f>
        <v/>
      </c>
      <c r="F79" s="8">
        <f>'Madine- Coverage'!E50</f>
        <v/>
      </c>
      <c r="G79" s="9">
        <f>'Madine- Coverage'!F50</f>
        <v/>
      </c>
      <c r="H79" s="10">
        <f>'Madine- Coverage'!G50</f>
        <v/>
      </c>
      <c r="I79" s="10">
        <f>'Madine- Coverage'!H50</f>
        <v/>
      </c>
      <c r="J79" s="11">
        <f>'Madine- Coverage'!I50</f>
        <v/>
      </c>
      <c r="K79" s="8">
        <f>'Madine- Coverage'!J50</f>
        <v/>
      </c>
      <c r="L79" s="12">
        <f>'Madine- Coverage'!K50</f>
        <v/>
      </c>
    </row>
    <row r="80" ht="18" customHeight="1" s="96">
      <c r="A80" s="2" t="inlineStr">
        <is>
          <t>Person A</t>
        </is>
      </c>
      <c r="B80" s="3">
        <f>'Madine- Coverage'!A51</f>
        <v/>
      </c>
      <c r="C80" s="2">
        <f>'Madine- Coverage'!A51</f>
        <v/>
      </c>
      <c r="D80" s="3">
        <f>'Madine- Coverage'!C51</f>
        <v/>
      </c>
      <c r="E80" s="3">
        <f>'Madine- Coverage'!D51</f>
        <v/>
      </c>
      <c r="F80" s="3">
        <f>'Madine- Coverage'!E51</f>
        <v/>
      </c>
      <c r="G80" s="4">
        <f>'Madine- Coverage'!F51</f>
        <v/>
      </c>
      <c r="H80" s="5">
        <f>'Madine- Coverage'!G51</f>
        <v/>
      </c>
      <c r="I80" s="5">
        <f>'Madine- Coverage'!H51</f>
        <v/>
      </c>
      <c r="J80" s="6">
        <f>'Madine- Coverage'!I51</f>
        <v/>
      </c>
      <c r="K80" s="3">
        <f>'Madine- Coverage'!J51</f>
        <v/>
      </c>
      <c r="L80" s="13">
        <f>'Madine- Coverage'!K51</f>
        <v/>
      </c>
    </row>
    <row r="81" ht="18" customHeight="1" s="96">
      <c r="A81" s="93" t="inlineStr">
        <is>
          <t>Person A</t>
        </is>
      </c>
      <c r="B81" s="8">
        <f>'Madine- Coverage'!A52</f>
        <v/>
      </c>
      <c r="C81" s="93">
        <f>'Madine- Coverage'!A52</f>
        <v/>
      </c>
      <c r="D81" s="8">
        <f>'Madine- Coverage'!C52</f>
        <v/>
      </c>
      <c r="E81" s="8">
        <f>'Madine- Coverage'!D52</f>
        <v/>
      </c>
      <c r="F81" s="8">
        <f>'Madine- Coverage'!E52</f>
        <v/>
      </c>
      <c r="G81" s="9">
        <f>'Madine- Coverage'!F52</f>
        <v/>
      </c>
      <c r="H81" s="10">
        <f>'Madine- Coverage'!G52</f>
        <v/>
      </c>
      <c r="I81" s="10">
        <f>'Madine- Coverage'!H52</f>
        <v/>
      </c>
      <c r="J81" s="11">
        <f>'Madine- Coverage'!I52</f>
        <v/>
      </c>
      <c r="K81" s="8">
        <f>'Madine- Coverage'!J52</f>
        <v/>
      </c>
      <c r="L81" s="12">
        <f>'Madine- Coverage'!K52</f>
        <v/>
      </c>
    </row>
    <row r="82" ht="18" customHeight="1" s="96">
      <c r="A82" s="2" t="inlineStr">
        <is>
          <t>Person A</t>
        </is>
      </c>
      <c r="B82" s="3">
        <f>'Madine- Coverage'!A53</f>
        <v/>
      </c>
      <c r="C82" s="2">
        <f>'Madine- Coverage'!A53</f>
        <v/>
      </c>
      <c r="D82" s="3">
        <f>'Madine- Coverage'!C53</f>
        <v/>
      </c>
      <c r="E82" s="3">
        <f>'Madine- Coverage'!D53</f>
        <v/>
      </c>
      <c r="F82" s="3">
        <f>'Madine- Coverage'!E53</f>
        <v/>
      </c>
      <c r="G82" s="4">
        <f>'Madine- Coverage'!F53</f>
        <v/>
      </c>
      <c r="H82" s="5">
        <f>'Madine- Coverage'!G53</f>
        <v/>
      </c>
      <c r="I82" s="5">
        <f>'Madine- Coverage'!H53</f>
        <v/>
      </c>
      <c r="J82" s="6">
        <f>'Madine- Coverage'!I53</f>
        <v/>
      </c>
      <c r="K82" s="3">
        <f>'Madine- Coverage'!J53</f>
        <v/>
      </c>
      <c r="L82" s="13">
        <f>'Madine- Coverage'!K53</f>
        <v/>
      </c>
    </row>
    <row r="83" ht="18" customHeight="1" s="96">
      <c r="A83" s="93" t="inlineStr">
        <is>
          <t>Person A</t>
        </is>
      </c>
      <c r="B83" s="8">
        <f>'Madine- Coverage'!A54</f>
        <v/>
      </c>
      <c r="C83" s="93">
        <f>'Madine- Coverage'!A54</f>
        <v/>
      </c>
      <c r="D83" s="8">
        <f>'Madine- Coverage'!C54</f>
        <v/>
      </c>
      <c r="E83" s="8">
        <f>'Madine- Coverage'!D54</f>
        <v/>
      </c>
      <c r="F83" s="8">
        <f>'Madine- Coverage'!E54</f>
        <v/>
      </c>
      <c r="G83" s="9">
        <f>'Madine- Coverage'!F54</f>
        <v/>
      </c>
      <c r="H83" s="10">
        <f>'Madine- Coverage'!G54</f>
        <v/>
      </c>
      <c r="I83" s="10">
        <f>'Madine- Coverage'!H54</f>
        <v/>
      </c>
      <c r="J83" s="11">
        <f>'Madine- Coverage'!I54</f>
        <v/>
      </c>
      <c r="K83" s="8">
        <f>'Madine- Coverage'!J54</f>
        <v/>
      </c>
      <c r="L83" s="12">
        <f>'Madine- Coverage'!K54</f>
        <v/>
      </c>
    </row>
    <row r="84" ht="18" customHeight="1" s="96">
      <c r="A84" s="2" t="inlineStr">
        <is>
          <t>Person A</t>
        </is>
      </c>
      <c r="B84" s="3">
        <f>'Madine- Coverage'!A55</f>
        <v/>
      </c>
      <c r="C84" s="2">
        <f>'Madine- Coverage'!A55</f>
        <v/>
      </c>
      <c r="D84" s="3">
        <f>'Madine- Coverage'!C55</f>
        <v/>
      </c>
      <c r="E84" s="3">
        <f>'Madine- Coverage'!D55</f>
        <v/>
      </c>
      <c r="F84" s="3">
        <f>'Madine- Coverage'!E55</f>
        <v/>
      </c>
      <c r="G84" s="4">
        <f>'Madine- Coverage'!F55</f>
        <v/>
      </c>
      <c r="H84" s="5">
        <f>'Madine- Coverage'!G55</f>
        <v/>
      </c>
      <c r="I84" s="5">
        <f>'Madine- Coverage'!H55</f>
        <v/>
      </c>
      <c r="J84" s="6">
        <f>'Madine- Coverage'!I55</f>
        <v/>
      </c>
      <c r="K84" s="3">
        <f>'Madine- Coverage'!J55</f>
        <v/>
      </c>
      <c r="L84" s="13">
        <f>'Madine- Coverage'!K55</f>
        <v/>
      </c>
    </row>
    <row r="85" ht="18" customHeight="1" s="96">
      <c r="A85" s="93" t="inlineStr">
        <is>
          <t>Person A</t>
        </is>
      </c>
      <c r="B85" s="8">
        <f>'Madine- Coverage'!A56</f>
        <v/>
      </c>
      <c r="C85" s="93">
        <f>'Madine- Coverage'!A56</f>
        <v/>
      </c>
      <c r="D85" s="8">
        <f>'Madine- Coverage'!C56</f>
        <v/>
      </c>
      <c r="E85" s="8">
        <f>'Madine- Coverage'!D56</f>
        <v/>
      </c>
      <c r="F85" s="8">
        <f>'Madine- Coverage'!E56</f>
        <v/>
      </c>
      <c r="G85" s="9">
        <f>'Madine- Coverage'!F56</f>
        <v/>
      </c>
      <c r="H85" s="10">
        <f>'Madine- Coverage'!G56</f>
        <v/>
      </c>
      <c r="I85" s="10">
        <f>'Madine- Coverage'!H56</f>
        <v/>
      </c>
      <c r="J85" s="11">
        <f>'Madine- Coverage'!I56</f>
        <v/>
      </c>
      <c r="K85" s="8">
        <f>'Madine- Coverage'!J56</f>
        <v/>
      </c>
      <c r="L85" s="12">
        <f>'Madine- Coverage'!K56</f>
        <v/>
      </c>
    </row>
    <row r="86" ht="18" customHeight="1" s="96">
      <c r="A86" s="2" t="inlineStr">
        <is>
          <t>Person A</t>
        </is>
      </c>
      <c r="B86" s="3">
        <f>'Madine- Coverage'!A57</f>
        <v/>
      </c>
      <c r="C86" s="2">
        <f>'Madine- Coverage'!A57</f>
        <v/>
      </c>
      <c r="D86" s="3">
        <f>'Madine- Coverage'!C57</f>
        <v/>
      </c>
      <c r="E86" s="3">
        <f>'Madine- Coverage'!D57</f>
        <v/>
      </c>
      <c r="F86" s="3">
        <f>'Madine- Coverage'!E57</f>
        <v/>
      </c>
      <c r="G86" s="4">
        <f>'Madine- Coverage'!F57</f>
        <v/>
      </c>
      <c r="H86" s="5">
        <f>'Madine- Coverage'!G57</f>
        <v/>
      </c>
      <c r="I86" s="5">
        <f>'Madine- Coverage'!H57</f>
        <v/>
      </c>
      <c r="J86" s="6">
        <f>'Madine- Coverage'!I57</f>
        <v/>
      </c>
      <c r="K86" s="3">
        <f>'Madine- Coverage'!J57</f>
        <v/>
      </c>
      <c r="L86" s="13">
        <f>'Madine- Coverage'!K57</f>
        <v/>
      </c>
    </row>
    <row r="87" ht="18" customHeight="1" s="96">
      <c r="A87" s="93" t="inlineStr">
        <is>
          <t>Person A</t>
        </is>
      </c>
      <c r="B87" s="8">
        <f>'Madine- Coverage'!A58</f>
        <v/>
      </c>
      <c r="C87" s="93">
        <f>'Madine- Coverage'!A58</f>
        <v/>
      </c>
      <c r="D87" s="8">
        <f>'Madine- Coverage'!C58</f>
        <v/>
      </c>
      <c r="E87" s="8">
        <f>'Madine- Coverage'!D58</f>
        <v/>
      </c>
      <c r="F87" s="8">
        <f>'Madine- Coverage'!E58</f>
        <v/>
      </c>
      <c r="G87" s="9">
        <f>'Madine- Coverage'!F58</f>
        <v/>
      </c>
      <c r="H87" s="10">
        <f>'Madine- Coverage'!G58</f>
        <v/>
      </c>
      <c r="I87" s="10">
        <f>'Madine- Coverage'!H58</f>
        <v/>
      </c>
      <c r="J87" s="11">
        <f>'Madine- Coverage'!I58</f>
        <v/>
      </c>
      <c r="K87" s="8">
        <f>'Madine- Coverage'!J58</f>
        <v/>
      </c>
      <c r="L87" s="12">
        <f>'Madine- Coverage'!K58</f>
        <v/>
      </c>
    </row>
    <row r="88" ht="18" customHeight="1" s="96">
      <c r="A88" s="2" t="inlineStr">
        <is>
          <t>Person A</t>
        </is>
      </c>
      <c r="B88" s="3">
        <f>'Madine- Coverage'!A59</f>
        <v/>
      </c>
      <c r="C88" s="2">
        <f>'Madine- Coverage'!A59</f>
        <v/>
      </c>
      <c r="D88" s="3">
        <f>'Madine- Coverage'!C59</f>
        <v/>
      </c>
      <c r="E88" s="3">
        <f>'Madine- Coverage'!D59</f>
        <v/>
      </c>
      <c r="F88" s="3">
        <f>'Madine- Coverage'!E59</f>
        <v/>
      </c>
      <c r="G88" s="4">
        <f>'Madine- Coverage'!F59</f>
        <v/>
      </c>
      <c r="H88" s="5">
        <f>'Madine- Coverage'!G59</f>
        <v/>
      </c>
      <c r="I88" s="5">
        <f>'Madine- Coverage'!H59</f>
        <v/>
      </c>
      <c r="J88" s="6">
        <f>'Madine- Coverage'!I59</f>
        <v/>
      </c>
      <c r="K88" s="3">
        <f>'Madine- Coverage'!J59</f>
        <v/>
      </c>
      <c r="L88" s="13">
        <f>'Madine- Coverage'!K59</f>
        <v/>
      </c>
    </row>
    <row r="89" ht="18" customHeight="1" s="96">
      <c r="A89" s="93" t="inlineStr">
        <is>
          <t>Person A</t>
        </is>
      </c>
      <c r="B89" s="8">
        <f>'Madine- Coverage'!A60</f>
        <v/>
      </c>
      <c r="C89" s="93">
        <f>'Madine- Coverage'!A60</f>
        <v/>
      </c>
      <c r="D89" s="8">
        <f>'Madine- Coverage'!C60</f>
        <v/>
      </c>
      <c r="E89" s="8">
        <f>'Madine- Coverage'!D60</f>
        <v/>
      </c>
      <c r="F89" s="8">
        <f>'Madine- Coverage'!E60</f>
        <v/>
      </c>
      <c r="G89" s="9">
        <f>'Madine- Coverage'!F60</f>
        <v/>
      </c>
      <c r="H89" s="10">
        <f>'Madine- Coverage'!G60</f>
        <v/>
      </c>
      <c r="I89" s="10">
        <f>'Madine- Coverage'!H60</f>
        <v/>
      </c>
      <c r="J89" s="11">
        <f>'Madine- Coverage'!I60</f>
        <v/>
      </c>
      <c r="K89" s="8">
        <f>'Madine- Coverage'!J60</f>
        <v/>
      </c>
      <c r="L89" s="12">
        <f>'Madine- Coverage'!K60</f>
        <v/>
      </c>
    </row>
    <row r="90" ht="18" customHeight="1" s="96">
      <c r="A90" s="2" t="inlineStr">
        <is>
          <t>Person A</t>
        </is>
      </c>
      <c r="B90" s="3">
        <f>'Madine- Coverage'!A61</f>
        <v/>
      </c>
      <c r="C90" s="2">
        <f>'Madine- Coverage'!A61</f>
        <v/>
      </c>
      <c r="D90" s="3">
        <f>'Madine- Coverage'!C61</f>
        <v/>
      </c>
      <c r="E90" s="3">
        <f>'Madine- Coverage'!D61</f>
        <v/>
      </c>
      <c r="F90" s="3">
        <f>'Madine- Coverage'!E61</f>
        <v/>
      </c>
      <c r="G90" s="4">
        <f>'Madine- Coverage'!F61</f>
        <v/>
      </c>
      <c r="H90" s="5">
        <f>'Madine- Coverage'!G61</f>
        <v/>
      </c>
      <c r="I90" s="5">
        <f>'Madine- Coverage'!H61</f>
        <v/>
      </c>
      <c r="J90" s="6">
        <f>'Madine- Coverage'!I61</f>
        <v/>
      </c>
      <c r="K90" s="3">
        <f>'Madine- Coverage'!J61</f>
        <v/>
      </c>
      <c r="L90" s="13">
        <f>'Madine- Coverage'!K61</f>
        <v/>
      </c>
    </row>
    <row r="91" ht="18" customHeight="1" s="96">
      <c r="A91" s="93" t="inlineStr">
        <is>
          <t>Person A</t>
        </is>
      </c>
      <c r="B91" s="8">
        <f>'Madine- Coverage'!A62</f>
        <v/>
      </c>
      <c r="C91" s="93">
        <f>'Madine- Coverage'!A62</f>
        <v/>
      </c>
      <c r="D91" s="8">
        <f>'Madine- Coverage'!C62</f>
        <v/>
      </c>
      <c r="E91" s="8">
        <f>'Madine- Coverage'!D62</f>
        <v/>
      </c>
      <c r="F91" s="8">
        <f>'Madine- Coverage'!E62</f>
        <v/>
      </c>
      <c r="G91" s="9">
        <f>'Madine- Coverage'!F62</f>
        <v/>
      </c>
      <c r="H91" s="10">
        <f>'Madine- Coverage'!G62</f>
        <v/>
      </c>
      <c r="I91" s="10">
        <f>'Madine- Coverage'!H62</f>
        <v/>
      </c>
      <c r="J91" s="11">
        <f>'Madine- Coverage'!I62</f>
        <v/>
      </c>
      <c r="K91" s="8">
        <f>'Madine- Coverage'!J62</f>
        <v/>
      </c>
      <c r="L91" s="12">
        <f>'Madine- Coverage'!K62</f>
        <v/>
      </c>
    </row>
    <row r="92" ht="18" customHeight="1" s="96">
      <c r="A92" s="2" t="inlineStr">
        <is>
          <t>Person A</t>
        </is>
      </c>
      <c r="B92" s="3">
        <f>'Madine- Coverage'!A63</f>
        <v/>
      </c>
      <c r="C92" s="2">
        <f>'Madine- Coverage'!A63</f>
        <v/>
      </c>
      <c r="D92" s="3">
        <f>'Madine- Coverage'!C63</f>
        <v/>
      </c>
      <c r="E92" s="3">
        <f>'Madine- Coverage'!D63</f>
        <v/>
      </c>
      <c r="F92" s="3">
        <f>'Madine- Coverage'!E63</f>
        <v/>
      </c>
      <c r="G92" s="4">
        <f>'Madine- Coverage'!F63</f>
        <v/>
      </c>
      <c r="H92" s="5">
        <f>'Madine- Coverage'!G63</f>
        <v/>
      </c>
      <c r="I92" s="5">
        <f>'Madine- Coverage'!H63</f>
        <v/>
      </c>
      <c r="J92" s="6">
        <f>'Madine- Coverage'!I63</f>
        <v/>
      </c>
      <c r="K92" s="3">
        <f>'Madine- Coverage'!J63</f>
        <v/>
      </c>
      <c r="L92" s="13">
        <f>'Madine- Coverage'!K63</f>
        <v/>
      </c>
    </row>
    <row r="93" ht="18" customHeight="1" s="96">
      <c r="A93" s="93" t="inlineStr">
        <is>
          <t>Person A</t>
        </is>
      </c>
      <c r="B93" s="8">
        <f>'Madine- Coverage'!A64</f>
        <v/>
      </c>
      <c r="C93" s="93">
        <f>'Madine- Coverage'!A64</f>
        <v/>
      </c>
      <c r="D93" s="8">
        <f>'Madine- Coverage'!C64</f>
        <v/>
      </c>
      <c r="E93" s="8">
        <f>'Madine- Coverage'!D64</f>
        <v/>
      </c>
      <c r="F93" s="8">
        <f>'Madine- Coverage'!E64</f>
        <v/>
      </c>
      <c r="G93" s="9">
        <f>'Madine- Coverage'!F64</f>
        <v/>
      </c>
      <c r="H93" s="10">
        <f>'Madine- Coverage'!G64</f>
        <v/>
      </c>
      <c r="I93" s="10">
        <f>'Madine- Coverage'!H64</f>
        <v/>
      </c>
      <c r="J93" s="11">
        <f>'Madine- Coverage'!I64</f>
        <v/>
      </c>
      <c r="K93" s="8">
        <f>'Madine- Coverage'!J64</f>
        <v/>
      </c>
      <c r="L93" s="12">
        <f>'Madine- Coverage'!K64</f>
        <v/>
      </c>
    </row>
    <row r="94" ht="18" customHeight="1" s="96">
      <c r="A94" s="2" t="inlineStr">
        <is>
          <t>Person A</t>
        </is>
      </c>
      <c r="B94" s="3">
        <f>'Madine- Coverage'!A65</f>
        <v/>
      </c>
      <c r="C94" s="2">
        <f>'Madine- Coverage'!A65</f>
        <v/>
      </c>
      <c r="D94" s="3">
        <f>'Madine- Coverage'!C65</f>
        <v/>
      </c>
      <c r="E94" s="3">
        <f>'Madine- Coverage'!D65</f>
        <v/>
      </c>
      <c r="F94" s="3">
        <f>'Madine- Coverage'!E65</f>
        <v/>
      </c>
      <c r="G94" s="4">
        <f>'Madine- Coverage'!F65</f>
        <v/>
      </c>
      <c r="H94" s="5">
        <f>'Madine- Coverage'!G65</f>
        <v/>
      </c>
      <c r="I94" s="5">
        <f>'Madine- Coverage'!H65</f>
        <v/>
      </c>
      <c r="J94" s="6">
        <f>'Madine- Coverage'!I65</f>
        <v/>
      </c>
      <c r="K94" s="3">
        <f>'Madine- Coverage'!J65</f>
        <v/>
      </c>
      <c r="L94" s="13">
        <f>'Madine- Coverage'!K65</f>
        <v/>
      </c>
    </row>
    <row r="95" ht="18" customHeight="1" s="96">
      <c r="A95" s="93" t="inlineStr">
        <is>
          <t>Person A</t>
        </is>
      </c>
      <c r="B95" s="8">
        <f>'Madine- Coverage'!A66</f>
        <v/>
      </c>
      <c r="C95" s="93">
        <f>'Madine- Coverage'!A66</f>
        <v/>
      </c>
      <c r="D95" s="8">
        <f>'Madine- Coverage'!C66</f>
        <v/>
      </c>
      <c r="E95" s="8">
        <f>'Madine- Coverage'!D66</f>
        <v/>
      </c>
      <c r="F95" s="8">
        <f>'Madine- Coverage'!E66</f>
        <v/>
      </c>
      <c r="G95" s="9">
        <f>'Madine- Coverage'!F66</f>
        <v/>
      </c>
      <c r="H95" s="10">
        <f>'Madine- Coverage'!G66</f>
        <v/>
      </c>
      <c r="I95" s="10">
        <f>'Madine- Coverage'!H66</f>
        <v/>
      </c>
      <c r="J95" s="11">
        <f>'Madine- Coverage'!I66</f>
        <v/>
      </c>
      <c r="K95" s="8">
        <f>'Madine- Coverage'!J66</f>
        <v/>
      </c>
      <c r="L95" s="12">
        <f>'Madine- Coverage'!K66</f>
        <v/>
      </c>
    </row>
    <row r="96" ht="18" customHeight="1" s="96">
      <c r="A96" s="2" t="inlineStr">
        <is>
          <t>Person A</t>
        </is>
      </c>
      <c r="B96" s="3">
        <f>'Madine- Coverage'!A67</f>
        <v/>
      </c>
      <c r="C96" s="2">
        <f>'Madine- Coverage'!A67</f>
        <v/>
      </c>
      <c r="D96" s="3">
        <f>'Madine- Coverage'!C67</f>
        <v/>
      </c>
      <c r="E96" s="3">
        <f>'Madine- Coverage'!D67</f>
        <v/>
      </c>
      <c r="F96" s="3">
        <f>'Madine- Coverage'!E67</f>
        <v/>
      </c>
      <c r="G96" s="4">
        <f>'Madine- Coverage'!F67</f>
        <v/>
      </c>
      <c r="H96" s="5">
        <f>'Madine- Coverage'!G67</f>
        <v/>
      </c>
      <c r="I96" s="5">
        <f>'Madine- Coverage'!H67</f>
        <v/>
      </c>
      <c r="J96" s="6">
        <f>'Madine- Coverage'!I67</f>
        <v/>
      </c>
      <c r="K96" s="3">
        <f>'Madine- Coverage'!J67</f>
        <v/>
      </c>
      <c r="L96" s="13">
        <f>'Madine- Coverage'!K67</f>
        <v/>
      </c>
    </row>
    <row r="97" ht="18" customHeight="1" s="96">
      <c r="A97" s="93" t="inlineStr">
        <is>
          <t>Person A</t>
        </is>
      </c>
      <c r="B97" s="8">
        <f>'Madine- Coverage'!A68</f>
        <v/>
      </c>
      <c r="C97" s="93">
        <f>'Madine- Coverage'!A68</f>
        <v/>
      </c>
      <c r="D97" s="8">
        <f>'Madine- Coverage'!C68</f>
        <v/>
      </c>
      <c r="E97" s="8">
        <f>'Madine- Coverage'!D68</f>
        <v/>
      </c>
      <c r="F97" s="8">
        <f>'Madine- Coverage'!E68</f>
        <v/>
      </c>
      <c r="G97" s="9">
        <f>'Madine- Coverage'!F68</f>
        <v/>
      </c>
      <c r="H97" s="10">
        <f>'Madine- Coverage'!G68</f>
        <v/>
      </c>
      <c r="I97" s="10">
        <f>'Madine- Coverage'!H68</f>
        <v/>
      </c>
      <c r="J97" s="11">
        <f>'Madine- Coverage'!I68</f>
        <v/>
      </c>
      <c r="K97" s="8">
        <f>'Madine- Coverage'!J68</f>
        <v/>
      </c>
      <c r="L97" s="12">
        <f>'Madine- Coverage'!K68</f>
        <v/>
      </c>
    </row>
    <row r="98" ht="18" customHeight="1" s="96">
      <c r="A98" s="2" t="inlineStr">
        <is>
          <t>Person A</t>
        </is>
      </c>
      <c r="B98" s="3">
        <f>'Madine- Coverage'!A69</f>
        <v/>
      </c>
      <c r="C98" s="2">
        <f>'Madine- Coverage'!A69</f>
        <v/>
      </c>
      <c r="D98" s="3">
        <f>'Madine- Coverage'!C69</f>
        <v/>
      </c>
      <c r="E98" s="3">
        <f>'Madine- Coverage'!D69</f>
        <v/>
      </c>
      <c r="F98" s="3">
        <f>'Madine- Coverage'!E69</f>
        <v/>
      </c>
      <c r="G98" s="4">
        <f>'Madine- Coverage'!F69</f>
        <v/>
      </c>
      <c r="H98" s="5">
        <f>'Madine- Coverage'!G69</f>
        <v/>
      </c>
      <c r="I98" s="5">
        <f>'Madine- Coverage'!H69</f>
        <v/>
      </c>
      <c r="J98" s="6">
        <f>'Madine- Coverage'!I69</f>
        <v/>
      </c>
      <c r="K98" s="3">
        <f>'Madine- Coverage'!J69</f>
        <v/>
      </c>
      <c r="L98" s="13">
        <f>'Madine- Coverage'!K69</f>
        <v/>
      </c>
    </row>
    <row r="99" ht="18" customHeight="1" s="96">
      <c r="A99" s="93" t="inlineStr">
        <is>
          <t>Person A</t>
        </is>
      </c>
      <c r="B99" s="8">
        <f>'Madine- Coverage'!A70</f>
        <v/>
      </c>
      <c r="C99" s="93">
        <f>'Madine- Coverage'!A70</f>
        <v/>
      </c>
      <c r="D99" s="8">
        <f>'Madine- Coverage'!C70</f>
        <v/>
      </c>
      <c r="E99" s="8">
        <f>'Madine- Coverage'!D70</f>
        <v/>
      </c>
      <c r="F99" s="8">
        <f>'Madine- Coverage'!E70</f>
        <v/>
      </c>
      <c r="G99" s="9">
        <f>'Madine- Coverage'!F70</f>
        <v/>
      </c>
      <c r="H99" s="10">
        <f>'Madine- Coverage'!G70</f>
        <v/>
      </c>
      <c r="I99" s="10">
        <f>'Madine- Coverage'!H70</f>
        <v/>
      </c>
      <c r="J99" s="11">
        <f>'Madine- Coverage'!I70</f>
        <v/>
      </c>
      <c r="K99" s="8">
        <f>'Madine- Coverage'!J70</f>
        <v/>
      </c>
      <c r="L99" s="12">
        <f>'Madine- Coverage'!K70</f>
        <v/>
      </c>
    </row>
    <row r="100" ht="18" customHeight="1" s="96">
      <c r="A100" s="2" t="inlineStr">
        <is>
          <t>Person A</t>
        </is>
      </c>
      <c r="B100" s="3">
        <f>'Madine- Coverage'!A71</f>
        <v/>
      </c>
      <c r="C100" s="2">
        <f>'Madine- Coverage'!A71</f>
        <v/>
      </c>
      <c r="D100" s="3">
        <f>'Madine- Coverage'!C71</f>
        <v/>
      </c>
      <c r="E100" s="3">
        <f>'Madine- Coverage'!D71</f>
        <v/>
      </c>
      <c r="F100" s="3">
        <f>'Madine- Coverage'!E71</f>
        <v/>
      </c>
      <c r="G100" s="4">
        <f>'Madine- Coverage'!F71</f>
        <v/>
      </c>
      <c r="H100" s="5">
        <f>'Madine- Coverage'!G71</f>
        <v/>
      </c>
      <c r="I100" s="5">
        <f>'Madine- Coverage'!H71</f>
        <v/>
      </c>
      <c r="J100" s="6">
        <f>'Madine- Coverage'!I71</f>
        <v/>
      </c>
      <c r="K100" s="3">
        <f>'Madine- Coverage'!J71</f>
        <v/>
      </c>
      <c r="L100" s="13">
        <f>'Madine- Coverage'!K71</f>
        <v/>
      </c>
    </row>
    <row r="101" ht="18" customHeight="1" s="96">
      <c r="A101" s="93" t="inlineStr">
        <is>
          <t>Person A</t>
        </is>
      </c>
      <c r="B101" s="8">
        <f>'Madine- Coverage'!A72</f>
        <v/>
      </c>
      <c r="C101" s="93">
        <f>'Madine- Coverage'!A72</f>
        <v/>
      </c>
      <c r="D101" s="8">
        <f>'Madine- Coverage'!C72</f>
        <v/>
      </c>
      <c r="E101" s="8">
        <f>'Madine- Coverage'!D72</f>
        <v/>
      </c>
      <c r="F101" s="8">
        <f>'Madine- Coverage'!E72</f>
        <v/>
      </c>
      <c r="G101" s="9">
        <f>'Madine- Coverage'!F72</f>
        <v/>
      </c>
      <c r="H101" s="10">
        <f>'Madine- Coverage'!G72</f>
        <v/>
      </c>
      <c r="I101" s="10">
        <f>'Madine- Coverage'!H72</f>
        <v/>
      </c>
      <c r="J101" s="11">
        <f>'Madine- Coverage'!I72</f>
        <v/>
      </c>
      <c r="K101" s="8">
        <f>'Madine- Coverage'!J72</f>
        <v/>
      </c>
      <c r="L101" s="12">
        <f>'Madine- Coverage'!K72</f>
        <v/>
      </c>
    </row>
    <row r="102" ht="18" customHeight="1" s="96">
      <c r="A102" s="2" t="inlineStr">
        <is>
          <t>Person A</t>
        </is>
      </c>
      <c r="B102" s="3">
        <f>'Madine- Coverage'!A73</f>
        <v/>
      </c>
      <c r="C102" s="2">
        <f>'Madine- Coverage'!A73</f>
        <v/>
      </c>
      <c r="D102" s="3">
        <f>'Madine- Coverage'!C73</f>
        <v/>
      </c>
      <c r="E102" s="3">
        <f>'Madine- Coverage'!D73</f>
        <v/>
      </c>
      <c r="F102" s="3">
        <f>'Madine- Coverage'!E73</f>
        <v/>
      </c>
      <c r="G102" s="4">
        <f>'Madine- Coverage'!F73</f>
        <v/>
      </c>
      <c r="H102" s="5">
        <f>'Madine- Coverage'!G73</f>
        <v/>
      </c>
      <c r="I102" s="5">
        <f>'Madine- Coverage'!H73</f>
        <v/>
      </c>
      <c r="J102" s="6">
        <f>'Madine- Coverage'!I73</f>
        <v/>
      </c>
      <c r="K102" s="3">
        <f>'Madine- Coverage'!J73</f>
        <v/>
      </c>
      <c r="L102" s="13">
        <f>'Madine- Coverage'!K73</f>
        <v/>
      </c>
    </row>
    <row r="103" ht="18" customHeight="1" s="96">
      <c r="A103" s="93" t="inlineStr">
        <is>
          <t>Person A</t>
        </is>
      </c>
      <c r="B103" s="8">
        <f>'Madine- Coverage'!A74</f>
        <v/>
      </c>
      <c r="C103" s="93">
        <f>'Madine- Coverage'!A74</f>
        <v/>
      </c>
      <c r="D103" s="8">
        <f>'Madine- Coverage'!C74</f>
        <v/>
      </c>
      <c r="E103" s="8">
        <f>'Madine- Coverage'!D74</f>
        <v/>
      </c>
      <c r="F103" s="8">
        <f>'Madine- Coverage'!E74</f>
        <v/>
      </c>
      <c r="G103" s="9">
        <f>'Madine- Coverage'!F74</f>
        <v/>
      </c>
      <c r="H103" s="10">
        <f>'Madine- Coverage'!G74</f>
        <v/>
      </c>
      <c r="I103" s="10">
        <f>'Madine- Coverage'!H74</f>
        <v/>
      </c>
      <c r="J103" s="11">
        <f>'Madine- Coverage'!I74</f>
        <v/>
      </c>
      <c r="K103" s="8">
        <f>'Madine- Coverage'!J74</f>
        <v/>
      </c>
      <c r="L103" s="12">
        <f>'Madine- Coverage'!K74</f>
        <v/>
      </c>
    </row>
    <row r="104" ht="18" customHeight="1" s="96">
      <c r="A104" s="2" t="inlineStr">
        <is>
          <t>Person A</t>
        </is>
      </c>
      <c r="B104" s="3">
        <f>'Madine- Coverage'!A75</f>
        <v/>
      </c>
      <c r="C104" s="2">
        <f>'Madine- Coverage'!A75</f>
        <v/>
      </c>
      <c r="D104" s="3">
        <f>'Madine- Coverage'!C75</f>
        <v/>
      </c>
      <c r="E104" s="3">
        <f>'Madine- Coverage'!D75</f>
        <v/>
      </c>
      <c r="F104" s="3">
        <f>'Madine- Coverage'!E75</f>
        <v/>
      </c>
      <c r="G104" s="4">
        <f>'Madine- Coverage'!F75</f>
        <v/>
      </c>
      <c r="H104" s="5">
        <f>'Madine- Coverage'!G75</f>
        <v/>
      </c>
      <c r="I104" s="5">
        <f>'Madine- Coverage'!H75</f>
        <v/>
      </c>
      <c r="J104" s="6">
        <f>'Madine- Coverage'!I75</f>
        <v/>
      </c>
      <c r="K104" s="3">
        <f>'Madine- Coverage'!J75</f>
        <v/>
      </c>
      <c r="L104" s="13">
        <f>'Madine- Coverage'!K75</f>
        <v/>
      </c>
    </row>
    <row r="105" ht="18" customHeight="1" s="96">
      <c r="A105" s="93" t="inlineStr">
        <is>
          <t>Person A</t>
        </is>
      </c>
      <c r="B105" s="8">
        <f>'Madine- Coverage'!A76</f>
        <v/>
      </c>
      <c r="C105" s="93">
        <f>'Madine- Coverage'!A76</f>
        <v/>
      </c>
      <c r="D105" s="8">
        <f>'Madine- Coverage'!C76</f>
        <v/>
      </c>
      <c r="E105" s="8">
        <f>'Madine- Coverage'!D76</f>
        <v/>
      </c>
      <c r="F105" s="8">
        <f>'Madine- Coverage'!E76</f>
        <v/>
      </c>
      <c r="G105" s="9">
        <f>'Madine- Coverage'!F76</f>
        <v/>
      </c>
      <c r="H105" s="10">
        <f>'Madine- Coverage'!G76</f>
        <v/>
      </c>
      <c r="I105" s="10">
        <f>'Madine- Coverage'!H76</f>
        <v/>
      </c>
      <c r="J105" s="11">
        <f>'Madine- Coverage'!I76</f>
        <v/>
      </c>
      <c r="K105" s="8">
        <f>'Madine- Coverage'!J76</f>
        <v/>
      </c>
      <c r="L105" s="12">
        <f>'Madine- Coverage'!K76</f>
        <v/>
      </c>
    </row>
    <row r="106" ht="18" customHeight="1" s="96">
      <c r="A106" s="2" t="inlineStr">
        <is>
          <t>Person A</t>
        </is>
      </c>
      <c r="B106" s="3">
        <f>'Madine- Coverage'!A77</f>
        <v/>
      </c>
      <c r="C106" s="2">
        <f>'Madine- Coverage'!A77</f>
        <v/>
      </c>
      <c r="D106" s="3">
        <f>'Madine- Coverage'!C77</f>
        <v/>
      </c>
      <c r="E106" s="3">
        <f>'Madine- Coverage'!D77</f>
        <v/>
      </c>
      <c r="F106" s="3">
        <f>'Madine- Coverage'!E77</f>
        <v/>
      </c>
      <c r="G106" s="4">
        <f>'Madine- Coverage'!F77</f>
        <v/>
      </c>
      <c r="H106" s="5">
        <f>'Madine- Coverage'!G77</f>
        <v/>
      </c>
      <c r="I106" s="5">
        <f>'Madine- Coverage'!H77</f>
        <v/>
      </c>
      <c r="J106" s="6">
        <f>'Madine- Coverage'!I77</f>
        <v/>
      </c>
      <c r="K106" s="3">
        <f>'Madine- Coverage'!J77</f>
        <v/>
      </c>
      <c r="L106" s="13">
        <f>'Madine- Coverage'!K77</f>
        <v/>
      </c>
    </row>
    <row r="107" ht="18" customHeight="1" s="96">
      <c r="A107" s="93" t="inlineStr">
        <is>
          <t>Person A</t>
        </is>
      </c>
      <c r="B107" s="8">
        <f>'Madine- Coverage'!A78</f>
        <v/>
      </c>
      <c r="C107" s="93">
        <f>'Madine- Coverage'!A78</f>
        <v/>
      </c>
      <c r="D107" s="8">
        <f>'Madine- Coverage'!C78</f>
        <v/>
      </c>
      <c r="E107" s="8">
        <f>'Madine- Coverage'!D78</f>
        <v/>
      </c>
      <c r="F107" s="8">
        <f>'Madine- Coverage'!E78</f>
        <v/>
      </c>
      <c r="G107" s="9">
        <f>'Madine- Coverage'!F78</f>
        <v/>
      </c>
      <c r="H107" s="10">
        <f>'Madine- Coverage'!G78</f>
        <v/>
      </c>
      <c r="I107" s="10">
        <f>'Madine- Coverage'!H78</f>
        <v/>
      </c>
      <c r="J107" s="11">
        <f>'Madine- Coverage'!I78</f>
        <v/>
      </c>
      <c r="K107" s="8">
        <f>'Madine- Coverage'!J78</f>
        <v/>
      </c>
      <c r="L107" s="12">
        <f>'Madine- Coverage'!K78</f>
        <v/>
      </c>
    </row>
    <row r="108" ht="18" customHeight="1" s="96">
      <c r="A108" s="2" t="inlineStr">
        <is>
          <t>Person A</t>
        </is>
      </c>
      <c r="B108" s="3">
        <f>'Madine- Coverage'!A79</f>
        <v/>
      </c>
      <c r="C108" s="2">
        <f>'Madine- Coverage'!A79</f>
        <v/>
      </c>
      <c r="D108" s="3">
        <f>'Madine- Coverage'!C79</f>
        <v/>
      </c>
      <c r="E108" s="3">
        <f>'Madine- Coverage'!D79</f>
        <v/>
      </c>
      <c r="F108" s="3">
        <f>'Madine- Coverage'!E79</f>
        <v/>
      </c>
      <c r="G108" s="4">
        <f>'Madine- Coverage'!F79</f>
        <v/>
      </c>
      <c r="H108" s="5">
        <f>'Madine- Coverage'!G79</f>
        <v/>
      </c>
      <c r="I108" s="5">
        <f>'Madine- Coverage'!H79</f>
        <v/>
      </c>
      <c r="J108" s="6">
        <f>'Madine- Coverage'!I79</f>
        <v/>
      </c>
      <c r="K108" s="3">
        <f>'Madine- Coverage'!J79</f>
        <v/>
      </c>
      <c r="L108" s="13">
        <f>'Madine- Coverage'!K79</f>
        <v/>
      </c>
    </row>
    <row r="109" ht="18" customHeight="1" s="96">
      <c r="A109" s="93" t="inlineStr">
        <is>
          <t>Person A</t>
        </is>
      </c>
      <c r="B109" s="8">
        <f>'Madine- Coverage'!A80</f>
        <v/>
      </c>
      <c r="C109" s="93">
        <f>'Madine- Coverage'!A80</f>
        <v/>
      </c>
      <c r="D109" s="8">
        <f>'Madine- Coverage'!C80</f>
        <v/>
      </c>
      <c r="E109" s="8">
        <f>'Madine- Coverage'!D80</f>
        <v/>
      </c>
      <c r="F109" s="8">
        <f>'Madine- Coverage'!E80</f>
        <v/>
      </c>
      <c r="G109" s="9">
        <f>'Madine- Coverage'!F80</f>
        <v/>
      </c>
      <c r="H109" s="10">
        <f>'Madine- Coverage'!G80</f>
        <v/>
      </c>
      <c r="I109" s="10">
        <f>'Madine- Coverage'!H80</f>
        <v/>
      </c>
      <c r="J109" s="11">
        <f>'Madine- Coverage'!I80</f>
        <v/>
      </c>
      <c r="K109" s="8">
        <f>'Madine- Coverage'!J80</f>
        <v/>
      </c>
      <c r="L109" s="12">
        <f>'Madine- Coverage'!K80</f>
        <v/>
      </c>
    </row>
    <row r="110" ht="18" customHeight="1" s="96">
      <c r="A110" s="2" t="inlineStr">
        <is>
          <t>Person A</t>
        </is>
      </c>
      <c r="B110" s="3">
        <f>'Madine- Coverage'!A81</f>
        <v/>
      </c>
      <c r="C110" s="2">
        <f>'Madine- Coverage'!A81</f>
        <v/>
      </c>
      <c r="D110" s="3">
        <f>'Madine- Coverage'!C81</f>
        <v/>
      </c>
      <c r="E110" s="3">
        <f>'Madine- Coverage'!D81</f>
        <v/>
      </c>
      <c r="F110" s="3">
        <f>'Madine- Coverage'!E81</f>
        <v/>
      </c>
      <c r="G110" s="4">
        <f>'Madine- Coverage'!F81</f>
        <v/>
      </c>
      <c r="H110" s="5">
        <f>'Madine- Coverage'!G81</f>
        <v/>
      </c>
      <c r="I110" s="5">
        <f>'Madine- Coverage'!H81</f>
        <v/>
      </c>
      <c r="J110" s="6">
        <f>'Madine- Coverage'!I81</f>
        <v/>
      </c>
      <c r="K110" s="3">
        <f>'Madine- Coverage'!J81</f>
        <v/>
      </c>
      <c r="L110" s="13">
        <f>'Madine- Coverage'!K81</f>
        <v/>
      </c>
    </row>
    <row r="111" ht="18" customHeight="1" s="96">
      <c r="A111" s="93" t="inlineStr">
        <is>
          <t>Person A</t>
        </is>
      </c>
      <c r="B111" s="8">
        <f>'Madine- Coverage'!A82</f>
        <v/>
      </c>
      <c r="C111" s="93">
        <f>'Madine- Coverage'!A82</f>
        <v/>
      </c>
      <c r="D111" s="8">
        <f>'Madine- Coverage'!C82</f>
        <v/>
      </c>
      <c r="E111" s="8">
        <f>'Madine- Coverage'!D82</f>
        <v/>
      </c>
      <c r="F111" s="8">
        <f>'Madine- Coverage'!E82</f>
        <v/>
      </c>
      <c r="G111" s="9">
        <f>'Madine- Coverage'!F82</f>
        <v/>
      </c>
      <c r="H111" s="10">
        <f>'Madine- Coverage'!G82</f>
        <v/>
      </c>
      <c r="I111" s="10">
        <f>'Madine- Coverage'!H82</f>
        <v/>
      </c>
      <c r="J111" s="11">
        <f>'Madine- Coverage'!I82</f>
        <v/>
      </c>
      <c r="K111" s="8">
        <f>'Madine- Coverage'!J82</f>
        <v/>
      </c>
      <c r="L111" s="12">
        <f>'Madine- Coverage'!K82</f>
        <v/>
      </c>
    </row>
    <row r="112" ht="18" customHeight="1" s="96">
      <c r="A112" s="2" t="inlineStr">
        <is>
          <t>Person A</t>
        </is>
      </c>
      <c r="B112" s="3">
        <f>'Madine- Coverage'!A83</f>
        <v/>
      </c>
      <c r="C112" s="2">
        <f>'Madine- Coverage'!A83</f>
        <v/>
      </c>
      <c r="D112" s="3">
        <f>'Madine- Coverage'!C83</f>
        <v/>
      </c>
      <c r="E112" s="3">
        <f>'Madine- Coverage'!D83</f>
        <v/>
      </c>
      <c r="F112" s="3">
        <f>'Madine- Coverage'!E83</f>
        <v/>
      </c>
      <c r="G112" s="4">
        <f>'Madine- Coverage'!F83</f>
        <v/>
      </c>
      <c r="H112" s="5">
        <f>'Madine- Coverage'!G83</f>
        <v/>
      </c>
      <c r="I112" s="5">
        <f>'Madine- Coverage'!H83</f>
        <v/>
      </c>
      <c r="J112" s="6">
        <f>'Madine- Coverage'!I83</f>
        <v/>
      </c>
      <c r="K112" s="3">
        <f>'Madine- Coverage'!J83</f>
        <v/>
      </c>
      <c r="L112" s="13">
        <f>'Madine- Coverage'!K83</f>
        <v/>
      </c>
    </row>
    <row r="113" ht="18" customHeight="1" s="96">
      <c r="A113" s="93" t="inlineStr">
        <is>
          <t>Person A</t>
        </is>
      </c>
      <c r="B113" s="8">
        <f>'Madine- Coverage'!A84</f>
        <v/>
      </c>
      <c r="C113" s="93">
        <f>'Madine- Coverage'!A84</f>
        <v/>
      </c>
      <c r="D113" s="8">
        <f>'Madine- Coverage'!C84</f>
        <v/>
      </c>
      <c r="E113" s="8">
        <f>'Madine- Coverage'!D84</f>
        <v/>
      </c>
      <c r="F113" s="8">
        <f>'Madine- Coverage'!E84</f>
        <v/>
      </c>
      <c r="G113" s="9">
        <f>'Madine- Coverage'!F84</f>
        <v/>
      </c>
      <c r="H113" s="10">
        <f>'Madine- Coverage'!G84</f>
        <v/>
      </c>
      <c r="I113" s="10">
        <f>'Madine- Coverage'!H84</f>
        <v/>
      </c>
      <c r="J113" s="11">
        <f>'Madine- Coverage'!I84</f>
        <v/>
      </c>
      <c r="K113" s="8">
        <f>'Madine- Coverage'!J84</f>
        <v/>
      </c>
      <c r="L113" s="12">
        <f>'Madine- Coverage'!K84</f>
        <v/>
      </c>
    </row>
    <row r="114" ht="18" customHeight="1" s="96">
      <c r="A114" s="2" t="inlineStr">
        <is>
          <t>Person A</t>
        </is>
      </c>
      <c r="B114" s="3">
        <f>'Madine- Coverage'!A85</f>
        <v/>
      </c>
      <c r="C114" s="2">
        <f>'Madine- Coverage'!A85</f>
        <v/>
      </c>
      <c r="D114" s="3">
        <f>'Madine- Coverage'!C85</f>
        <v/>
      </c>
      <c r="E114" s="3">
        <f>'Madine- Coverage'!D85</f>
        <v/>
      </c>
      <c r="F114" s="3">
        <f>'Madine- Coverage'!E85</f>
        <v/>
      </c>
      <c r="G114" s="4">
        <f>'Madine- Coverage'!F85</f>
        <v/>
      </c>
      <c r="H114" s="5">
        <f>'Madine- Coverage'!G85</f>
        <v/>
      </c>
      <c r="I114" s="5">
        <f>'Madine- Coverage'!H85</f>
        <v/>
      </c>
      <c r="J114" s="6">
        <f>'Madine- Coverage'!I85</f>
        <v/>
      </c>
      <c r="K114" s="3">
        <f>'Madine- Coverage'!J85</f>
        <v/>
      </c>
      <c r="L114" s="13">
        <f>'Madine- Coverage'!K85</f>
        <v/>
      </c>
    </row>
    <row r="115" ht="18" customHeight="1" s="96">
      <c r="A115" s="93" t="inlineStr">
        <is>
          <t>Person A</t>
        </is>
      </c>
      <c r="B115" s="8">
        <f>'Madine- Coverage'!A86</f>
        <v/>
      </c>
      <c r="C115" s="93">
        <f>'Madine- Coverage'!A86</f>
        <v/>
      </c>
      <c r="D115" s="8">
        <f>'Madine- Coverage'!C86</f>
        <v/>
      </c>
      <c r="E115" s="8">
        <f>'Madine- Coverage'!D86</f>
        <v/>
      </c>
      <c r="F115" s="8">
        <f>'Madine- Coverage'!E86</f>
        <v/>
      </c>
      <c r="G115" s="9">
        <f>'Madine- Coverage'!F86</f>
        <v/>
      </c>
      <c r="H115" s="10">
        <f>'Madine- Coverage'!G86</f>
        <v/>
      </c>
      <c r="I115" s="10">
        <f>'Madine- Coverage'!H86</f>
        <v/>
      </c>
      <c r="J115" s="11">
        <f>'Madine- Coverage'!I86</f>
        <v/>
      </c>
      <c r="K115" s="8">
        <f>'Madine- Coverage'!J86</f>
        <v/>
      </c>
      <c r="L115" s="12">
        <f>'Madine- Coverage'!K86</f>
        <v/>
      </c>
    </row>
    <row r="116" ht="18" customHeight="1" s="96">
      <c r="A116" s="2" t="inlineStr">
        <is>
          <t>Person A</t>
        </is>
      </c>
      <c r="B116" s="3">
        <f>'Madine- Coverage'!A87</f>
        <v/>
      </c>
      <c r="C116" s="2">
        <f>'Madine- Coverage'!A87</f>
        <v/>
      </c>
      <c r="D116" s="3">
        <f>'Madine- Coverage'!C87</f>
        <v/>
      </c>
      <c r="E116" s="3">
        <f>'Madine- Coverage'!D87</f>
        <v/>
      </c>
      <c r="F116" s="3">
        <f>'Madine- Coverage'!E87</f>
        <v/>
      </c>
      <c r="G116" s="4">
        <f>'Madine- Coverage'!F87</f>
        <v/>
      </c>
      <c r="H116" s="5">
        <f>'Madine- Coverage'!G87</f>
        <v/>
      </c>
      <c r="I116" s="5">
        <f>'Madine- Coverage'!H87</f>
        <v/>
      </c>
      <c r="J116" s="6">
        <f>'Madine- Coverage'!I87</f>
        <v/>
      </c>
      <c r="K116" s="3">
        <f>'Madine- Coverage'!J87</f>
        <v/>
      </c>
      <c r="L116" s="13">
        <f>'Madine- Coverage'!K87</f>
        <v/>
      </c>
    </row>
    <row r="117" ht="18" customHeight="1" s="96">
      <c r="A117" s="93" t="inlineStr">
        <is>
          <t>Person A</t>
        </is>
      </c>
      <c r="B117" s="8">
        <f>'Madine- Coverage'!A88</f>
        <v/>
      </c>
      <c r="C117" s="93">
        <f>'Madine- Coverage'!A88</f>
        <v/>
      </c>
      <c r="D117" s="8">
        <f>'Madine- Coverage'!C88</f>
        <v/>
      </c>
      <c r="E117" s="8">
        <f>'Madine- Coverage'!D88</f>
        <v/>
      </c>
      <c r="F117" s="8">
        <f>'Madine- Coverage'!E88</f>
        <v/>
      </c>
      <c r="G117" s="9">
        <f>'Madine- Coverage'!F88</f>
        <v/>
      </c>
      <c r="H117" s="10">
        <f>'Madine- Coverage'!G88</f>
        <v/>
      </c>
      <c r="I117" s="10">
        <f>'Madine- Coverage'!H88</f>
        <v/>
      </c>
      <c r="J117" s="11">
        <f>'Madine- Coverage'!I88</f>
        <v/>
      </c>
      <c r="K117" s="8">
        <f>'Madine- Coverage'!J88</f>
        <v/>
      </c>
      <c r="L117" s="12">
        <f>'Madine- Coverage'!K88</f>
        <v/>
      </c>
    </row>
    <row r="118" ht="18" customHeight="1" s="96">
      <c r="A118" s="2" t="inlineStr">
        <is>
          <t>Person A</t>
        </is>
      </c>
      <c r="B118" s="3">
        <f>'Madine- Coverage'!A89</f>
        <v/>
      </c>
      <c r="C118" s="2">
        <f>'Madine- Coverage'!A89</f>
        <v/>
      </c>
      <c r="D118" s="3">
        <f>'Madine- Coverage'!C89</f>
        <v/>
      </c>
      <c r="E118" s="3">
        <f>'Madine- Coverage'!D89</f>
        <v/>
      </c>
      <c r="F118" s="3">
        <f>'Madine- Coverage'!E89</f>
        <v/>
      </c>
      <c r="G118" s="4">
        <f>'Madine- Coverage'!F89</f>
        <v/>
      </c>
      <c r="H118" s="5">
        <f>'Madine- Coverage'!G89</f>
        <v/>
      </c>
      <c r="I118" s="5">
        <f>'Madine- Coverage'!H89</f>
        <v/>
      </c>
      <c r="J118" s="6">
        <f>'Madine- Coverage'!I89</f>
        <v/>
      </c>
      <c r="K118" s="3">
        <f>'Madine- Coverage'!J89</f>
        <v/>
      </c>
      <c r="L118" s="13">
        <f>'Madine- Coverage'!K89</f>
        <v/>
      </c>
    </row>
    <row r="119" ht="18" customHeight="1" s="96">
      <c r="A119" s="93" t="inlineStr">
        <is>
          <t>Person A</t>
        </is>
      </c>
      <c r="B119" s="8">
        <f>'Madine- Coverage'!A90</f>
        <v/>
      </c>
      <c r="C119" s="93">
        <f>'Madine- Coverage'!A90</f>
        <v/>
      </c>
      <c r="D119" s="8">
        <f>'Madine- Coverage'!C90</f>
        <v/>
      </c>
      <c r="E119" s="8">
        <f>'Madine- Coverage'!D90</f>
        <v/>
      </c>
      <c r="F119" s="8">
        <f>'Madine- Coverage'!E90</f>
        <v/>
      </c>
      <c r="G119" s="9">
        <f>'Madine- Coverage'!F90</f>
        <v/>
      </c>
      <c r="H119" s="10">
        <f>'Madine- Coverage'!G90</f>
        <v/>
      </c>
      <c r="I119" s="10">
        <f>'Madine- Coverage'!H90</f>
        <v/>
      </c>
      <c r="J119" s="11">
        <f>'Madine- Coverage'!I90</f>
        <v/>
      </c>
      <c r="K119" s="8">
        <f>'Madine- Coverage'!J90</f>
        <v/>
      </c>
      <c r="L119" s="12">
        <f>'Madine- Coverage'!K90</f>
        <v/>
      </c>
    </row>
    <row r="120" ht="18" customHeight="1" s="96">
      <c r="A120" s="2" t="inlineStr">
        <is>
          <t>Person A</t>
        </is>
      </c>
      <c r="B120" s="3">
        <f>'Madine- Coverage'!A91</f>
        <v/>
      </c>
      <c r="C120" s="2">
        <f>'Madine- Coverage'!A91</f>
        <v/>
      </c>
      <c r="D120" s="3">
        <f>'Madine- Coverage'!C91</f>
        <v/>
      </c>
      <c r="E120" s="3">
        <f>'Madine- Coverage'!D91</f>
        <v/>
      </c>
      <c r="F120" s="3">
        <f>'Madine- Coverage'!E91</f>
        <v/>
      </c>
      <c r="G120" s="4">
        <f>'Madine- Coverage'!F91</f>
        <v/>
      </c>
      <c r="H120" s="5">
        <f>'Madine- Coverage'!G91</f>
        <v/>
      </c>
      <c r="I120" s="5">
        <f>'Madine- Coverage'!H91</f>
        <v/>
      </c>
      <c r="J120" s="6">
        <f>'Madine- Coverage'!I91</f>
        <v/>
      </c>
      <c r="K120" s="3">
        <f>'Madine- Coverage'!J91</f>
        <v/>
      </c>
      <c r="L120" s="13">
        <f>'Madine- Coverage'!K91</f>
        <v/>
      </c>
    </row>
    <row r="121" ht="18" customHeight="1" s="96">
      <c r="A121" s="93" t="inlineStr">
        <is>
          <t>Person A</t>
        </is>
      </c>
      <c r="B121" s="8">
        <f>'Madine- Coverage'!A92</f>
        <v/>
      </c>
      <c r="C121" s="93">
        <f>'Madine- Coverage'!A92</f>
        <v/>
      </c>
      <c r="D121" s="8">
        <f>'Madine- Coverage'!C92</f>
        <v/>
      </c>
      <c r="E121" s="8">
        <f>'Madine- Coverage'!D92</f>
        <v/>
      </c>
      <c r="F121" s="8">
        <f>'Madine- Coverage'!E92</f>
        <v/>
      </c>
      <c r="G121" s="9">
        <f>'Madine- Coverage'!F92</f>
        <v/>
      </c>
      <c r="H121" s="10">
        <f>'Madine- Coverage'!G92</f>
        <v/>
      </c>
      <c r="I121" s="10">
        <f>'Madine- Coverage'!H92</f>
        <v/>
      </c>
      <c r="J121" s="11">
        <f>'Madine- Coverage'!I92</f>
        <v/>
      </c>
      <c r="K121" s="8">
        <f>'Madine- Coverage'!J92</f>
        <v/>
      </c>
      <c r="L121" s="12">
        <f>'Madine- Coverage'!K92</f>
        <v/>
      </c>
    </row>
    <row r="122" ht="18" customHeight="1" s="96">
      <c r="A122" s="2" t="inlineStr">
        <is>
          <t>Person A</t>
        </is>
      </c>
      <c r="B122" s="3">
        <f>'Madine- Coverage'!A93</f>
        <v/>
      </c>
      <c r="C122" s="2">
        <f>'Madine- Coverage'!A93</f>
        <v/>
      </c>
      <c r="D122" s="3">
        <f>'Madine- Coverage'!C93</f>
        <v/>
      </c>
      <c r="E122" s="3">
        <f>'Madine- Coverage'!D93</f>
        <v/>
      </c>
      <c r="F122" s="3">
        <f>'Madine- Coverage'!E93</f>
        <v/>
      </c>
      <c r="G122" s="4">
        <f>'Madine- Coverage'!F93</f>
        <v/>
      </c>
      <c r="H122" s="5">
        <f>'Madine- Coverage'!G93</f>
        <v/>
      </c>
      <c r="I122" s="5">
        <f>'Madine- Coverage'!H93</f>
        <v/>
      </c>
      <c r="J122" s="6">
        <f>'Madine- Coverage'!I93</f>
        <v/>
      </c>
      <c r="K122" s="3">
        <f>'Madine- Coverage'!J93</f>
        <v/>
      </c>
      <c r="L122" s="13">
        <f>'Madine- Coverage'!K93</f>
        <v/>
      </c>
    </row>
    <row r="123" ht="18" customHeight="1" s="96">
      <c r="A123" s="93" t="inlineStr">
        <is>
          <t>Person A</t>
        </is>
      </c>
      <c r="B123" s="8">
        <f>'Madine- Coverage'!A94</f>
        <v/>
      </c>
      <c r="C123" s="93">
        <f>'Madine- Coverage'!A94</f>
        <v/>
      </c>
      <c r="D123" s="8">
        <f>'Madine- Coverage'!C94</f>
        <v/>
      </c>
      <c r="E123" s="8">
        <f>'Madine- Coverage'!D94</f>
        <v/>
      </c>
      <c r="F123" s="8">
        <f>'Madine- Coverage'!E94</f>
        <v/>
      </c>
      <c r="G123" s="9">
        <f>'Madine- Coverage'!F94</f>
        <v/>
      </c>
      <c r="H123" s="10">
        <f>'Madine- Coverage'!G94</f>
        <v/>
      </c>
      <c r="I123" s="10">
        <f>'Madine- Coverage'!H94</f>
        <v/>
      </c>
      <c r="J123" s="11">
        <f>'Madine- Coverage'!I94</f>
        <v/>
      </c>
      <c r="K123" s="8">
        <f>'Madine- Coverage'!J94</f>
        <v/>
      </c>
      <c r="L123" s="12">
        <f>'Madine- Coverage'!K94</f>
        <v/>
      </c>
    </row>
    <row r="124" ht="18" customHeight="1" s="96">
      <c r="A124" s="2" t="inlineStr">
        <is>
          <t>Person A</t>
        </is>
      </c>
      <c r="B124" s="3">
        <f>'Madine- Coverage'!A95</f>
        <v/>
      </c>
      <c r="C124" s="2">
        <f>'Madine- Coverage'!A95</f>
        <v/>
      </c>
      <c r="D124" s="3">
        <f>'Madine- Coverage'!C95</f>
        <v/>
      </c>
      <c r="E124" s="3">
        <f>'Madine- Coverage'!D95</f>
        <v/>
      </c>
      <c r="F124" s="3">
        <f>'Madine- Coverage'!E95</f>
        <v/>
      </c>
      <c r="G124" s="4">
        <f>'Madine- Coverage'!F95</f>
        <v/>
      </c>
      <c r="H124" s="5">
        <f>'Madine- Coverage'!G95</f>
        <v/>
      </c>
      <c r="I124" s="5">
        <f>'Madine- Coverage'!H95</f>
        <v/>
      </c>
      <c r="J124" s="6">
        <f>'Madine- Coverage'!I95</f>
        <v/>
      </c>
      <c r="K124" s="3">
        <f>'Madine- Coverage'!J95</f>
        <v/>
      </c>
      <c r="L124" s="13">
        <f>'Madine- Coverage'!K95</f>
        <v/>
      </c>
    </row>
    <row r="125" ht="18" customHeight="1" s="96">
      <c r="A125" s="93" t="inlineStr">
        <is>
          <t>Person A</t>
        </is>
      </c>
      <c r="B125" s="8">
        <f>'Madine- Coverage'!A96</f>
        <v/>
      </c>
      <c r="C125" s="93">
        <f>'Madine- Coverage'!A96</f>
        <v/>
      </c>
      <c r="D125" s="8">
        <f>'Madine- Coverage'!C96</f>
        <v/>
      </c>
      <c r="E125" s="8">
        <f>'Madine- Coverage'!D96</f>
        <v/>
      </c>
      <c r="F125" s="8">
        <f>'Madine- Coverage'!E96</f>
        <v/>
      </c>
      <c r="G125" s="9">
        <f>'Madine- Coverage'!F96</f>
        <v/>
      </c>
      <c r="H125" s="10">
        <f>'Madine- Coverage'!G96</f>
        <v/>
      </c>
      <c r="I125" s="10">
        <f>'Madine- Coverage'!H96</f>
        <v/>
      </c>
      <c r="J125" s="11">
        <f>'Madine- Coverage'!I96</f>
        <v/>
      </c>
      <c r="K125" s="8">
        <f>'Madine- Coverage'!J96</f>
        <v/>
      </c>
      <c r="L125" s="12">
        <f>'Madine- Coverage'!K96</f>
        <v/>
      </c>
    </row>
    <row r="126" ht="18" customHeight="1" s="96">
      <c r="A126" s="2" t="inlineStr">
        <is>
          <t>Person A</t>
        </is>
      </c>
      <c r="B126" s="3">
        <f>'Madine- Coverage'!A97</f>
        <v/>
      </c>
      <c r="C126" s="2">
        <f>'Madine- Coverage'!A97</f>
        <v/>
      </c>
      <c r="D126" s="3">
        <f>'Madine- Coverage'!C97</f>
        <v/>
      </c>
      <c r="E126" s="3">
        <f>'Madine- Coverage'!D97</f>
        <v/>
      </c>
      <c r="F126" s="3">
        <f>'Madine- Coverage'!E97</f>
        <v/>
      </c>
      <c r="G126" s="4">
        <f>'Madine- Coverage'!F97</f>
        <v/>
      </c>
      <c r="H126" s="5">
        <f>'Madine- Coverage'!G97</f>
        <v/>
      </c>
      <c r="I126" s="5">
        <f>'Madine- Coverage'!H97</f>
        <v/>
      </c>
      <c r="J126" s="6">
        <f>'Madine- Coverage'!I97</f>
        <v/>
      </c>
      <c r="K126" s="3">
        <f>'Madine- Coverage'!J97</f>
        <v/>
      </c>
      <c r="L126" s="13">
        <f>'Madine- Coverage'!K97</f>
        <v/>
      </c>
    </row>
    <row r="127" ht="18" customHeight="1" s="96">
      <c r="A127" s="93" t="inlineStr">
        <is>
          <t>Person A</t>
        </is>
      </c>
      <c r="B127" s="8">
        <f>'Madine- Coverage'!A98</f>
        <v/>
      </c>
      <c r="C127" s="93">
        <f>'Madine- Coverage'!A98</f>
        <v/>
      </c>
      <c r="D127" s="8">
        <f>'Madine- Coverage'!C98</f>
        <v/>
      </c>
      <c r="E127" s="8">
        <f>'Madine- Coverage'!D98</f>
        <v/>
      </c>
      <c r="F127" s="8">
        <f>'Madine- Coverage'!E98</f>
        <v/>
      </c>
      <c r="G127" s="9">
        <f>'Madine- Coverage'!F98</f>
        <v/>
      </c>
      <c r="H127" s="10">
        <f>'Madine- Coverage'!G98</f>
        <v/>
      </c>
      <c r="I127" s="10">
        <f>'Madine- Coverage'!H98</f>
        <v/>
      </c>
      <c r="J127" s="11">
        <f>'Madine- Coverage'!I98</f>
        <v/>
      </c>
      <c r="K127" s="8">
        <f>'Madine- Coverage'!J98</f>
        <v/>
      </c>
      <c r="L127" s="12">
        <f>'Madine- Coverage'!K98</f>
        <v/>
      </c>
    </row>
    <row r="128" ht="18" customHeight="1" s="96">
      <c r="A128" s="2" t="inlineStr">
        <is>
          <t>Person A</t>
        </is>
      </c>
      <c r="B128" s="3">
        <f>'Madine- Coverage'!A99</f>
        <v/>
      </c>
      <c r="C128" s="2">
        <f>'Madine- Coverage'!A99</f>
        <v/>
      </c>
      <c r="D128" s="3">
        <f>'Madine- Coverage'!C99</f>
        <v/>
      </c>
      <c r="E128" s="3">
        <f>'Madine- Coverage'!D99</f>
        <v/>
      </c>
      <c r="F128" s="3">
        <f>'Madine- Coverage'!E99</f>
        <v/>
      </c>
      <c r="G128" s="4">
        <f>'Madine- Coverage'!F99</f>
        <v/>
      </c>
      <c r="H128" s="5">
        <f>'Madine- Coverage'!G99</f>
        <v/>
      </c>
      <c r="I128" s="5">
        <f>'Madine- Coverage'!H99</f>
        <v/>
      </c>
      <c r="J128" s="6">
        <f>'Madine- Coverage'!I99</f>
        <v/>
      </c>
      <c r="K128" s="3">
        <f>'Madine- Coverage'!J99</f>
        <v/>
      </c>
      <c r="L128" s="13">
        <f>'Madine- Coverage'!K99</f>
        <v/>
      </c>
    </row>
    <row r="129" ht="18" customHeight="1" s="96">
      <c r="A129" s="93" t="inlineStr">
        <is>
          <t>Person A</t>
        </is>
      </c>
      <c r="B129" s="8">
        <f>'Madine- Coverage'!A100</f>
        <v/>
      </c>
      <c r="C129" s="93">
        <f>'Madine- Coverage'!A100</f>
        <v/>
      </c>
      <c r="D129" s="8">
        <f>'Madine- Coverage'!C100</f>
        <v/>
      </c>
      <c r="E129" s="8">
        <f>'Madine- Coverage'!D100</f>
        <v/>
      </c>
      <c r="F129" s="8">
        <f>'Madine- Coverage'!E100</f>
        <v/>
      </c>
      <c r="G129" s="9">
        <f>'Madine- Coverage'!F100</f>
        <v/>
      </c>
      <c r="H129" s="10">
        <f>'Madine- Coverage'!G100</f>
        <v/>
      </c>
      <c r="I129" s="10">
        <f>'Madine- Coverage'!H100</f>
        <v/>
      </c>
      <c r="J129" s="11">
        <f>'Madine- Coverage'!I100</f>
        <v/>
      </c>
      <c r="K129" s="8">
        <f>'Madine- Coverage'!J100</f>
        <v/>
      </c>
      <c r="L129" s="12">
        <f>'Madine- Coverage'!K100</f>
        <v/>
      </c>
    </row>
    <row r="130" ht="18" customHeight="1" s="96">
      <c r="A130" s="2" t="inlineStr">
        <is>
          <t>Person A</t>
        </is>
      </c>
      <c r="B130" s="3">
        <f>'Madine- Coverage'!A101</f>
        <v/>
      </c>
      <c r="C130" s="2">
        <f>'Madine- Coverage'!A101</f>
        <v/>
      </c>
      <c r="D130" s="3">
        <f>'Madine- Coverage'!C101</f>
        <v/>
      </c>
      <c r="E130" s="3">
        <f>'Madine- Coverage'!D101</f>
        <v/>
      </c>
      <c r="F130" s="3">
        <f>'Madine- Coverage'!E101</f>
        <v/>
      </c>
      <c r="G130" s="4">
        <f>'Madine- Coverage'!F101</f>
        <v/>
      </c>
      <c r="H130" s="5">
        <f>'Madine- Coverage'!G101</f>
        <v/>
      </c>
      <c r="I130" s="5">
        <f>'Madine- Coverage'!H101</f>
        <v/>
      </c>
      <c r="J130" s="6">
        <f>'Madine- Coverage'!I101</f>
        <v/>
      </c>
      <c r="K130" s="3">
        <f>'Madine- Coverage'!J101</f>
        <v/>
      </c>
      <c r="L130" s="13">
        <f>'Madine- Coverage'!K101</f>
        <v/>
      </c>
    </row>
    <row r="131" ht="18" customHeight="1" s="96">
      <c r="A131" s="93" t="inlineStr">
        <is>
          <t>Person A</t>
        </is>
      </c>
      <c r="B131" s="8">
        <f>'Madine- Coverage'!A102</f>
        <v/>
      </c>
      <c r="C131" s="93">
        <f>'Madine- Coverage'!A102</f>
        <v/>
      </c>
      <c r="D131" s="8">
        <f>'Madine- Coverage'!C102</f>
        <v/>
      </c>
      <c r="E131" s="8">
        <f>'Madine- Coverage'!D102</f>
        <v/>
      </c>
      <c r="F131" s="8">
        <f>'Madine- Coverage'!E102</f>
        <v/>
      </c>
      <c r="G131" s="9">
        <f>'Madine- Coverage'!F102</f>
        <v/>
      </c>
      <c r="H131" s="10">
        <f>'Madine- Coverage'!G102</f>
        <v/>
      </c>
      <c r="I131" s="10">
        <f>'Madine- Coverage'!H102</f>
        <v/>
      </c>
      <c r="J131" s="11">
        <f>'Madine- Coverage'!I102</f>
        <v/>
      </c>
      <c r="K131" s="8">
        <f>'Madine- Coverage'!J102</f>
        <v/>
      </c>
      <c r="L131" s="12">
        <f>'Madine- Coverage'!K102</f>
        <v/>
      </c>
    </row>
    <row r="132" ht="18" customHeight="1" s="96">
      <c r="A132" s="2" t="inlineStr">
        <is>
          <t>Person A</t>
        </is>
      </c>
      <c r="B132" s="3">
        <f>'Madine- Coverage'!A103</f>
        <v/>
      </c>
      <c r="C132" s="2">
        <f>'Madine- Coverage'!A103</f>
        <v/>
      </c>
      <c r="D132" s="3">
        <f>'Madine- Coverage'!C103</f>
        <v/>
      </c>
      <c r="E132" s="3">
        <f>'Madine- Coverage'!D103</f>
        <v/>
      </c>
      <c r="F132" s="3">
        <f>'Madine- Coverage'!E103</f>
        <v/>
      </c>
      <c r="G132" s="4">
        <f>'Madine- Coverage'!F103</f>
        <v/>
      </c>
      <c r="H132" s="5">
        <f>'Madine- Coverage'!G103</f>
        <v/>
      </c>
      <c r="I132" s="5">
        <f>'Madine- Coverage'!H103</f>
        <v/>
      </c>
      <c r="J132" s="6">
        <f>'Madine- Coverage'!I103</f>
        <v/>
      </c>
      <c r="K132" s="3">
        <f>'Madine- Coverage'!J103</f>
        <v/>
      </c>
      <c r="L132" s="13">
        <f>'Madine- Coverage'!K103</f>
        <v/>
      </c>
    </row>
    <row r="133" ht="18" customHeight="1" s="96">
      <c r="A133" s="93" t="inlineStr">
        <is>
          <t>Person A</t>
        </is>
      </c>
      <c r="B133" s="8">
        <f>'Madine- Coverage'!A104</f>
        <v/>
      </c>
      <c r="C133" s="93">
        <f>'Madine- Coverage'!A104</f>
        <v/>
      </c>
      <c r="D133" s="8">
        <f>'Madine- Coverage'!C104</f>
        <v/>
      </c>
      <c r="E133" s="8">
        <f>'Madine- Coverage'!D104</f>
        <v/>
      </c>
      <c r="F133" s="8">
        <f>'Madine- Coverage'!E104</f>
        <v/>
      </c>
      <c r="G133" s="9">
        <f>'Madine- Coverage'!F104</f>
        <v/>
      </c>
      <c r="H133" s="10">
        <f>'Madine- Coverage'!G104</f>
        <v/>
      </c>
      <c r="I133" s="10">
        <f>'Madine- Coverage'!H104</f>
        <v/>
      </c>
      <c r="J133" s="11">
        <f>'Madine- Coverage'!I104</f>
        <v/>
      </c>
      <c r="K133" s="8">
        <f>'Madine- Coverage'!J104</f>
        <v/>
      </c>
      <c r="L133" s="12">
        <f>'Madine- Coverage'!K104</f>
        <v/>
      </c>
    </row>
    <row r="134" ht="18" customHeight="1" s="96">
      <c r="A134" s="2" t="inlineStr">
        <is>
          <t>Person A</t>
        </is>
      </c>
      <c r="B134" s="3">
        <f>'Madine- Coverage'!A105</f>
        <v/>
      </c>
      <c r="C134" s="2">
        <f>'Madine- Coverage'!A105</f>
        <v/>
      </c>
      <c r="D134" s="3">
        <f>'Madine- Coverage'!C105</f>
        <v/>
      </c>
      <c r="E134" s="3">
        <f>'Madine- Coverage'!D105</f>
        <v/>
      </c>
      <c r="F134" s="3">
        <f>'Madine- Coverage'!E105</f>
        <v/>
      </c>
      <c r="G134" s="4">
        <f>'Madine- Coverage'!F105</f>
        <v/>
      </c>
      <c r="H134" s="5">
        <f>'Madine- Coverage'!G105</f>
        <v/>
      </c>
      <c r="I134" s="5">
        <f>'Madine- Coverage'!H105</f>
        <v/>
      </c>
      <c r="J134" s="6">
        <f>'Madine- Coverage'!I105</f>
        <v/>
      </c>
      <c r="K134" s="3">
        <f>'Madine- Coverage'!J105</f>
        <v/>
      </c>
      <c r="L134" s="13">
        <f>'Madine- Coverage'!K105</f>
        <v/>
      </c>
    </row>
    <row r="135" ht="18" customHeight="1" s="96">
      <c r="A135" s="93" t="inlineStr">
        <is>
          <t>Person A</t>
        </is>
      </c>
      <c r="B135" s="8">
        <f>'Madine- Coverage'!A106</f>
        <v/>
      </c>
      <c r="C135" s="93">
        <f>'Madine- Coverage'!A106</f>
        <v/>
      </c>
      <c r="D135" s="8">
        <f>'Madine- Coverage'!C106</f>
        <v/>
      </c>
      <c r="E135" s="8">
        <f>'Madine- Coverage'!D106</f>
        <v/>
      </c>
      <c r="F135" s="8">
        <f>'Madine- Coverage'!E106</f>
        <v/>
      </c>
      <c r="G135" s="9">
        <f>'Madine- Coverage'!F106</f>
        <v/>
      </c>
      <c r="H135" s="10">
        <f>'Madine- Coverage'!G106</f>
        <v/>
      </c>
      <c r="I135" s="10">
        <f>'Madine- Coverage'!H106</f>
        <v/>
      </c>
      <c r="J135" s="11">
        <f>'Madine- Coverage'!I106</f>
        <v/>
      </c>
      <c r="K135" s="8">
        <f>'Madine- Coverage'!J106</f>
        <v/>
      </c>
      <c r="L135" s="12">
        <f>'Madine- Coverage'!K106</f>
        <v/>
      </c>
    </row>
    <row r="136" ht="18" customHeight="1" s="96">
      <c r="A136" s="2" t="inlineStr">
        <is>
          <t>Person A</t>
        </is>
      </c>
      <c r="B136" s="3">
        <f>'Madine- Coverage'!A107</f>
        <v/>
      </c>
      <c r="C136" s="2">
        <f>'Madine- Coverage'!A107</f>
        <v/>
      </c>
      <c r="D136" s="3">
        <f>'Madine- Coverage'!C107</f>
        <v/>
      </c>
      <c r="E136" s="3">
        <f>'Madine- Coverage'!D107</f>
        <v/>
      </c>
      <c r="F136" s="3">
        <f>'Madine- Coverage'!E107</f>
        <v/>
      </c>
      <c r="G136" s="4">
        <f>'Madine- Coverage'!F107</f>
        <v/>
      </c>
      <c r="H136" s="5">
        <f>'Madine- Coverage'!G107</f>
        <v/>
      </c>
      <c r="I136" s="5">
        <f>'Madine- Coverage'!H107</f>
        <v/>
      </c>
      <c r="J136" s="6">
        <f>'Madine- Coverage'!I107</f>
        <v/>
      </c>
      <c r="K136" s="3">
        <f>'Madine- Coverage'!J107</f>
        <v/>
      </c>
      <c r="L136" s="13">
        <f>'Madine- Coverage'!K107</f>
        <v/>
      </c>
    </row>
    <row r="137" ht="18" customHeight="1" s="96">
      <c r="A137" s="93" t="inlineStr">
        <is>
          <t>Person A</t>
        </is>
      </c>
      <c r="B137" s="8">
        <f>'Madine- Coverage'!A108</f>
        <v/>
      </c>
      <c r="C137" s="93">
        <f>'Madine- Coverage'!A108</f>
        <v/>
      </c>
      <c r="D137" s="8">
        <f>'Madine- Coverage'!C108</f>
        <v/>
      </c>
      <c r="E137" s="8">
        <f>'Madine- Coverage'!D108</f>
        <v/>
      </c>
      <c r="F137" s="8">
        <f>'Madine- Coverage'!E108</f>
        <v/>
      </c>
      <c r="G137" s="9">
        <f>'Madine- Coverage'!F108</f>
        <v/>
      </c>
      <c r="H137" s="10">
        <f>'Madine- Coverage'!G108</f>
        <v/>
      </c>
      <c r="I137" s="10">
        <f>'Madine- Coverage'!H108</f>
        <v/>
      </c>
      <c r="J137" s="11">
        <f>'Madine- Coverage'!I108</f>
        <v/>
      </c>
      <c r="K137" s="8">
        <f>'Madine- Coverage'!J108</f>
        <v/>
      </c>
      <c r="L137" s="12">
        <f>'Madine- Coverage'!K108</f>
        <v/>
      </c>
    </row>
    <row r="138" ht="18" customHeight="1" s="96">
      <c r="A138" s="2" t="inlineStr">
        <is>
          <t>Person A</t>
        </is>
      </c>
      <c r="B138" s="3">
        <f>'Madine- Coverage'!A109</f>
        <v/>
      </c>
      <c r="C138" s="2">
        <f>'Madine- Coverage'!A109</f>
        <v/>
      </c>
      <c r="D138" s="3">
        <f>'Madine- Coverage'!C109</f>
        <v/>
      </c>
      <c r="E138" s="3">
        <f>'Madine- Coverage'!D109</f>
        <v/>
      </c>
      <c r="F138" s="3">
        <f>'Madine- Coverage'!E109</f>
        <v/>
      </c>
      <c r="G138" s="4">
        <f>'Madine- Coverage'!F109</f>
        <v/>
      </c>
      <c r="H138" s="5">
        <f>'Madine- Coverage'!G109</f>
        <v/>
      </c>
      <c r="I138" s="5">
        <f>'Madine- Coverage'!H109</f>
        <v/>
      </c>
      <c r="J138" s="6">
        <f>'Madine- Coverage'!I109</f>
        <v/>
      </c>
      <c r="K138" s="3">
        <f>'Madine- Coverage'!J109</f>
        <v/>
      </c>
      <c r="L138" s="13">
        <f>'Madine- Coverage'!K109</f>
        <v/>
      </c>
    </row>
    <row r="139" ht="18" customHeight="1" s="96">
      <c r="A139" s="93" t="inlineStr">
        <is>
          <t>Person A</t>
        </is>
      </c>
      <c r="B139" s="8">
        <f>'Madine- Coverage'!A110</f>
        <v/>
      </c>
      <c r="C139" s="93">
        <f>'Madine- Coverage'!A110</f>
        <v/>
      </c>
      <c r="D139" s="8">
        <f>'Madine- Coverage'!C110</f>
        <v/>
      </c>
      <c r="E139" s="8">
        <f>'Madine- Coverage'!D110</f>
        <v/>
      </c>
      <c r="F139" s="8">
        <f>'Madine- Coverage'!E110</f>
        <v/>
      </c>
      <c r="G139" s="9">
        <f>'Madine- Coverage'!F110</f>
        <v/>
      </c>
      <c r="H139" s="10">
        <f>'Madine- Coverage'!G110</f>
        <v/>
      </c>
      <c r="I139" s="10">
        <f>'Madine- Coverage'!H110</f>
        <v/>
      </c>
      <c r="J139" s="11">
        <f>'Madine- Coverage'!I110</f>
        <v/>
      </c>
      <c r="K139" s="8">
        <f>'Madine- Coverage'!J110</f>
        <v/>
      </c>
      <c r="L139" s="12">
        <f>'Madine- Coverage'!K110</f>
        <v/>
      </c>
    </row>
    <row r="140" ht="18" customHeight="1" s="96">
      <c r="A140" s="2" t="inlineStr">
        <is>
          <t>Person A</t>
        </is>
      </c>
      <c r="B140" s="3">
        <f>'Madine- Coverage'!A111</f>
        <v/>
      </c>
      <c r="C140" s="2">
        <f>'Madine- Coverage'!A111</f>
        <v/>
      </c>
      <c r="D140" s="3">
        <f>'Madine- Coverage'!C111</f>
        <v/>
      </c>
      <c r="E140" s="3">
        <f>'Madine- Coverage'!D111</f>
        <v/>
      </c>
      <c r="F140" s="3">
        <f>'Madine- Coverage'!E111</f>
        <v/>
      </c>
      <c r="G140" s="4">
        <f>'Madine- Coverage'!F111</f>
        <v/>
      </c>
      <c r="H140" s="5">
        <f>'Madine- Coverage'!G111</f>
        <v/>
      </c>
      <c r="I140" s="5">
        <f>'Madine- Coverage'!H111</f>
        <v/>
      </c>
      <c r="J140" s="6">
        <f>'Madine- Coverage'!I111</f>
        <v/>
      </c>
      <c r="K140" s="3">
        <f>'Madine- Coverage'!J111</f>
        <v/>
      </c>
      <c r="L140" s="13">
        <f>'Madine- Coverage'!K111</f>
        <v/>
      </c>
    </row>
    <row r="141" ht="18" customHeight="1" s="96">
      <c r="A141" s="93" t="inlineStr">
        <is>
          <t>Person A</t>
        </is>
      </c>
      <c r="B141" s="8">
        <f>'Madine- Coverage'!A112</f>
        <v/>
      </c>
      <c r="C141" s="93">
        <f>'Madine- Coverage'!A112</f>
        <v/>
      </c>
      <c r="D141" s="8">
        <f>'Madine- Coverage'!C112</f>
        <v/>
      </c>
      <c r="E141" s="8">
        <f>'Madine- Coverage'!D112</f>
        <v/>
      </c>
      <c r="F141" s="8">
        <f>'Madine- Coverage'!E112</f>
        <v/>
      </c>
      <c r="G141" s="9">
        <f>'Madine- Coverage'!F112</f>
        <v/>
      </c>
      <c r="H141" s="10">
        <f>'Madine- Coverage'!G112</f>
        <v/>
      </c>
      <c r="I141" s="10">
        <f>'Madine- Coverage'!H112</f>
        <v/>
      </c>
      <c r="J141" s="11">
        <f>'Madine- Coverage'!I112</f>
        <v/>
      </c>
      <c r="K141" s="8">
        <f>'Madine- Coverage'!J112</f>
        <v/>
      </c>
      <c r="L141" s="12">
        <f>'Madine- Coverage'!K112</f>
        <v/>
      </c>
    </row>
    <row r="142" ht="18" customHeight="1" s="96">
      <c r="A142" s="2" t="inlineStr">
        <is>
          <t>Person A</t>
        </is>
      </c>
      <c r="B142" s="3">
        <f>'Madine- Coverage'!A113</f>
        <v/>
      </c>
      <c r="C142" s="2">
        <f>'Madine- Coverage'!A113</f>
        <v/>
      </c>
      <c r="D142" s="3">
        <f>'Madine- Coverage'!C113</f>
        <v/>
      </c>
      <c r="E142" s="3">
        <f>'Madine- Coverage'!D113</f>
        <v/>
      </c>
      <c r="F142" s="3">
        <f>'Madine- Coverage'!E113</f>
        <v/>
      </c>
      <c r="G142" s="4">
        <f>'Madine- Coverage'!F113</f>
        <v/>
      </c>
      <c r="H142" s="5">
        <f>'Madine- Coverage'!G113</f>
        <v/>
      </c>
      <c r="I142" s="5">
        <f>'Madine- Coverage'!H113</f>
        <v/>
      </c>
      <c r="J142" s="6">
        <f>'Madine- Coverage'!I113</f>
        <v/>
      </c>
      <c r="K142" s="3">
        <f>'Madine- Coverage'!J113</f>
        <v/>
      </c>
      <c r="L142" s="13">
        <f>'Madine- Coverage'!K113</f>
        <v/>
      </c>
    </row>
    <row r="143" ht="18" customHeight="1" s="96">
      <c r="A143" s="93" t="inlineStr">
        <is>
          <t>Person A</t>
        </is>
      </c>
      <c r="B143" s="8">
        <f>'Madine- Coverage'!A114</f>
        <v/>
      </c>
      <c r="C143" s="93">
        <f>'Madine- Coverage'!A114</f>
        <v/>
      </c>
      <c r="D143" s="8">
        <f>'Madine- Coverage'!C114</f>
        <v/>
      </c>
      <c r="E143" s="8">
        <f>'Madine- Coverage'!D114</f>
        <v/>
      </c>
      <c r="F143" s="8">
        <f>'Madine- Coverage'!E114</f>
        <v/>
      </c>
      <c r="G143" s="9">
        <f>'Madine- Coverage'!F114</f>
        <v/>
      </c>
      <c r="H143" s="10">
        <f>'Madine- Coverage'!G114</f>
        <v/>
      </c>
      <c r="I143" s="10">
        <f>'Madine- Coverage'!H114</f>
        <v/>
      </c>
      <c r="J143" s="11">
        <f>'Madine- Coverage'!I114</f>
        <v/>
      </c>
      <c r="K143" s="8">
        <f>'Madine- Coverage'!J114</f>
        <v/>
      </c>
      <c r="L143" s="12">
        <f>'Madine- Coverage'!K114</f>
        <v/>
      </c>
    </row>
    <row r="144" ht="18" customHeight="1" s="96">
      <c r="A144" s="2" t="inlineStr">
        <is>
          <t>Person A</t>
        </is>
      </c>
      <c r="B144" s="3">
        <f>'Madine- Coverage'!A115</f>
        <v/>
      </c>
      <c r="C144" s="2">
        <f>'Madine- Coverage'!A115</f>
        <v/>
      </c>
      <c r="D144" s="3">
        <f>'Madine- Coverage'!C115</f>
        <v/>
      </c>
      <c r="E144" s="3">
        <f>'Madine- Coverage'!D115</f>
        <v/>
      </c>
      <c r="F144" s="3">
        <f>'Madine- Coverage'!E115</f>
        <v/>
      </c>
      <c r="G144" s="4">
        <f>'Madine- Coverage'!F115</f>
        <v/>
      </c>
      <c r="H144" s="5">
        <f>'Madine- Coverage'!G115</f>
        <v/>
      </c>
      <c r="I144" s="5">
        <f>'Madine- Coverage'!H115</f>
        <v/>
      </c>
      <c r="J144" s="6">
        <f>'Madine- Coverage'!I115</f>
        <v/>
      </c>
      <c r="K144" s="3">
        <f>'Madine- Coverage'!J115</f>
        <v/>
      </c>
      <c r="L144" s="13">
        <f>'Madine- Coverage'!K115</f>
        <v/>
      </c>
    </row>
    <row r="145" ht="18" customHeight="1" s="96">
      <c r="A145" s="93" t="inlineStr">
        <is>
          <t>Person A</t>
        </is>
      </c>
      <c r="B145" s="8">
        <f>'Madine- Coverage'!A116</f>
        <v/>
      </c>
      <c r="C145" s="93">
        <f>'Madine- Coverage'!A116</f>
        <v/>
      </c>
      <c r="D145" s="8">
        <f>'Madine- Coverage'!C116</f>
        <v/>
      </c>
      <c r="E145" s="8">
        <f>'Madine- Coverage'!D116</f>
        <v/>
      </c>
      <c r="F145" s="8">
        <f>'Madine- Coverage'!E116</f>
        <v/>
      </c>
      <c r="G145" s="9">
        <f>'Madine- Coverage'!F116</f>
        <v/>
      </c>
      <c r="H145" s="10">
        <f>'Madine- Coverage'!G116</f>
        <v/>
      </c>
      <c r="I145" s="10">
        <f>'Madine- Coverage'!H116</f>
        <v/>
      </c>
      <c r="J145" s="11">
        <f>'Madine- Coverage'!I116</f>
        <v/>
      </c>
      <c r="K145" s="8">
        <f>'Madine- Coverage'!J116</f>
        <v/>
      </c>
      <c r="L145" s="12">
        <f>'Madine- Coverage'!K116</f>
        <v/>
      </c>
    </row>
    <row r="146" ht="18" customHeight="1" s="96">
      <c r="A146" s="2" t="inlineStr">
        <is>
          <t>Person A</t>
        </is>
      </c>
      <c r="B146" s="3">
        <f>'Madine- Coverage'!A117</f>
        <v/>
      </c>
      <c r="C146" s="2">
        <f>'Madine- Coverage'!A117</f>
        <v/>
      </c>
      <c r="D146" s="3">
        <f>'Madine- Coverage'!C117</f>
        <v/>
      </c>
      <c r="E146" s="3">
        <f>'Madine- Coverage'!D117</f>
        <v/>
      </c>
      <c r="F146" s="3">
        <f>'Madine- Coverage'!E117</f>
        <v/>
      </c>
      <c r="G146" s="4">
        <f>'Madine- Coverage'!F117</f>
        <v/>
      </c>
      <c r="H146" s="5">
        <f>'Madine- Coverage'!G117</f>
        <v/>
      </c>
      <c r="I146" s="5">
        <f>'Madine- Coverage'!H117</f>
        <v/>
      </c>
      <c r="J146" s="6">
        <f>'Madine- Coverage'!I117</f>
        <v/>
      </c>
      <c r="K146" s="3">
        <f>'Madine- Coverage'!J117</f>
        <v/>
      </c>
      <c r="L146" s="13">
        <f>'Madine- Coverage'!K117</f>
        <v/>
      </c>
    </row>
    <row r="147" ht="18" customHeight="1" s="96">
      <c r="A147" s="93" t="inlineStr">
        <is>
          <t>Person A</t>
        </is>
      </c>
      <c r="B147" s="8">
        <f>'Madine- Coverage'!A118</f>
        <v/>
      </c>
      <c r="C147" s="93">
        <f>'Madine- Coverage'!A118</f>
        <v/>
      </c>
      <c r="D147" s="8">
        <f>'Madine- Coverage'!C118</f>
        <v/>
      </c>
      <c r="E147" s="8">
        <f>'Madine- Coverage'!D118</f>
        <v/>
      </c>
      <c r="F147" s="8">
        <f>'Madine- Coverage'!E118</f>
        <v/>
      </c>
      <c r="G147" s="9">
        <f>'Madine- Coverage'!F118</f>
        <v/>
      </c>
      <c r="H147" s="10">
        <f>'Madine- Coverage'!G118</f>
        <v/>
      </c>
      <c r="I147" s="10">
        <f>'Madine- Coverage'!H118</f>
        <v/>
      </c>
      <c r="J147" s="11">
        <f>'Madine- Coverage'!I118</f>
        <v/>
      </c>
      <c r="K147" s="8">
        <f>'Madine- Coverage'!J118</f>
        <v/>
      </c>
      <c r="L147" s="12">
        <f>'Madine- Coverage'!K118</f>
        <v/>
      </c>
    </row>
    <row r="148" ht="18" customHeight="1" s="96">
      <c r="A148" s="2" t="inlineStr">
        <is>
          <t>Person A</t>
        </is>
      </c>
      <c r="B148" s="3">
        <f>'Madine- Coverage'!A119</f>
        <v/>
      </c>
      <c r="C148" s="2">
        <f>'Madine- Coverage'!A119</f>
        <v/>
      </c>
      <c r="D148" s="3">
        <f>'Madine- Coverage'!C119</f>
        <v/>
      </c>
      <c r="E148" s="3">
        <f>'Madine- Coverage'!D119</f>
        <v/>
      </c>
      <c r="F148" s="3">
        <f>'Madine- Coverage'!E119</f>
        <v/>
      </c>
      <c r="G148" s="4">
        <f>'Madine- Coverage'!F119</f>
        <v/>
      </c>
      <c r="H148" s="5">
        <f>'Madine- Coverage'!G119</f>
        <v/>
      </c>
      <c r="I148" s="5">
        <f>'Madine- Coverage'!H119</f>
        <v/>
      </c>
      <c r="J148" s="6">
        <f>'Madine- Coverage'!I119</f>
        <v/>
      </c>
      <c r="K148" s="3">
        <f>'Madine- Coverage'!J119</f>
        <v/>
      </c>
      <c r="L148" s="13">
        <f>'Madine- Coverage'!K119</f>
        <v/>
      </c>
    </row>
    <row r="149" ht="18" customHeight="1" s="96">
      <c r="A149" s="93" t="inlineStr">
        <is>
          <t>Person A</t>
        </is>
      </c>
      <c r="B149" s="8">
        <f>'Madine- Coverage'!A120</f>
        <v/>
      </c>
      <c r="C149" s="93">
        <f>'Madine- Coverage'!A120</f>
        <v/>
      </c>
      <c r="D149" s="8">
        <f>'Madine- Coverage'!C120</f>
        <v/>
      </c>
      <c r="E149" s="8">
        <f>'Madine- Coverage'!D120</f>
        <v/>
      </c>
      <c r="F149" s="8">
        <f>'Madine- Coverage'!E120</f>
        <v/>
      </c>
      <c r="G149" s="9">
        <f>'Madine- Coverage'!F120</f>
        <v/>
      </c>
      <c r="H149" s="10">
        <f>'Madine- Coverage'!G120</f>
        <v/>
      </c>
      <c r="I149" s="10">
        <f>'Madine- Coverage'!H120</f>
        <v/>
      </c>
      <c r="J149" s="11">
        <f>'Madine- Coverage'!I120</f>
        <v/>
      </c>
      <c r="K149" s="8">
        <f>'Madine- Coverage'!J120</f>
        <v/>
      </c>
      <c r="L149" s="12">
        <f>'Madine- Coverage'!K120</f>
        <v/>
      </c>
    </row>
    <row r="150" ht="18" customHeight="1" s="96">
      <c r="A150" s="2" t="inlineStr">
        <is>
          <t>Person A</t>
        </is>
      </c>
      <c r="B150" s="3">
        <f>'Madine- Coverage'!A121</f>
        <v/>
      </c>
      <c r="C150" s="2">
        <f>'Madine- Coverage'!A121</f>
        <v/>
      </c>
      <c r="D150" s="3">
        <f>'Madine- Coverage'!C121</f>
        <v/>
      </c>
      <c r="E150" s="3">
        <f>'Madine- Coverage'!D121</f>
        <v/>
      </c>
      <c r="F150" s="3">
        <f>'Madine- Coverage'!E121</f>
        <v/>
      </c>
      <c r="G150" s="4">
        <f>'Madine- Coverage'!F121</f>
        <v/>
      </c>
      <c r="H150" s="5">
        <f>'Madine- Coverage'!G121</f>
        <v/>
      </c>
      <c r="I150" s="5">
        <f>'Madine- Coverage'!H121</f>
        <v/>
      </c>
      <c r="J150" s="6">
        <f>'Madine- Coverage'!I121</f>
        <v/>
      </c>
      <c r="K150" s="3">
        <f>'Madine- Coverage'!J121</f>
        <v/>
      </c>
      <c r="L150" s="13">
        <f>'Madine- Coverage'!K121</f>
        <v/>
      </c>
    </row>
    <row r="151" ht="18" customHeight="1" s="96">
      <c r="A151" s="93" t="inlineStr">
        <is>
          <t>Person A</t>
        </is>
      </c>
      <c r="B151" s="8">
        <f>'Madine- Coverage'!A122</f>
        <v/>
      </c>
      <c r="C151" s="93">
        <f>'Madine- Coverage'!A122</f>
        <v/>
      </c>
      <c r="D151" s="8">
        <f>'Madine- Coverage'!C122</f>
        <v/>
      </c>
      <c r="E151" s="8">
        <f>'Madine- Coverage'!D122</f>
        <v/>
      </c>
      <c r="F151" s="8">
        <f>'Madine- Coverage'!E122</f>
        <v/>
      </c>
      <c r="G151" s="9">
        <f>'Madine- Coverage'!F122</f>
        <v/>
      </c>
      <c r="H151" s="10">
        <f>'Madine- Coverage'!G122</f>
        <v/>
      </c>
      <c r="I151" s="10">
        <f>'Madine- Coverage'!H122</f>
        <v/>
      </c>
      <c r="J151" s="11">
        <f>'Madine- Coverage'!I122</f>
        <v/>
      </c>
      <c r="K151" s="8">
        <f>'Madine- Coverage'!J122</f>
        <v/>
      </c>
      <c r="L151" s="12">
        <f>'Madine- Coverage'!K122</f>
        <v/>
      </c>
    </row>
    <row r="152" ht="18" customHeight="1" s="96">
      <c r="A152" s="2" t="inlineStr">
        <is>
          <t>Person A</t>
        </is>
      </c>
      <c r="B152" s="3">
        <f>'Madine- Coverage'!A123</f>
        <v/>
      </c>
      <c r="C152" s="2">
        <f>'Madine- Coverage'!A123</f>
        <v/>
      </c>
      <c r="D152" s="3">
        <f>'Madine- Coverage'!C123</f>
        <v/>
      </c>
      <c r="E152" s="3">
        <f>'Madine- Coverage'!D123</f>
        <v/>
      </c>
      <c r="F152" s="3">
        <f>'Madine- Coverage'!E123</f>
        <v/>
      </c>
      <c r="G152" s="4">
        <f>'Madine- Coverage'!F123</f>
        <v/>
      </c>
      <c r="H152" s="5">
        <f>'Madine- Coverage'!G123</f>
        <v/>
      </c>
      <c r="I152" s="5">
        <f>'Madine- Coverage'!H123</f>
        <v/>
      </c>
      <c r="J152" s="6">
        <f>'Madine- Coverage'!I123</f>
        <v/>
      </c>
      <c r="K152" s="3">
        <f>'Madine- Coverage'!J123</f>
        <v/>
      </c>
      <c r="L152" s="13">
        <f>'Madine- Coverage'!K123</f>
        <v/>
      </c>
    </row>
    <row r="153" ht="18" customHeight="1" s="96">
      <c r="A153" s="93" t="inlineStr">
        <is>
          <t>Person A</t>
        </is>
      </c>
      <c r="B153" s="8">
        <f>'Madine- Coverage'!A124</f>
        <v/>
      </c>
      <c r="C153" s="93">
        <f>'Madine- Coverage'!A124</f>
        <v/>
      </c>
      <c r="D153" s="8">
        <f>'Madine- Coverage'!C124</f>
        <v/>
      </c>
      <c r="E153" s="8">
        <f>'Madine- Coverage'!D124</f>
        <v/>
      </c>
      <c r="F153" s="8">
        <f>'Madine- Coverage'!E124</f>
        <v/>
      </c>
      <c r="G153" s="9">
        <f>'Madine- Coverage'!F124</f>
        <v/>
      </c>
      <c r="H153" s="10">
        <f>'Madine- Coverage'!G124</f>
        <v/>
      </c>
      <c r="I153" s="10">
        <f>'Madine- Coverage'!H124</f>
        <v/>
      </c>
      <c r="J153" s="11">
        <f>'Madine- Coverage'!I124</f>
        <v/>
      </c>
      <c r="K153" s="8">
        <f>'Madine- Coverage'!J124</f>
        <v/>
      </c>
      <c r="L153" s="12">
        <f>'Madine- Coverage'!K124</f>
        <v/>
      </c>
    </row>
    <row r="154" ht="18" customHeight="1" s="96">
      <c r="A154" s="2" t="inlineStr">
        <is>
          <t>Person A</t>
        </is>
      </c>
      <c r="B154" s="3">
        <f>'Madine- Coverage'!A125</f>
        <v/>
      </c>
      <c r="C154" s="2">
        <f>'Madine- Coverage'!A125</f>
        <v/>
      </c>
      <c r="D154" s="3">
        <f>'Madine- Coverage'!C125</f>
        <v/>
      </c>
      <c r="E154" s="3">
        <f>'Madine- Coverage'!D125</f>
        <v/>
      </c>
      <c r="F154" s="3">
        <f>'Madine- Coverage'!E125</f>
        <v/>
      </c>
      <c r="G154" s="4">
        <f>'Madine- Coverage'!F125</f>
        <v/>
      </c>
      <c r="H154" s="5">
        <f>'Madine- Coverage'!G125</f>
        <v/>
      </c>
      <c r="I154" s="5">
        <f>'Madine- Coverage'!H125</f>
        <v/>
      </c>
      <c r="J154" s="6">
        <f>'Madine- Coverage'!I125</f>
        <v/>
      </c>
      <c r="K154" s="3">
        <f>'Madine- Coverage'!J125</f>
        <v/>
      </c>
      <c r="L154" s="13">
        <f>'Madine- Coverage'!K125</f>
        <v/>
      </c>
    </row>
    <row r="155" ht="18" customHeight="1" s="96">
      <c r="A155" s="93" t="inlineStr">
        <is>
          <t>Person A</t>
        </is>
      </c>
      <c r="B155" s="8">
        <f>'Madine- Coverage'!A126</f>
        <v/>
      </c>
      <c r="C155" s="93">
        <f>'Madine- Coverage'!A126</f>
        <v/>
      </c>
      <c r="D155" s="8">
        <f>'Madine- Coverage'!C126</f>
        <v/>
      </c>
      <c r="E155" s="8">
        <f>'Madine- Coverage'!D126</f>
        <v/>
      </c>
      <c r="F155" s="8">
        <f>'Madine- Coverage'!E126</f>
        <v/>
      </c>
      <c r="G155" s="9">
        <f>'Madine- Coverage'!F126</f>
        <v/>
      </c>
      <c r="H155" s="10">
        <f>'Madine- Coverage'!G126</f>
        <v/>
      </c>
      <c r="I155" s="10">
        <f>'Madine- Coverage'!H126</f>
        <v/>
      </c>
      <c r="J155" s="11">
        <f>'Madine- Coverage'!I126</f>
        <v/>
      </c>
      <c r="K155" s="8">
        <f>'Madine- Coverage'!J126</f>
        <v/>
      </c>
      <c r="L155" s="12">
        <f>'Madine- Coverage'!K126</f>
        <v/>
      </c>
    </row>
    <row r="156" ht="18" customHeight="1" s="96">
      <c r="A156" s="2" t="inlineStr">
        <is>
          <t>Person A</t>
        </is>
      </c>
      <c r="B156" s="3">
        <f>'Madine- Coverage'!A127</f>
        <v/>
      </c>
      <c r="C156" s="2">
        <f>'Madine- Coverage'!A127</f>
        <v/>
      </c>
      <c r="D156" s="3">
        <f>'Madine- Coverage'!C127</f>
        <v/>
      </c>
      <c r="E156" s="3">
        <f>'Madine- Coverage'!D127</f>
        <v/>
      </c>
      <c r="F156" s="3">
        <f>'Madine- Coverage'!E127</f>
        <v/>
      </c>
      <c r="G156" s="4">
        <f>'Madine- Coverage'!F127</f>
        <v/>
      </c>
      <c r="H156" s="5">
        <f>'Madine- Coverage'!G127</f>
        <v/>
      </c>
      <c r="I156" s="5">
        <f>'Madine- Coverage'!H127</f>
        <v/>
      </c>
      <c r="J156" s="6">
        <f>'Madine- Coverage'!I127</f>
        <v/>
      </c>
      <c r="K156" s="3">
        <f>'Madine- Coverage'!J127</f>
        <v/>
      </c>
      <c r="L156" s="13">
        <f>'Madine- Coverage'!K127</f>
        <v/>
      </c>
    </row>
    <row r="157" ht="18" customHeight="1" s="96">
      <c r="A157" s="93" t="inlineStr">
        <is>
          <t>Person A</t>
        </is>
      </c>
      <c r="B157" s="8">
        <f>'Madine- Coverage'!A128</f>
        <v/>
      </c>
      <c r="C157" s="93">
        <f>'Madine- Coverage'!A128</f>
        <v/>
      </c>
      <c r="D157" s="8">
        <f>'Madine- Coverage'!C128</f>
        <v/>
      </c>
      <c r="E157" s="8">
        <f>'Madine- Coverage'!D128</f>
        <v/>
      </c>
      <c r="F157" s="8">
        <f>'Madine- Coverage'!E128</f>
        <v/>
      </c>
      <c r="G157" s="9">
        <f>'Madine- Coverage'!F128</f>
        <v/>
      </c>
      <c r="H157" s="10">
        <f>'Madine- Coverage'!G128</f>
        <v/>
      </c>
      <c r="I157" s="10">
        <f>'Madine- Coverage'!H128</f>
        <v/>
      </c>
      <c r="J157" s="11">
        <f>'Madine- Coverage'!I128</f>
        <v/>
      </c>
      <c r="K157" s="8">
        <f>'Madine- Coverage'!J128</f>
        <v/>
      </c>
      <c r="L157" s="12">
        <f>'Madine- Coverage'!K128</f>
        <v/>
      </c>
    </row>
    <row r="158" ht="18" customHeight="1" s="96">
      <c r="A158" s="2" t="inlineStr">
        <is>
          <t>Person A</t>
        </is>
      </c>
      <c r="B158" s="3">
        <f>'Madine- Coverage'!A129</f>
        <v/>
      </c>
      <c r="C158" s="2">
        <f>'Madine- Coverage'!A129</f>
        <v/>
      </c>
      <c r="D158" s="3">
        <f>'Madine- Coverage'!C129</f>
        <v/>
      </c>
      <c r="E158" s="3">
        <f>'Madine- Coverage'!D129</f>
        <v/>
      </c>
      <c r="F158" s="3">
        <f>'Madine- Coverage'!E129</f>
        <v/>
      </c>
      <c r="G158" s="4">
        <f>'Madine- Coverage'!F129</f>
        <v/>
      </c>
      <c r="H158" s="5">
        <f>'Madine- Coverage'!G129</f>
        <v/>
      </c>
      <c r="I158" s="5">
        <f>'Madine- Coverage'!H129</f>
        <v/>
      </c>
      <c r="J158" s="6">
        <f>'Madine- Coverage'!I129</f>
        <v/>
      </c>
      <c r="K158" s="3">
        <f>'Madine- Coverage'!J129</f>
        <v/>
      </c>
      <c r="L158" s="13">
        <f>'Madine- Coverage'!K129</f>
        <v/>
      </c>
    </row>
    <row r="159" ht="18" customHeight="1" s="96">
      <c r="A159" s="93" t="inlineStr">
        <is>
          <t>Person A</t>
        </is>
      </c>
      <c r="B159" s="8">
        <f>'Madine- Coverage'!A130</f>
        <v/>
      </c>
      <c r="C159" s="93">
        <f>'Madine- Coverage'!A130</f>
        <v/>
      </c>
      <c r="D159" s="8">
        <f>'Madine- Coverage'!C130</f>
        <v/>
      </c>
      <c r="E159" s="8">
        <f>'Madine- Coverage'!D130</f>
        <v/>
      </c>
      <c r="F159" s="8">
        <f>'Madine- Coverage'!E130</f>
        <v/>
      </c>
      <c r="G159" s="9">
        <f>'Madine- Coverage'!F130</f>
        <v/>
      </c>
      <c r="H159" s="10">
        <f>'Madine- Coverage'!G130</f>
        <v/>
      </c>
      <c r="I159" s="10">
        <f>'Madine- Coverage'!H130</f>
        <v/>
      </c>
      <c r="J159" s="11">
        <f>'Madine- Coverage'!I130</f>
        <v/>
      </c>
      <c r="K159" s="8">
        <f>'Madine- Coverage'!J130</f>
        <v/>
      </c>
      <c r="L159" s="12">
        <f>'Madine- Coverage'!K130</f>
        <v/>
      </c>
    </row>
    <row r="160" ht="18" customHeight="1" s="96">
      <c r="A160" s="2" t="inlineStr">
        <is>
          <t>Person A</t>
        </is>
      </c>
      <c r="B160" s="3">
        <f>'Madine- Coverage'!A131</f>
        <v/>
      </c>
      <c r="C160" s="2">
        <f>'Madine- Coverage'!A131</f>
        <v/>
      </c>
      <c r="D160" s="3">
        <f>'Madine- Coverage'!C131</f>
        <v/>
      </c>
      <c r="E160" s="3">
        <f>'Madine- Coverage'!D131</f>
        <v/>
      </c>
      <c r="F160" s="3">
        <f>'Madine- Coverage'!E131</f>
        <v/>
      </c>
      <c r="G160" s="4">
        <f>'Madine- Coverage'!F131</f>
        <v/>
      </c>
      <c r="H160" s="5">
        <f>'Madine- Coverage'!G131</f>
        <v/>
      </c>
      <c r="I160" s="5">
        <f>'Madine- Coverage'!H131</f>
        <v/>
      </c>
      <c r="J160" s="6">
        <f>'Madine- Coverage'!I131</f>
        <v/>
      </c>
      <c r="K160" s="3">
        <f>'Madine- Coverage'!J131</f>
        <v/>
      </c>
      <c r="L160" s="13">
        <f>'Madine- Coverage'!K131</f>
        <v/>
      </c>
    </row>
    <row r="161" ht="18" customHeight="1" s="96">
      <c r="A161" s="93" t="inlineStr">
        <is>
          <t>Person A</t>
        </is>
      </c>
      <c r="B161" s="8">
        <f>'Madine- Coverage'!A132</f>
        <v/>
      </c>
      <c r="C161" s="93">
        <f>'Madine- Coverage'!A132</f>
        <v/>
      </c>
      <c r="D161" s="8">
        <f>'Madine- Coverage'!C132</f>
        <v/>
      </c>
      <c r="E161" s="8">
        <f>'Madine- Coverage'!D132</f>
        <v/>
      </c>
      <c r="F161" s="8">
        <f>'Madine- Coverage'!E132</f>
        <v/>
      </c>
      <c r="G161" s="9">
        <f>'Madine- Coverage'!F132</f>
        <v/>
      </c>
      <c r="H161" s="10">
        <f>'Madine- Coverage'!G132</f>
        <v/>
      </c>
      <c r="I161" s="10">
        <f>'Madine- Coverage'!H132</f>
        <v/>
      </c>
      <c r="J161" s="11">
        <f>'Madine- Coverage'!I132</f>
        <v/>
      </c>
      <c r="K161" s="8">
        <f>'Madine- Coverage'!J132</f>
        <v/>
      </c>
      <c r="L161" s="12">
        <f>'Madine- Coverage'!K132</f>
        <v/>
      </c>
    </row>
    <row r="162" ht="18" customHeight="1" s="96">
      <c r="A162" s="2" t="inlineStr">
        <is>
          <t>Person A</t>
        </is>
      </c>
      <c r="B162" s="3">
        <f>'Madine- Coverage'!A133</f>
        <v/>
      </c>
      <c r="C162" s="2">
        <f>'Madine- Coverage'!A133</f>
        <v/>
      </c>
      <c r="D162" s="3">
        <f>'Madine- Coverage'!C133</f>
        <v/>
      </c>
      <c r="E162" s="3">
        <f>'Madine- Coverage'!D133</f>
        <v/>
      </c>
      <c r="F162" s="3">
        <f>'Madine- Coverage'!E133</f>
        <v/>
      </c>
      <c r="G162" s="4">
        <f>'Madine- Coverage'!F133</f>
        <v/>
      </c>
      <c r="H162" s="5">
        <f>'Madine- Coverage'!G133</f>
        <v/>
      </c>
      <c r="I162" s="5">
        <f>'Madine- Coverage'!H133</f>
        <v/>
      </c>
      <c r="J162" s="6">
        <f>'Madine- Coverage'!I133</f>
        <v/>
      </c>
      <c r="K162" s="3">
        <f>'Madine- Coverage'!J133</f>
        <v/>
      </c>
      <c r="L162" s="13">
        <f>'Madine- Coverage'!K133</f>
        <v/>
      </c>
    </row>
    <row r="163" ht="18" customHeight="1" s="96">
      <c r="A163" s="93" t="inlineStr">
        <is>
          <t>Person A</t>
        </is>
      </c>
      <c r="B163" s="8">
        <f>'Madine- Coverage'!A134</f>
        <v/>
      </c>
      <c r="C163" s="93">
        <f>'Madine- Coverage'!A134</f>
        <v/>
      </c>
      <c r="D163" s="8">
        <f>'Madine- Coverage'!C134</f>
        <v/>
      </c>
      <c r="E163" s="8">
        <f>'Madine- Coverage'!D134</f>
        <v/>
      </c>
      <c r="F163" s="8">
        <f>'Madine- Coverage'!E134</f>
        <v/>
      </c>
      <c r="G163" s="9">
        <f>'Madine- Coverage'!F134</f>
        <v/>
      </c>
      <c r="H163" s="10">
        <f>'Madine- Coverage'!G134</f>
        <v/>
      </c>
      <c r="I163" s="10">
        <f>'Madine- Coverage'!H134</f>
        <v/>
      </c>
      <c r="J163" s="11">
        <f>'Madine- Coverage'!I134</f>
        <v/>
      </c>
      <c r="K163" s="8">
        <f>'Madine- Coverage'!J134</f>
        <v/>
      </c>
      <c r="L163" s="12">
        <f>'Madine- Coverage'!K134</f>
        <v/>
      </c>
    </row>
    <row r="164" ht="18" customHeight="1" s="96">
      <c r="A164" s="2" t="inlineStr">
        <is>
          <t>Person A</t>
        </is>
      </c>
      <c r="B164" s="3">
        <f>'Madine- Coverage'!A135</f>
        <v/>
      </c>
      <c r="C164" s="2">
        <f>'Madine- Coverage'!A135</f>
        <v/>
      </c>
      <c r="D164" s="3">
        <f>'Madine- Coverage'!C135</f>
        <v/>
      </c>
      <c r="E164" s="3">
        <f>'Madine- Coverage'!D135</f>
        <v/>
      </c>
      <c r="F164" s="3">
        <f>'Madine- Coverage'!E135</f>
        <v/>
      </c>
      <c r="G164" s="4">
        <f>'Madine- Coverage'!F135</f>
        <v/>
      </c>
      <c r="H164" s="5">
        <f>'Madine- Coverage'!G135</f>
        <v/>
      </c>
      <c r="I164" s="5">
        <f>'Madine- Coverage'!H135</f>
        <v/>
      </c>
      <c r="J164" s="6">
        <f>'Madine- Coverage'!I135</f>
        <v/>
      </c>
      <c r="K164" s="3">
        <f>'Madine- Coverage'!J135</f>
        <v/>
      </c>
      <c r="L164" s="13">
        <f>'Madine- Coverage'!K135</f>
        <v/>
      </c>
    </row>
    <row r="165" ht="18" customHeight="1" s="96">
      <c r="A165" s="93" t="inlineStr">
        <is>
          <t>Person A</t>
        </is>
      </c>
      <c r="B165" s="8">
        <f>'Madine- Coverage'!A136</f>
        <v/>
      </c>
      <c r="C165" s="93">
        <f>'Madine- Coverage'!A136</f>
        <v/>
      </c>
      <c r="D165" s="8">
        <f>'Madine- Coverage'!C136</f>
        <v/>
      </c>
      <c r="E165" s="8">
        <f>'Madine- Coverage'!D136</f>
        <v/>
      </c>
      <c r="F165" s="8">
        <f>'Madine- Coverage'!E136</f>
        <v/>
      </c>
      <c r="G165" s="9">
        <f>'Madine- Coverage'!F136</f>
        <v/>
      </c>
      <c r="H165" s="10">
        <f>'Madine- Coverage'!G136</f>
        <v/>
      </c>
      <c r="I165" s="10">
        <f>'Madine- Coverage'!H136</f>
        <v/>
      </c>
      <c r="J165" s="11">
        <f>'Madine- Coverage'!I136</f>
        <v/>
      </c>
      <c r="K165" s="8">
        <f>'Madine- Coverage'!J136</f>
        <v/>
      </c>
      <c r="L165" s="12">
        <f>'Madine- Coverage'!K136</f>
        <v/>
      </c>
    </row>
    <row r="166" ht="18" customHeight="1" s="96">
      <c r="A166" s="2" t="inlineStr">
        <is>
          <t>Person A</t>
        </is>
      </c>
      <c r="B166" s="3">
        <f>'Madine- Coverage'!A137</f>
        <v/>
      </c>
      <c r="C166" s="2">
        <f>'Madine- Coverage'!A137</f>
        <v/>
      </c>
      <c r="D166" s="3">
        <f>'Madine- Coverage'!C137</f>
        <v/>
      </c>
      <c r="E166" s="3">
        <f>'Madine- Coverage'!D137</f>
        <v/>
      </c>
      <c r="F166" s="3">
        <f>'Madine- Coverage'!E137</f>
        <v/>
      </c>
      <c r="G166" s="4">
        <f>'Madine- Coverage'!F137</f>
        <v/>
      </c>
      <c r="H166" s="5">
        <f>'Madine- Coverage'!G137</f>
        <v/>
      </c>
      <c r="I166" s="5">
        <f>'Madine- Coverage'!H137</f>
        <v/>
      </c>
      <c r="J166" s="6">
        <f>'Madine- Coverage'!I137</f>
        <v/>
      </c>
      <c r="K166" s="3">
        <f>'Madine- Coverage'!J137</f>
        <v/>
      </c>
      <c r="L166" s="13">
        <f>'Madine- Coverage'!K137</f>
        <v/>
      </c>
    </row>
    <row r="167" ht="18" customHeight="1" s="96">
      <c r="A167" s="93" t="inlineStr">
        <is>
          <t>Person A</t>
        </is>
      </c>
      <c r="B167" s="8">
        <f>'Madine- Coverage'!A138</f>
        <v/>
      </c>
      <c r="C167" s="93">
        <f>'Madine- Coverage'!A138</f>
        <v/>
      </c>
      <c r="D167" s="8">
        <f>'Madine- Coverage'!C138</f>
        <v/>
      </c>
      <c r="E167" s="8">
        <f>'Madine- Coverage'!D138</f>
        <v/>
      </c>
      <c r="F167" s="8">
        <f>'Madine- Coverage'!E138</f>
        <v/>
      </c>
      <c r="G167" s="9">
        <f>'Madine- Coverage'!F138</f>
        <v/>
      </c>
      <c r="H167" s="10">
        <f>'Madine- Coverage'!G138</f>
        <v/>
      </c>
      <c r="I167" s="10">
        <f>'Madine- Coverage'!H138</f>
        <v/>
      </c>
      <c r="J167" s="11">
        <f>'Madine- Coverage'!I138</f>
        <v/>
      </c>
      <c r="K167" s="8">
        <f>'Madine- Coverage'!J138</f>
        <v/>
      </c>
      <c r="L167" s="12">
        <f>'Madine- Coverage'!K138</f>
        <v/>
      </c>
    </row>
    <row r="168" ht="18" customHeight="1" s="96">
      <c r="A168" s="2" t="inlineStr">
        <is>
          <t>Person A</t>
        </is>
      </c>
      <c r="B168" s="3">
        <f>'Madine- Coverage'!A139</f>
        <v/>
      </c>
      <c r="C168" s="2">
        <f>'Madine- Coverage'!A139</f>
        <v/>
      </c>
      <c r="D168" s="3">
        <f>'Madine- Coverage'!C139</f>
        <v/>
      </c>
      <c r="E168" s="3">
        <f>'Madine- Coverage'!D139</f>
        <v/>
      </c>
      <c r="F168" s="3">
        <f>'Madine- Coverage'!E139</f>
        <v/>
      </c>
      <c r="G168" s="4">
        <f>'Madine- Coverage'!F139</f>
        <v/>
      </c>
      <c r="H168" s="5">
        <f>'Madine- Coverage'!G139</f>
        <v/>
      </c>
      <c r="I168" s="5">
        <f>'Madine- Coverage'!H139</f>
        <v/>
      </c>
      <c r="J168" s="6">
        <f>'Madine- Coverage'!I139</f>
        <v/>
      </c>
      <c r="K168" s="3">
        <f>'Madine- Coverage'!J139</f>
        <v/>
      </c>
      <c r="L168" s="13">
        <f>'Madine- Coverage'!K139</f>
        <v/>
      </c>
    </row>
    <row r="169" ht="18" customHeight="1" s="96">
      <c r="A169" s="93" t="inlineStr">
        <is>
          <t>Person A</t>
        </is>
      </c>
      <c r="B169" s="8">
        <f>'Madine- Coverage'!A140</f>
        <v/>
      </c>
      <c r="C169" s="93">
        <f>'Madine- Coverage'!A140</f>
        <v/>
      </c>
      <c r="D169" s="8">
        <f>'Madine- Coverage'!C140</f>
        <v/>
      </c>
      <c r="E169" s="8">
        <f>'Madine- Coverage'!D140</f>
        <v/>
      </c>
      <c r="F169" s="8">
        <f>'Madine- Coverage'!E140</f>
        <v/>
      </c>
      <c r="G169" s="9">
        <f>'Madine- Coverage'!F140</f>
        <v/>
      </c>
      <c r="H169" s="10">
        <f>'Madine- Coverage'!G140</f>
        <v/>
      </c>
      <c r="I169" s="10">
        <f>'Madine- Coverage'!H140</f>
        <v/>
      </c>
      <c r="J169" s="11">
        <f>'Madine- Coverage'!I140</f>
        <v/>
      </c>
      <c r="K169" s="8">
        <f>'Madine- Coverage'!J140</f>
        <v/>
      </c>
      <c r="L169" s="12">
        <f>'Madine- Coverage'!K140</f>
        <v/>
      </c>
    </row>
    <row r="170" ht="18" customHeight="1" s="96">
      <c r="A170" s="2" t="inlineStr">
        <is>
          <t>Person A</t>
        </is>
      </c>
      <c r="B170" s="3">
        <f>'Madine- Coverage'!A141</f>
        <v/>
      </c>
      <c r="C170" s="2">
        <f>'Madine- Coverage'!A141</f>
        <v/>
      </c>
      <c r="D170" s="3">
        <f>'Madine- Coverage'!C141</f>
        <v/>
      </c>
      <c r="E170" s="3">
        <f>'Madine- Coverage'!D141</f>
        <v/>
      </c>
      <c r="F170" s="3">
        <f>'Madine- Coverage'!E141</f>
        <v/>
      </c>
      <c r="G170" s="4">
        <f>'Madine- Coverage'!F141</f>
        <v/>
      </c>
      <c r="H170" s="5">
        <f>'Madine- Coverage'!G141</f>
        <v/>
      </c>
      <c r="I170" s="5">
        <f>'Madine- Coverage'!H141</f>
        <v/>
      </c>
      <c r="J170" s="6">
        <f>'Madine- Coverage'!I141</f>
        <v/>
      </c>
      <c r="K170" s="3">
        <f>'Madine- Coverage'!J141</f>
        <v/>
      </c>
      <c r="L170" s="13">
        <f>'Madine- Coverage'!K141</f>
        <v/>
      </c>
    </row>
    <row r="171" ht="18" customHeight="1" s="96">
      <c r="A171" s="93" t="inlineStr">
        <is>
          <t>Person A</t>
        </is>
      </c>
      <c r="B171" s="8">
        <f>'Madine- Coverage'!A142</f>
        <v/>
      </c>
      <c r="C171" s="93">
        <f>'Madine- Coverage'!A142</f>
        <v/>
      </c>
      <c r="D171" s="8">
        <f>'Madine- Coverage'!C142</f>
        <v/>
      </c>
      <c r="E171" s="8">
        <f>'Madine- Coverage'!D142</f>
        <v/>
      </c>
      <c r="F171" s="8">
        <f>'Madine- Coverage'!E142</f>
        <v/>
      </c>
      <c r="G171" s="9">
        <f>'Madine- Coverage'!F142</f>
        <v/>
      </c>
      <c r="H171" s="10">
        <f>'Madine- Coverage'!G142</f>
        <v/>
      </c>
      <c r="I171" s="10">
        <f>'Madine- Coverage'!H142</f>
        <v/>
      </c>
      <c r="J171" s="11">
        <f>'Madine- Coverage'!I142</f>
        <v/>
      </c>
      <c r="K171" s="8">
        <f>'Madine- Coverage'!J142</f>
        <v/>
      </c>
      <c r="L171" s="12">
        <f>'Madine- Coverage'!K142</f>
        <v/>
      </c>
    </row>
    <row r="172" ht="18" customHeight="1" s="96">
      <c r="A172" s="2" t="inlineStr">
        <is>
          <t>Person A</t>
        </is>
      </c>
      <c r="B172" s="3">
        <f>'Madine- Coverage'!A143</f>
        <v/>
      </c>
      <c r="C172" s="2">
        <f>'Madine- Coverage'!A143</f>
        <v/>
      </c>
      <c r="D172" s="3">
        <f>'Madine- Coverage'!C143</f>
        <v/>
      </c>
      <c r="E172" s="3">
        <f>'Madine- Coverage'!D143</f>
        <v/>
      </c>
      <c r="F172" s="3">
        <f>'Madine- Coverage'!E143</f>
        <v/>
      </c>
      <c r="G172" s="4">
        <f>'Madine- Coverage'!F143</f>
        <v/>
      </c>
      <c r="H172" s="5">
        <f>'Madine- Coverage'!G143</f>
        <v/>
      </c>
      <c r="I172" s="5">
        <f>'Madine- Coverage'!H143</f>
        <v/>
      </c>
      <c r="J172" s="6">
        <f>'Madine- Coverage'!I143</f>
        <v/>
      </c>
      <c r="K172" s="3">
        <f>'Madine- Coverage'!J143</f>
        <v/>
      </c>
      <c r="L172" s="13">
        <f>'Madine- Coverage'!K143</f>
        <v/>
      </c>
    </row>
    <row r="173" ht="18" customHeight="1" s="96">
      <c r="A173" s="93" t="inlineStr">
        <is>
          <t>Person A</t>
        </is>
      </c>
      <c r="B173" s="8">
        <f>'Madine- Coverage'!A144</f>
        <v/>
      </c>
      <c r="C173" s="93">
        <f>'Madine- Coverage'!A144</f>
        <v/>
      </c>
      <c r="D173" s="8">
        <f>'Madine- Coverage'!C144</f>
        <v/>
      </c>
      <c r="E173" s="8">
        <f>'Madine- Coverage'!D144</f>
        <v/>
      </c>
      <c r="F173" s="8">
        <f>'Madine- Coverage'!E144</f>
        <v/>
      </c>
      <c r="G173" s="9">
        <f>'Madine- Coverage'!F144</f>
        <v/>
      </c>
      <c r="H173" s="10">
        <f>'Madine- Coverage'!G144</f>
        <v/>
      </c>
      <c r="I173" s="10">
        <f>'Madine- Coverage'!H144</f>
        <v/>
      </c>
      <c r="J173" s="11">
        <f>'Madine- Coverage'!I144</f>
        <v/>
      </c>
      <c r="K173" s="8">
        <f>'Madine- Coverage'!J144</f>
        <v/>
      </c>
      <c r="L173" s="12">
        <f>'Madine- Coverage'!K144</f>
        <v/>
      </c>
    </row>
    <row r="174" ht="18" customHeight="1" s="96">
      <c r="A174" s="2" t="inlineStr">
        <is>
          <t>Person A</t>
        </is>
      </c>
      <c r="B174" s="3">
        <f>'Madine- Coverage'!A145</f>
        <v/>
      </c>
      <c r="C174" s="2">
        <f>'Madine- Coverage'!A145</f>
        <v/>
      </c>
      <c r="D174" s="3">
        <f>'Madine- Coverage'!C145</f>
        <v/>
      </c>
      <c r="E174" s="3">
        <f>'Madine- Coverage'!D145</f>
        <v/>
      </c>
      <c r="F174" s="3">
        <f>'Madine- Coverage'!E145</f>
        <v/>
      </c>
      <c r="G174" s="4">
        <f>'Madine- Coverage'!F145</f>
        <v/>
      </c>
      <c r="H174" s="5">
        <f>'Madine- Coverage'!G145</f>
        <v/>
      </c>
      <c r="I174" s="5">
        <f>'Madine- Coverage'!H145</f>
        <v/>
      </c>
      <c r="J174" s="6">
        <f>'Madine- Coverage'!I145</f>
        <v/>
      </c>
      <c r="K174" s="3">
        <f>'Madine- Coverage'!J145</f>
        <v/>
      </c>
      <c r="L174" s="13">
        <f>'Madine- Coverage'!K145</f>
        <v/>
      </c>
    </row>
    <row r="175" ht="18" customHeight="1" s="96">
      <c r="A175" s="93" t="inlineStr">
        <is>
          <t>Person A</t>
        </is>
      </c>
      <c r="B175" s="8">
        <f>'Madine- Coverage'!A146</f>
        <v/>
      </c>
      <c r="C175" s="93">
        <f>'Madine- Coverage'!A146</f>
        <v/>
      </c>
      <c r="D175" s="8">
        <f>'Madine- Coverage'!C146</f>
        <v/>
      </c>
      <c r="E175" s="8">
        <f>'Madine- Coverage'!D146</f>
        <v/>
      </c>
      <c r="F175" s="8">
        <f>'Madine- Coverage'!E146</f>
        <v/>
      </c>
      <c r="G175" s="9">
        <f>'Madine- Coverage'!F146</f>
        <v/>
      </c>
      <c r="H175" s="10">
        <f>'Madine- Coverage'!G146</f>
        <v/>
      </c>
      <c r="I175" s="10">
        <f>'Madine- Coverage'!H146</f>
        <v/>
      </c>
      <c r="J175" s="11">
        <f>'Madine- Coverage'!I146</f>
        <v/>
      </c>
      <c r="K175" s="8">
        <f>'Madine- Coverage'!J146</f>
        <v/>
      </c>
      <c r="L175" s="12">
        <f>'Madine- Coverage'!K146</f>
        <v/>
      </c>
    </row>
    <row r="176" ht="18" customHeight="1" s="96">
      <c r="A176" s="2" t="inlineStr">
        <is>
          <t>Person A</t>
        </is>
      </c>
      <c r="B176" s="3">
        <f>'Madine- Coverage'!A147</f>
        <v/>
      </c>
      <c r="C176" s="2">
        <f>'Madine- Coverage'!A147</f>
        <v/>
      </c>
      <c r="D176" s="3">
        <f>'Madine- Coverage'!C147</f>
        <v/>
      </c>
      <c r="E176" s="3">
        <f>'Madine- Coverage'!D147</f>
        <v/>
      </c>
      <c r="F176" s="3">
        <f>'Madine- Coverage'!E147</f>
        <v/>
      </c>
      <c r="G176" s="4">
        <f>'Madine- Coverage'!F147</f>
        <v/>
      </c>
      <c r="H176" s="5">
        <f>'Madine- Coverage'!G147</f>
        <v/>
      </c>
      <c r="I176" s="5">
        <f>'Madine- Coverage'!H147</f>
        <v/>
      </c>
      <c r="J176" s="6">
        <f>'Madine- Coverage'!I147</f>
        <v/>
      </c>
      <c r="K176" s="3">
        <f>'Madine- Coverage'!J147</f>
        <v/>
      </c>
      <c r="L176" s="13">
        <f>'Madine- Coverage'!K147</f>
        <v/>
      </c>
    </row>
    <row r="177" ht="18" customHeight="1" s="96">
      <c r="A177" s="93" t="inlineStr">
        <is>
          <t>Person A</t>
        </is>
      </c>
      <c r="B177" s="8">
        <f>'Madine- Coverage'!A148</f>
        <v/>
      </c>
      <c r="C177" s="93">
        <f>'Madine- Coverage'!A148</f>
        <v/>
      </c>
      <c r="D177" s="8">
        <f>'Madine- Coverage'!C148</f>
        <v/>
      </c>
      <c r="E177" s="8">
        <f>'Madine- Coverage'!D148</f>
        <v/>
      </c>
      <c r="F177" s="8">
        <f>'Madine- Coverage'!E148</f>
        <v/>
      </c>
      <c r="G177" s="9">
        <f>'Madine- Coverage'!F148</f>
        <v/>
      </c>
      <c r="H177" s="10">
        <f>'Madine- Coverage'!G148</f>
        <v/>
      </c>
      <c r="I177" s="10">
        <f>'Madine- Coverage'!H148</f>
        <v/>
      </c>
      <c r="J177" s="11">
        <f>'Madine- Coverage'!I148</f>
        <v/>
      </c>
      <c r="K177" s="8">
        <f>'Madine- Coverage'!J148</f>
        <v/>
      </c>
      <c r="L177" s="12">
        <f>'Madine- Coverage'!K148</f>
        <v/>
      </c>
    </row>
    <row r="178" ht="18" customHeight="1" s="96">
      <c r="A178" s="2" t="inlineStr">
        <is>
          <t>Person A</t>
        </is>
      </c>
      <c r="B178" s="3">
        <f>'Madine- Coverage'!A149</f>
        <v/>
      </c>
      <c r="C178" s="2">
        <f>'Madine- Coverage'!A149</f>
        <v/>
      </c>
      <c r="D178" s="3">
        <f>'Madine- Coverage'!C149</f>
        <v/>
      </c>
      <c r="E178" s="3">
        <f>'Madine- Coverage'!D149</f>
        <v/>
      </c>
      <c r="F178" s="3">
        <f>'Madine- Coverage'!E149</f>
        <v/>
      </c>
      <c r="G178" s="4">
        <f>'Madine- Coverage'!F149</f>
        <v/>
      </c>
      <c r="H178" s="5">
        <f>'Madine- Coverage'!G149</f>
        <v/>
      </c>
      <c r="I178" s="5">
        <f>'Madine- Coverage'!H149</f>
        <v/>
      </c>
      <c r="J178" s="6">
        <f>'Madine- Coverage'!I149</f>
        <v/>
      </c>
      <c r="K178" s="3">
        <f>'Madine- Coverage'!J149</f>
        <v/>
      </c>
      <c r="L178" s="13">
        <f>'Madine- Coverage'!K149</f>
        <v/>
      </c>
    </row>
    <row r="179" ht="18" customHeight="1" s="96">
      <c r="A179" s="93" t="inlineStr">
        <is>
          <t>Person A</t>
        </is>
      </c>
      <c r="B179" s="8">
        <f>'Madine- Coverage'!A150</f>
        <v/>
      </c>
      <c r="C179" s="93">
        <f>'Madine- Coverage'!A150</f>
        <v/>
      </c>
      <c r="D179" s="8">
        <f>'Madine- Coverage'!C150</f>
        <v/>
      </c>
      <c r="E179" s="8">
        <f>'Madine- Coverage'!D150</f>
        <v/>
      </c>
      <c r="F179" s="8">
        <f>'Madine- Coverage'!E150</f>
        <v/>
      </c>
      <c r="G179" s="9">
        <f>'Madine- Coverage'!F150</f>
        <v/>
      </c>
      <c r="H179" s="10">
        <f>'Madine- Coverage'!G150</f>
        <v/>
      </c>
      <c r="I179" s="10">
        <f>'Madine- Coverage'!H150</f>
        <v/>
      </c>
      <c r="J179" s="11">
        <f>'Madine- Coverage'!I150</f>
        <v/>
      </c>
      <c r="K179" s="8">
        <f>'Madine- Coverage'!J150</f>
        <v/>
      </c>
      <c r="L179" s="12">
        <f>'Madine- Coverage'!K150</f>
        <v/>
      </c>
    </row>
    <row r="180" ht="18" customHeight="1" s="96">
      <c r="A180" s="2" t="inlineStr">
        <is>
          <t>Person A</t>
        </is>
      </c>
      <c r="B180" s="3">
        <f>'Madine- Coverage'!A151</f>
        <v/>
      </c>
      <c r="C180" s="2">
        <f>'Madine- Coverage'!A151</f>
        <v/>
      </c>
      <c r="D180" s="3">
        <f>'Madine- Coverage'!C151</f>
        <v/>
      </c>
      <c r="E180" s="3">
        <f>'Madine- Coverage'!D151</f>
        <v/>
      </c>
      <c r="F180" s="3">
        <f>'Madine- Coverage'!E151</f>
        <v/>
      </c>
      <c r="G180" s="4">
        <f>'Madine- Coverage'!F151</f>
        <v/>
      </c>
      <c r="H180" s="5">
        <f>'Madine- Coverage'!G151</f>
        <v/>
      </c>
      <c r="I180" s="5">
        <f>'Madine- Coverage'!H151</f>
        <v/>
      </c>
      <c r="J180" s="6">
        <f>'Madine- Coverage'!I151</f>
        <v/>
      </c>
      <c r="K180" s="3">
        <f>'Madine- Coverage'!J151</f>
        <v/>
      </c>
      <c r="L180" s="13">
        <f>'Madine- Coverage'!K151</f>
        <v/>
      </c>
    </row>
    <row r="181" ht="18" customHeight="1" s="96">
      <c r="A181" s="93" t="inlineStr">
        <is>
          <t>Person A</t>
        </is>
      </c>
      <c r="B181" s="8">
        <f>'Madine- Coverage'!A152</f>
        <v/>
      </c>
      <c r="C181" s="93">
        <f>'Madine- Coverage'!A152</f>
        <v/>
      </c>
      <c r="D181" s="8">
        <f>'Madine- Coverage'!C152</f>
        <v/>
      </c>
      <c r="E181" s="8">
        <f>'Madine- Coverage'!D152</f>
        <v/>
      </c>
      <c r="F181" s="8">
        <f>'Madine- Coverage'!E152</f>
        <v/>
      </c>
      <c r="G181" s="9">
        <f>'Madine- Coverage'!F152</f>
        <v/>
      </c>
      <c r="H181" s="10">
        <f>'Madine- Coverage'!G152</f>
        <v/>
      </c>
      <c r="I181" s="10">
        <f>'Madine- Coverage'!H152</f>
        <v/>
      </c>
      <c r="J181" s="11">
        <f>'Madine- Coverage'!I152</f>
        <v/>
      </c>
      <c r="K181" s="8">
        <f>'Madine- Coverage'!J152</f>
        <v/>
      </c>
      <c r="L181" s="12">
        <f>'Madine- Coverage'!K152</f>
        <v/>
      </c>
    </row>
    <row r="182" ht="18" customHeight="1" s="96">
      <c r="A182" s="2" t="inlineStr">
        <is>
          <t>Person A</t>
        </is>
      </c>
      <c r="B182" s="3">
        <f>'Madine- Coverage'!A153</f>
        <v/>
      </c>
      <c r="C182" s="2">
        <f>'Madine- Coverage'!A153</f>
        <v/>
      </c>
      <c r="D182" s="3">
        <f>'Madine- Coverage'!C153</f>
        <v/>
      </c>
      <c r="E182" s="3">
        <f>'Madine- Coverage'!D153</f>
        <v/>
      </c>
      <c r="F182" s="3">
        <f>'Madine- Coverage'!E153</f>
        <v/>
      </c>
      <c r="G182" s="4">
        <f>'Madine- Coverage'!F153</f>
        <v/>
      </c>
      <c r="H182" s="5">
        <f>'Madine- Coverage'!G153</f>
        <v/>
      </c>
      <c r="I182" s="5">
        <f>'Madine- Coverage'!H153</f>
        <v/>
      </c>
      <c r="J182" s="6">
        <f>'Madine- Coverage'!I153</f>
        <v/>
      </c>
      <c r="K182" s="3">
        <f>'Madine- Coverage'!J153</f>
        <v/>
      </c>
      <c r="L182" s="13">
        <f>'Madine- Coverage'!K153</f>
        <v/>
      </c>
    </row>
    <row r="183" ht="18" customHeight="1" s="96">
      <c r="A183" s="93" t="inlineStr">
        <is>
          <t>Person A</t>
        </is>
      </c>
      <c r="B183" s="8">
        <f>'Madine- Coverage'!A154</f>
        <v/>
      </c>
      <c r="C183" s="93">
        <f>'Madine- Coverage'!A154</f>
        <v/>
      </c>
      <c r="D183" s="8">
        <f>'Madine- Coverage'!C154</f>
        <v/>
      </c>
      <c r="E183" s="8">
        <f>'Madine- Coverage'!D154</f>
        <v/>
      </c>
      <c r="F183" s="8">
        <f>'Madine- Coverage'!E154</f>
        <v/>
      </c>
      <c r="G183" s="9">
        <f>'Madine- Coverage'!F154</f>
        <v/>
      </c>
      <c r="H183" s="10">
        <f>'Madine- Coverage'!G154</f>
        <v/>
      </c>
      <c r="I183" s="10">
        <f>'Madine- Coverage'!H154</f>
        <v/>
      </c>
      <c r="J183" s="11">
        <f>'Madine- Coverage'!I154</f>
        <v/>
      </c>
      <c r="K183" s="8">
        <f>'Madine- Coverage'!J154</f>
        <v/>
      </c>
      <c r="L183" s="12">
        <f>'Madine- Coverage'!K154</f>
        <v/>
      </c>
    </row>
    <row r="184" ht="18" customHeight="1" s="96">
      <c r="A184" s="2" t="inlineStr">
        <is>
          <t>Person A</t>
        </is>
      </c>
      <c r="B184" s="3">
        <f>'Madine- Coverage'!A155</f>
        <v/>
      </c>
      <c r="C184" s="2">
        <f>'Madine- Coverage'!A155</f>
        <v/>
      </c>
      <c r="D184" s="3">
        <f>'Madine- Coverage'!C155</f>
        <v/>
      </c>
      <c r="E184" s="3">
        <f>'Madine- Coverage'!D155</f>
        <v/>
      </c>
      <c r="F184" s="3">
        <f>'Madine- Coverage'!E155</f>
        <v/>
      </c>
      <c r="G184" s="4">
        <f>'Madine- Coverage'!F155</f>
        <v/>
      </c>
      <c r="H184" s="5">
        <f>'Madine- Coverage'!G155</f>
        <v/>
      </c>
      <c r="I184" s="5">
        <f>'Madine- Coverage'!H155</f>
        <v/>
      </c>
      <c r="J184" s="6">
        <f>'Madine- Coverage'!I155</f>
        <v/>
      </c>
      <c r="K184" s="3">
        <f>'Madine- Coverage'!J155</f>
        <v/>
      </c>
      <c r="L184" s="13">
        <f>'Madine- Coverage'!K155</f>
        <v/>
      </c>
    </row>
    <row r="185" ht="18" customHeight="1" s="96">
      <c r="A185" s="93" t="inlineStr">
        <is>
          <t>Person A</t>
        </is>
      </c>
      <c r="B185" s="8">
        <f>'Madine- Coverage'!A156</f>
        <v/>
      </c>
      <c r="C185" s="93">
        <f>'Madine- Coverage'!A156</f>
        <v/>
      </c>
      <c r="D185" s="8">
        <f>'Madine- Coverage'!C156</f>
        <v/>
      </c>
      <c r="E185" s="8">
        <f>'Madine- Coverage'!D156</f>
        <v/>
      </c>
      <c r="F185" s="8">
        <f>'Madine- Coverage'!E156</f>
        <v/>
      </c>
      <c r="G185" s="9">
        <f>'Madine- Coverage'!F156</f>
        <v/>
      </c>
      <c r="H185" s="10">
        <f>'Madine- Coverage'!G156</f>
        <v/>
      </c>
      <c r="I185" s="10">
        <f>'Madine- Coverage'!H156</f>
        <v/>
      </c>
      <c r="J185" s="11">
        <f>'Madine- Coverage'!I156</f>
        <v/>
      </c>
      <c r="K185" s="8">
        <f>'Madine- Coverage'!J156</f>
        <v/>
      </c>
      <c r="L185" s="12">
        <f>'Madine- Coverage'!K156</f>
        <v/>
      </c>
    </row>
    <row r="186" ht="18" customHeight="1" s="96">
      <c r="A186" s="2" t="inlineStr">
        <is>
          <t>Person A</t>
        </is>
      </c>
      <c r="B186" s="3">
        <f>'Madine- Coverage'!A157</f>
        <v/>
      </c>
      <c r="C186" s="2">
        <f>'Madine- Coverage'!A157</f>
        <v/>
      </c>
      <c r="D186" s="3">
        <f>'Madine- Coverage'!C157</f>
        <v/>
      </c>
      <c r="E186" s="3">
        <f>'Madine- Coverage'!D157</f>
        <v/>
      </c>
      <c r="F186" s="3">
        <f>'Madine- Coverage'!E157</f>
        <v/>
      </c>
      <c r="G186" s="4">
        <f>'Madine- Coverage'!F157</f>
        <v/>
      </c>
      <c r="H186" s="5">
        <f>'Madine- Coverage'!G157</f>
        <v/>
      </c>
      <c r="I186" s="5">
        <f>'Madine- Coverage'!H157</f>
        <v/>
      </c>
      <c r="J186" s="6">
        <f>'Madine- Coverage'!I157</f>
        <v/>
      </c>
      <c r="K186" s="3">
        <f>'Madine- Coverage'!J157</f>
        <v/>
      </c>
      <c r="L186" s="13">
        <f>'Madine- Coverage'!K157</f>
        <v/>
      </c>
    </row>
    <row r="187" ht="18" customHeight="1" s="96">
      <c r="A187" s="93" t="inlineStr">
        <is>
          <t>Person A</t>
        </is>
      </c>
      <c r="B187" s="8">
        <f>'Madine- Coverage'!A158</f>
        <v/>
      </c>
      <c r="C187" s="93">
        <f>'Madine- Coverage'!A158</f>
        <v/>
      </c>
      <c r="D187" s="8">
        <f>'Madine- Coverage'!C158</f>
        <v/>
      </c>
      <c r="E187" s="8">
        <f>'Madine- Coverage'!D158</f>
        <v/>
      </c>
      <c r="F187" s="8">
        <f>'Madine- Coverage'!E158</f>
        <v/>
      </c>
      <c r="G187" s="9">
        <f>'Madine- Coverage'!F158</f>
        <v/>
      </c>
      <c r="H187" s="10">
        <f>'Madine- Coverage'!G158</f>
        <v/>
      </c>
      <c r="I187" s="10">
        <f>'Madine- Coverage'!H158</f>
        <v/>
      </c>
      <c r="J187" s="11">
        <f>'Madine- Coverage'!I158</f>
        <v/>
      </c>
      <c r="K187" s="8">
        <f>'Madine- Coverage'!J158</f>
        <v/>
      </c>
      <c r="L187" s="12">
        <f>'Madine- Coverage'!K158</f>
        <v/>
      </c>
    </row>
    <row r="188" ht="18" customHeight="1" s="96">
      <c r="A188" s="2" t="inlineStr">
        <is>
          <t>Person A</t>
        </is>
      </c>
      <c r="B188" s="3">
        <f>'Madine- Coverage'!A159</f>
        <v/>
      </c>
      <c r="C188" s="2">
        <f>'Madine- Coverage'!A159</f>
        <v/>
      </c>
      <c r="D188" s="3">
        <f>'Madine- Coverage'!C159</f>
        <v/>
      </c>
      <c r="E188" s="3">
        <f>'Madine- Coverage'!D159</f>
        <v/>
      </c>
      <c r="F188" s="3">
        <f>'Madine- Coverage'!E159</f>
        <v/>
      </c>
      <c r="G188" s="4">
        <f>'Madine- Coverage'!F159</f>
        <v/>
      </c>
      <c r="H188" s="5">
        <f>'Madine- Coverage'!G159</f>
        <v/>
      </c>
      <c r="I188" s="5">
        <f>'Madine- Coverage'!H159</f>
        <v/>
      </c>
      <c r="J188" s="6">
        <f>'Madine- Coverage'!I159</f>
        <v/>
      </c>
      <c r="K188" s="3">
        <f>'Madine- Coverage'!J159</f>
        <v/>
      </c>
      <c r="L188" s="13">
        <f>'Madine- Coverage'!K159</f>
        <v/>
      </c>
    </row>
    <row r="189" ht="18" customHeight="1" s="96">
      <c r="A189" s="93" t="inlineStr">
        <is>
          <t>Person A</t>
        </is>
      </c>
      <c r="B189" s="8">
        <f>'Madine- Coverage'!A160</f>
        <v/>
      </c>
      <c r="C189" s="93">
        <f>'Madine- Coverage'!A160</f>
        <v/>
      </c>
      <c r="D189" s="8">
        <f>'Madine- Coverage'!C160</f>
        <v/>
      </c>
      <c r="E189" s="8">
        <f>'Madine- Coverage'!D160</f>
        <v/>
      </c>
      <c r="F189" s="8">
        <f>'Madine- Coverage'!E160</f>
        <v/>
      </c>
      <c r="G189" s="9">
        <f>'Madine- Coverage'!F160</f>
        <v/>
      </c>
      <c r="H189" s="10">
        <f>'Madine- Coverage'!G160</f>
        <v/>
      </c>
      <c r="I189" s="10">
        <f>'Madine- Coverage'!H160</f>
        <v/>
      </c>
      <c r="J189" s="11">
        <f>'Madine- Coverage'!I160</f>
        <v/>
      </c>
      <c r="K189" s="8">
        <f>'Madine- Coverage'!J160</f>
        <v/>
      </c>
      <c r="L189" s="12">
        <f>'Madine- Coverage'!K160</f>
        <v/>
      </c>
    </row>
    <row r="190" ht="18" customHeight="1" s="96">
      <c r="A190" s="2" t="inlineStr">
        <is>
          <t>Person A</t>
        </is>
      </c>
      <c r="B190" s="3">
        <f>'Madine- Coverage'!A161</f>
        <v/>
      </c>
      <c r="C190" s="2">
        <f>'Madine- Coverage'!A161</f>
        <v/>
      </c>
      <c r="D190" s="3">
        <f>'Madine- Coverage'!C161</f>
        <v/>
      </c>
      <c r="E190" s="3">
        <f>'Madine- Coverage'!D161</f>
        <v/>
      </c>
      <c r="F190" s="3">
        <f>'Madine- Coverage'!E161</f>
        <v/>
      </c>
      <c r="G190" s="4">
        <f>'Madine- Coverage'!F161</f>
        <v/>
      </c>
      <c r="H190" s="5">
        <f>'Madine- Coverage'!G161</f>
        <v/>
      </c>
      <c r="I190" s="5">
        <f>'Madine- Coverage'!H161</f>
        <v/>
      </c>
      <c r="J190" s="6">
        <f>'Madine- Coverage'!I161</f>
        <v/>
      </c>
      <c r="K190" s="3">
        <f>'Madine- Coverage'!J161</f>
        <v/>
      </c>
      <c r="L190" s="13">
        <f>'Madine- Coverage'!K161</f>
        <v/>
      </c>
    </row>
    <row r="191" ht="18" customHeight="1" s="96">
      <c r="A191" s="93" t="inlineStr">
        <is>
          <t>Person A</t>
        </is>
      </c>
      <c r="B191" s="8">
        <f>'Madine- Coverage'!A162</f>
        <v/>
      </c>
      <c r="C191" s="93">
        <f>'Madine- Coverage'!A162</f>
        <v/>
      </c>
      <c r="D191" s="8">
        <f>'Madine- Coverage'!C162</f>
        <v/>
      </c>
      <c r="E191" s="8">
        <f>'Madine- Coverage'!D162</f>
        <v/>
      </c>
      <c r="F191" s="8">
        <f>'Madine- Coverage'!E162</f>
        <v/>
      </c>
      <c r="G191" s="9">
        <f>'Madine- Coverage'!F162</f>
        <v/>
      </c>
      <c r="H191" s="10">
        <f>'Madine- Coverage'!G162</f>
        <v/>
      </c>
      <c r="I191" s="10">
        <f>'Madine- Coverage'!H162</f>
        <v/>
      </c>
      <c r="J191" s="11">
        <f>'Madine- Coverage'!I162</f>
        <v/>
      </c>
      <c r="K191" s="8">
        <f>'Madine- Coverage'!J162</f>
        <v/>
      </c>
      <c r="L191" s="12">
        <f>'Madine- Coverage'!K162</f>
        <v/>
      </c>
    </row>
    <row r="192" ht="18" customHeight="1" s="96">
      <c r="A192" s="2" t="inlineStr">
        <is>
          <t>Person A</t>
        </is>
      </c>
      <c r="B192" s="3">
        <f>'Madine- Coverage'!A163</f>
        <v/>
      </c>
      <c r="C192" s="2">
        <f>'Madine- Coverage'!A163</f>
        <v/>
      </c>
      <c r="D192" s="3">
        <f>'Madine- Coverage'!C163</f>
        <v/>
      </c>
      <c r="E192" s="3">
        <f>'Madine- Coverage'!D163</f>
        <v/>
      </c>
      <c r="F192" s="3">
        <f>'Madine- Coverage'!E163</f>
        <v/>
      </c>
      <c r="G192" s="4">
        <f>'Madine- Coverage'!F163</f>
        <v/>
      </c>
      <c r="H192" s="5">
        <f>'Madine- Coverage'!G163</f>
        <v/>
      </c>
      <c r="I192" s="5">
        <f>'Madine- Coverage'!H163</f>
        <v/>
      </c>
      <c r="J192" s="6">
        <f>'Madine- Coverage'!I163</f>
        <v/>
      </c>
      <c r="K192" s="3">
        <f>'Madine- Coverage'!J163</f>
        <v/>
      </c>
      <c r="L192" s="13">
        <f>'Madine- Coverage'!K163</f>
        <v/>
      </c>
    </row>
    <row r="193" ht="18" customHeight="1" s="96">
      <c r="A193" s="93" t="inlineStr">
        <is>
          <t>Person A</t>
        </is>
      </c>
      <c r="B193" s="8">
        <f>'Madine- Coverage'!A164</f>
        <v/>
      </c>
      <c r="C193" s="93">
        <f>'Madine- Coverage'!A164</f>
        <v/>
      </c>
      <c r="D193" s="8">
        <f>'Madine- Coverage'!C164</f>
        <v/>
      </c>
      <c r="E193" s="8">
        <f>'Madine- Coverage'!D164</f>
        <v/>
      </c>
      <c r="F193" s="8">
        <f>'Madine- Coverage'!E164</f>
        <v/>
      </c>
      <c r="G193" s="9">
        <f>'Madine- Coverage'!F164</f>
        <v/>
      </c>
      <c r="H193" s="10">
        <f>'Madine- Coverage'!G164</f>
        <v/>
      </c>
      <c r="I193" s="10">
        <f>'Madine- Coverage'!H164</f>
        <v/>
      </c>
      <c r="J193" s="11">
        <f>'Madine- Coverage'!I164</f>
        <v/>
      </c>
      <c r="K193" s="8">
        <f>'Madine- Coverage'!J164</f>
        <v/>
      </c>
      <c r="L193" s="12">
        <f>'Madine- Coverage'!K164</f>
        <v/>
      </c>
    </row>
    <row r="194" ht="18" customHeight="1" s="96">
      <c r="A194" s="2" t="inlineStr">
        <is>
          <t>Person A</t>
        </is>
      </c>
      <c r="B194" s="3">
        <f>'Madine- Coverage'!A165</f>
        <v/>
      </c>
      <c r="C194" s="2">
        <f>'Madine- Coverage'!A165</f>
        <v/>
      </c>
      <c r="D194" s="3">
        <f>'Madine- Coverage'!C165</f>
        <v/>
      </c>
      <c r="E194" s="3">
        <f>'Madine- Coverage'!D165</f>
        <v/>
      </c>
      <c r="F194" s="3">
        <f>'Madine- Coverage'!E165</f>
        <v/>
      </c>
      <c r="G194" s="4">
        <f>'Madine- Coverage'!F165</f>
        <v/>
      </c>
      <c r="H194" s="5">
        <f>'Madine- Coverage'!G165</f>
        <v/>
      </c>
      <c r="I194" s="5">
        <f>'Madine- Coverage'!H165</f>
        <v/>
      </c>
      <c r="J194" s="6">
        <f>'Madine- Coverage'!I165</f>
        <v/>
      </c>
      <c r="K194" s="3">
        <f>'Madine- Coverage'!J165</f>
        <v/>
      </c>
      <c r="L194" s="13">
        <f>'Madine- Coverage'!K165</f>
        <v/>
      </c>
    </row>
    <row r="195" ht="18" customHeight="1" s="96">
      <c r="A195" s="93" t="inlineStr">
        <is>
          <t>Person A</t>
        </is>
      </c>
      <c r="B195" s="8">
        <f>'Madine- Coverage'!A166</f>
        <v/>
      </c>
      <c r="C195" s="93">
        <f>'Madine- Coverage'!A166</f>
        <v/>
      </c>
      <c r="D195" s="8">
        <f>'Madine- Coverage'!C166</f>
        <v/>
      </c>
      <c r="E195" s="8">
        <f>'Madine- Coverage'!D166</f>
        <v/>
      </c>
      <c r="F195" s="8">
        <f>'Madine- Coverage'!E166</f>
        <v/>
      </c>
      <c r="G195" s="9">
        <f>'Madine- Coverage'!F166</f>
        <v/>
      </c>
      <c r="H195" s="10">
        <f>'Madine- Coverage'!G166</f>
        <v/>
      </c>
      <c r="I195" s="10">
        <f>'Madine- Coverage'!H166</f>
        <v/>
      </c>
      <c r="J195" s="11">
        <f>'Madine- Coverage'!I166</f>
        <v/>
      </c>
      <c r="K195" s="8">
        <f>'Madine- Coverage'!J166</f>
        <v/>
      </c>
      <c r="L195" s="12">
        <f>'Madine- Coverage'!K166</f>
        <v/>
      </c>
    </row>
    <row r="196" ht="18" customHeight="1" s="96">
      <c r="A196" s="2" t="inlineStr">
        <is>
          <t>Person A</t>
        </is>
      </c>
      <c r="B196" s="3">
        <f>'Madine- Coverage'!A167</f>
        <v/>
      </c>
      <c r="C196" s="2">
        <f>'Madine- Coverage'!A167</f>
        <v/>
      </c>
      <c r="D196" s="3">
        <f>'Madine- Coverage'!C167</f>
        <v/>
      </c>
      <c r="E196" s="3">
        <f>'Madine- Coverage'!D167</f>
        <v/>
      </c>
      <c r="F196" s="3">
        <f>'Madine- Coverage'!E167</f>
        <v/>
      </c>
      <c r="G196" s="4">
        <f>'Madine- Coverage'!F167</f>
        <v/>
      </c>
      <c r="H196" s="5">
        <f>'Madine- Coverage'!G167</f>
        <v/>
      </c>
      <c r="I196" s="5">
        <f>'Madine- Coverage'!H167</f>
        <v/>
      </c>
      <c r="J196" s="6">
        <f>'Madine- Coverage'!I167</f>
        <v/>
      </c>
      <c r="K196" s="3">
        <f>'Madine- Coverage'!J167</f>
        <v/>
      </c>
      <c r="L196" s="13">
        <f>'Madine- Coverage'!K167</f>
        <v/>
      </c>
    </row>
    <row r="197" ht="18" customHeight="1" s="96">
      <c r="A197" s="93" t="inlineStr">
        <is>
          <t>Person A</t>
        </is>
      </c>
      <c r="B197" s="8">
        <f>'Madine- Coverage'!A168</f>
        <v/>
      </c>
      <c r="C197" s="93">
        <f>'Madine- Coverage'!A168</f>
        <v/>
      </c>
      <c r="D197" s="8">
        <f>'Madine- Coverage'!C168</f>
        <v/>
      </c>
      <c r="E197" s="8">
        <f>'Madine- Coverage'!D168</f>
        <v/>
      </c>
      <c r="F197" s="8">
        <f>'Madine- Coverage'!E168</f>
        <v/>
      </c>
      <c r="G197" s="9">
        <f>'Madine- Coverage'!F168</f>
        <v/>
      </c>
      <c r="H197" s="10">
        <f>'Madine- Coverage'!G168</f>
        <v/>
      </c>
      <c r="I197" s="10">
        <f>'Madine- Coverage'!H168</f>
        <v/>
      </c>
      <c r="J197" s="11">
        <f>'Madine- Coverage'!I168</f>
        <v/>
      </c>
      <c r="K197" s="8">
        <f>'Madine- Coverage'!J168</f>
        <v/>
      </c>
      <c r="L197" s="12">
        <f>'Madine- Coverage'!K168</f>
        <v/>
      </c>
    </row>
    <row r="198" ht="18" customHeight="1" s="96">
      <c r="A198" s="2" t="inlineStr">
        <is>
          <t>Person A</t>
        </is>
      </c>
      <c r="B198" s="3">
        <f>'Madine- Coverage'!A169</f>
        <v/>
      </c>
      <c r="C198" s="2">
        <f>'Madine- Coverage'!A169</f>
        <v/>
      </c>
      <c r="D198" s="3">
        <f>'Madine- Coverage'!C169</f>
        <v/>
      </c>
      <c r="E198" s="3">
        <f>'Madine- Coverage'!D169</f>
        <v/>
      </c>
      <c r="F198" s="3">
        <f>'Madine- Coverage'!E169</f>
        <v/>
      </c>
      <c r="G198" s="4">
        <f>'Madine- Coverage'!F169</f>
        <v/>
      </c>
      <c r="H198" s="5">
        <f>'Madine- Coverage'!G169</f>
        <v/>
      </c>
      <c r="I198" s="5">
        <f>'Madine- Coverage'!H169</f>
        <v/>
      </c>
      <c r="J198" s="6">
        <f>'Madine- Coverage'!I169</f>
        <v/>
      </c>
      <c r="K198" s="3">
        <f>'Madine- Coverage'!J169</f>
        <v/>
      </c>
      <c r="L198" s="13">
        <f>'Madine- Coverage'!K169</f>
        <v/>
      </c>
    </row>
    <row r="199" ht="18" customHeight="1" s="96">
      <c r="A199" s="93" t="inlineStr">
        <is>
          <t>Person A</t>
        </is>
      </c>
      <c r="B199" s="8">
        <f>'Madine- Coverage'!A170</f>
        <v/>
      </c>
      <c r="C199" s="93">
        <f>'Madine- Coverage'!A170</f>
        <v/>
      </c>
      <c r="D199" s="8">
        <f>'Madine- Coverage'!C170</f>
        <v/>
      </c>
      <c r="E199" s="8">
        <f>'Madine- Coverage'!D170</f>
        <v/>
      </c>
      <c r="F199" s="8">
        <f>'Madine- Coverage'!E170</f>
        <v/>
      </c>
      <c r="G199" s="9">
        <f>'Madine- Coverage'!F170</f>
        <v/>
      </c>
      <c r="H199" s="10">
        <f>'Madine- Coverage'!G170</f>
        <v/>
      </c>
      <c r="I199" s="10">
        <f>'Madine- Coverage'!H170</f>
        <v/>
      </c>
      <c r="J199" s="11">
        <f>'Madine- Coverage'!I170</f>
        <v/>
      </c>
      <c r="K199" s="8">
        <f>'Madine- Coverage'!J170</f>
        <v/>
      </c>
      <c r="L199" s="12">
        <f>'Madine- Coverage'!K170</f>
        <v/>
      </c>
    </row>
    <row r="200" ht="18" customHeight="1" s="96">
      <c r="A200" s="2" t="inlineStr">
        <is>
          <t>Person A</t>
        </is>
      </c>
      <c r="B200" s="3">
        <f>'Madine- Coverage'!A171</f>
        <v/>
      </c>
      <c r="C200" s="2">
        <f>'Madine- Coverage'!A171</f>
        <v/>
      </c>
      <c r="D200" s="3">
        <f>'Madine- Coverage'!C171</f>
        <v/>
      </c>
      <c r="E200" s="3">
        <f>'Madine- Coverage'!D171</f>
        <v/>
      </c>
      <c r="F200" s="3">
        <f>'Madine- Coverage'!E171</f>
        <v/>
      </c>
      <c r="G200" s="4">
        <f>'Madine- Coverage'!F171</f>
        <v/>
      </c>
      <c r="H200" s="5">
        <f>'Madine- Coverage'!G171</f>
        <v/>
      </c>
      <c r="I200" s="5">
        <f>'Madine- Coverage'!H171</f>
        <v/>
      </c>
      <c r="J200" s="6">
        <f>'Madine- Coverage'!I171</f>
        <v/>
      </c>
      <c r="K200" s="3">
        <f>'Madine- Coverage'!J171</f>
        <v/>
      </c>
      <c r="L200" s="13">
        <f>'Madine- Coverage'!K171</f>
        <v/>
      </c>
    </row>
    <row r="201" ht="18" customHeight="1" s="96">
      <c r="A201" s="93" t="inlineStr">
        <is>
          <t>Person A</t>
        </is>
      </c>
      <c r="B201" s="8">
        <f>'Madine- Coverage'!A172</f>
        <v/>
      </c>
      <c r="C201" s="93">
        <f>'Madine- Coverage'!A172</f>
        <v/>
      </c>
      <c r="D201" s="8">
        <f>'Madine- Coverage'!C172</f>
        <v/>
      </c>
      <c r="E201" s="8">
        <f>'Madine- Coverage'!D172</f>
        <v/>
      </c>
      <c r="F201" s="8">
        <f>'Madine- Coverage'!E172</f>
        <v/>
      </c>
      <c r="G201" s="9">
        <f>'Madine- Coverage'!F172</f>
        <v/>
      </c>
      <c r="H201" s="10">
        <f>'Madine- Coverage'!G172</f>
        <v/>
      </c>
      <c r="I201" s="10">
        <f>'Madine- Coverage'!H172</f>
        <v/>
      </c>
      <c r="J201" s="11">
        <f>'Madine- Coverage'!I172</f>
        <v/>
      </c>
      <c r="K201" s="8">
        <f>'Madine- Coverage'!J172</f>
        <v/>
      </c>
      <c r="L201" s="12">
        <f>'Madine- Coverage'!K172</f>
        <v/>
      </c>
    </row>
    <row r="202" ht="18" customHeight="1" s="96">
      <c r="A202" s="2" t="inlineStr">
        <is>
          <t>Person A</t>
        </is>
      </c>
      <c r="B202" s="3">
        <f>'Madine- Coverage'!A173</f>
        <v/>
      </c>
      <c r="C202" s="2">
        <f>'Madine- Coverage'!A173</f>
        <v/>
      </c>
      <c r="D202" s="3">
        <f>'Madine- Coverage'!C173</f>
        <v/>
      </c>
      <c r="E202" s="3">
        <f>'Madine- Coverage'!D173</f>
        <v/>
      </c>
      <c r="F202" s="3">
        <f>'Madine- Coverage'!E173</f>
        <v/>
      </c>
      <c r="G202" s="4">
        <f>'Madine- Coverage'!F173</f>
        <v/>
      </c>
      <c r="H202" s="5">
        <f>'Madine- Coverage'!G173</f>
        <v/>
      </c>
      <c r="I202" s="5">
        <f>'Madine- Coverage'!H173</f>
        <v/>
      </c>
      <c r="J202" s="6">
        <f>'Madine- Coverage'!I173</f>
        <v/>
      </c>
      <c r="K202" s="3">
        <f>'Madine- Coverage'!J173</f>
        <v/>
      </c>
      <c r="L202" s="13">
        <f>'Madine- Coverage'!K173</f>
        <v/>
      </c>
    </row>
    <row r="203" ht="18" customHeight="1" s="96">
      <c r="A203" s="93" t="inlineStr">
        <is>
          <t>Person A</t>
        </is>
      </c>
      <c r="B203" s="8">
        <f>'Madine- Coverage'!A174</f>
        <v/>
      </c>
      <c r="C203" s="93">
        <f>'Madine- Coverage'!A174</f>
        <v/>
      </c>
      <c r="D203" s="8">
        <f>'Madine- Coverage'!C174</f>
        <v/>
      </c>
      <c r="E203" s="8">
        <f>'Madine- Coverage'!D174</f>
        <v/>
      </c>
      <c r="F203" s="8">
        <f>'Madine- Coverage'!E174</f>
        <v/>
      </c>
      <c r="G203" s="9">
        <f>'Madine- Coverage'!F174</f>
        <v/>
      </c>
      <c r="H203" s="10">
        <f>'Madine- Coverage'!G174</f>
        <v/>
      </c>
      <c r="I203" s="10">
        <f>'Madine- Coverage'!H174</f>
        <v/>
      </c>
      <c r="J203" s="11">
        <f>'Madine- Coverage'!I174</f>
        <v/>
      </c>
      <c r="K203" s="8">
        <f>'Madine- Coverage'!J174</f>
        <v/>
      </c>
      <c r="L203" s="12">
        <f>'Madine- Coverage'!K174</f>
        <v/>
      </c>
    </row>
    <row r="204" ht="18" customHeight="1" s="96">
      <c r="A204" s="2" t="inlineStr">
        <is>
          <t>Person A</t>
        </is>
      </c>
      <c r="B204" s="3">
        <f>'Madine- Coverage'!A175</f>
        <v/>
      </c>
      <c r="C204" s="2">
        <f>'Madine- Coverage'!A175</f>
        <v/>
      </c>
      <c r="D204" s="3">
        <f>'Madine- Coverage'!C175</f>
        <v/>
      </c>
      <c r="E204" s="3">
        <f>'Madine- Coverage'!D175</f>
        <v/>
      </c>
      <c r="F204" s="3">
        <f>'Madine- Coverage'!E175</f>
        <v/>
      </c>
      <c r="G204" s="4">
        <f>'Madine- Coverage'!F175</f>
        <v/>
      </c>
      <c r="H204" s="5">
        <f>'Madine- Coverage'!G175</f>
        <v/>
      </c>
      <c r="I204" s="5">
        <f>'Madine- Coverage'!H175</f>
        <v/>
      </c>
      <c r="J204" s="6">
        <f>'Madine- Coverage'!I175</f>
        <v/>
      </c>
      <c r="K204" s="3">
        <f>'Madine- Coverage'!J175</f>
        <v/>
      </c>
      <c r="L204" s="13">
        <f>'Madine- Coverage'!K175</f>
        <v/>
      </c>
    </row>
    <row r="205" ht="18" customHeight="1" s="96">
      <c r="A205" s="93" t="inlineStr">
        <is>
          <t>Person A</t>
        </is>
      </c>
      <c r="B205" s="8">
        <f>'Madine- Coverage'!A176</f>
        <v/>
      </c>
      <c r="C205" s="93">
        <f>'Madine- Coverage'!A176</f>
        <v/>
      </c>
      <c r="D205" s="8">
        <f>'Madine- Coverage'!C176</f>
        <v/>
      </c>
      <c r="E205" s="8">
        <f>'Madine- Coverage'!D176</f>
        <v/>
      </c>
      <c r="F205" s="8">
        <f>'Madine- Coverage'!E176</f>
        <v/>
      </c>
      <c r="G205" s="9">
        <f>'Madine- Coverage'!F176</f>
        <v/>
      </c>
      <c r="H205" s="10">
        <f>'Madine- Coverage'!G176</f>
        <v/>
      </c>
      <c r="I205" s="10">
        <f>'Madine- Coverage'!H176</f>
        <v/>
      </c>
      <c r="J205" s="11">
        <f>'Madine- Coverage'!I176</f>
        <v/>
      </c>
      <c r="K205" s="8">
        <f>'Madine- Coverage'!J176</f>
        <v/>
      </c>
      <c r="L205" s="12">
        <f>'Madine- Coverage'!K176</f>
        <v/>
      </c>
    </row>
    <row r="206" ht="18" customHeight="1" s="96">
      <c r="A206" s="2" t="inlineStr">
        <is>
          <t>Person A</t>
        </is>
      </c>
      <c r="B206" s="3">
        <f>'Madine- Coverage'!A177</f>
        <v/>
      </c>
      <c r="C206" s="2">
        <f>'Madine- Coverage'!A177</f>
        <v/>
      </c>
      <c r="D206" s="3">
        <f>'Madine- Coverage'!C177</f>
        <v/>
      </c>
      <c r="E206" s="3">
        <f>'Madine- Coverage'!D177</f>
        <v/>
      </c>
      <c r="F206" s="3">
        <f>'Madine- Coverage'!E177</f>
        <v/>
      </c>
      <c r="G206" s="4">
        <f>'Madine- Coverage'!F177</f>
        <v/>
      </c>
      <c r="H206" s="5">
        <f>'Madine- Coverage'!G177</f>
        <v/>
      </c>
      <c r="I206" s="5">
        <f>'Madine- Coverage'!H177</f>
        <v/>
      </c>
      <c r="J206" s="6">
        <f>'Madine- Coverage'!I177</f>
        <v/>
      </c>
      <c r="K206" s="3">
        <f>'Madine- Coverage'!J177</f>
        <v/>
      </c>
      <c r="L206" s="13">
        <f>'Madine- Coverage'!K177</f>
        <v/>
      </c>
    </row>
    <row r="207" ht="18" customHeight="1" s="96">
      <c r="A207" s="93" t="inlineStr">
        <is>
          <t>Person A</t>
        </is>
      </c>
      <c r="B207" s="8">
        <f>'Madine- Coverage'!A178</f>
        <v/>
      </c>
      <c r="C207" s="93">
        <f>'Madine- Coverage'!A178</f>
        <v/>
      </c>
      <c r="D207" s="8">
        <f>'Madine- Coverage'!C178</f>
        <v/>
      </c>
      <c r="E207" s="8">
        <f>'Madine- Coverage'!D178</f>
        <v/>
      </c>
      <c r="F207" s="8">
        <f>'Madine- Coverage'!E178</f>
        <v/>
      </c>
      <c r="G207" s="9">
        <f>'Madine- Coverage'!F178</f>
        <v/>
      </c>
      <c r="H207" s="10">
        <f>'Madine- Coverage'!G178</f>
        <v/>
      </c>
      <c r="I207" s="10">
        <f>'Madine- Coverage'!H178</f>
        <v/>
      </c>
      <c r="J207" s="11">
        <f>'Madine- Coverage'!I178</f>
        <v/>
      </c>
      <c r="K207" s="8">
        <f>'Madine- Coverage'!J178</f>
        <v/>
      </c>
      <c r="L207" s="12">
        <f>'Madine- Coverage'!K178</f>
        <v/>
      </c>
    </row>
    <row r="208" ht="18" customHeight="1" s="96">
      <c r="A208" s="2" t="inlineStr">
        <is>
          <t>Person A</t>
        </is>
      </c>
      <c r="B208" s="3">
        <f>'Madine- Coverage'!A179</f>
        <v/>
      </c>
      <c r="C208" s="2">
        <f>'Madine- Coverage'!A179</f>
        <v/>
      </c>
      <c r="D208" s="3">
        <f>'Madine- Coverage'!C179</f>
        <v/>
      </c>
      <c r="E208" s="3">
        <f>'Madine- Coverage'!D179</f>
        <v/>
      </c>
      <c r="F208" s="3">
        <f>'Madine- Coverage'!E179</f>
        <v/>
      </c>
      <c r="G208" s="4">
        <f>'Madine- Coverage'!F179</f>
        <v/>
      </c>
      <c r="H208" s="5">
        <f>'Madine- Coverage'!G179</f>
        <v/>
      </c>
      <c r="I208" s="5">
        <f>'Madine- Coverage'!H179</f>
        <v/>
      </c>
      <c r="J208" s="6">
        <f>'Madine- Coverage'!I179</f>
        <v/>
      </c>
      <c r="K208" s="3">
        <f>'Madine- Coverage'!J179</f>
        <v/>
      </c>
      <c r="L208" s="13">
        <f>'Madine- Coverage'!K179</f>
        <v/>
      </c>
    </row>
    <row r="209" ht="18" customHeight="1" s="96">
      <c r="A209" s="93" t="inlineStr">
        <is>
          <t>Person A</t>
        </is>
      </c>
      <c r="B209" s="8">
        <f>'Madine- Coverage'!A180</f>
        <v/>
      </c>
      <c r="C209" s="93">
        <f>'Madine- Coverage'!A180</f>
        <v/>
      </c>
      <c r="D209" s="8">
        <f>'Madine- Coverage'!C180</f>
        <v/>
      </c>
      <c r="E209" s="8">
        <f>'Madine- Coverage'!D180</f>
        <v/>
      </c>
      <c r="F209" s="8">
        <f>'Madine- Coverage'!E180</f>
        <v/>
      </c>
      <c r="G209" s="9">
        <f>'Madine- Coverage'!F180</f>
        <v/>
      </c>
      <c r="H209" s="10">
        <f>'Madine- Coverage'!G180</f>
        <v/>
      </c>
      <c r="I209" s="10">
        <f>'Madine- Coverage'!H180</f>
        <v/>
      </c>
      <c r="J209" s="11">
        <f>'Madine- Coverage'!I180</f>
        <v/>
      </c>
      <c r="K209" s="8">
        <f>'Madine- Coverage'!J180</f>
        <v/>
      </c>
      <c r="L209" s="12">
        <f>'Madine- Coverage'!K180</f>
        <v/>
      </c>
    </row>
    <row r="210" ht="18" customHeight="1" s="96">
      <c r="A210" s="2" t="inlineStr">
        <is>
          <t>Person A</t>
        </is>
      </c>
      <c r="B210" s="3">
        <f>'Madine- Coverage'!A181</f>
        <v/>
      </c>
      <c r="C210" s="2">
        <f>'Madine- Coverage'!A181</f>
        <v/>
      </c>
      <c r="D210" s="3">
        <f>'Madine- Coverage'!C181</f>
        <v/>
      </c>
      <c r="E210" s="3">
        <f>'Madine- Coverage'!D181</f>
        <v/>
      </c>
      <c r="F210" s="3">
        <f>'Madine- Coverage'!E181</f>
        <v/>
      </c>
      <c r="G210" s="4">
        <f>'Madine- Coverage'!F181</f>
        <v/>
      </c>
      <c r="H210" s="5">
        <f>'Madine- Coverage'!G181</f>
        <v/>
      </c>
      <c r="I210" s="5">
        <f>'Madine- Coverage'!H181</f>
        <v/>
      </c>
      <c r="J210" s="6">
        <f>'Madine- Coverage'!I181</f>
        <v/>
      </c>
      <c r="K210" s="3">
        <f>'Madine- Coverage'!J181</f>
        <v/>
      </c>
      <c r="L210" s="13">
        <f>'Madine- Coverage'!K181</f>
        <v/>
      </c>
    </row>
    <row r="211" ht="18" customHeight="1" s="96">
      <c r="A211" s="93" t="inlineStr">
        <is>
          <t>Person A</t>
        </is>
      </c>
      <c r="B211" s="8">
        <f>'Madine- Coverage'!A182</f>
        <v/>
      </c>
      <c r="C211" s="93">
        <f>'Madine- Coverage'!A182</f>
        <v/>
      </c>
      <c r="D211" s="8">
        <f>'Madine- Coverage'!C182</f>
        <v/>
      </c>
      <c r="E211" s="8">
        <f>'Madine- Coverage'!D182</f>
        <v/>
      </c>
      <c r="F211" s="8">
        <f>'Madine- Coverage'!E182</f>
        <v/>
      </c>
      <c r="G211" s="9">
        <f>'Madine- Coverage'!F182</f>
        <v/>
      </c>
      <c r="H211" s="10">
        <f>'Madine- Coverage'!G182</f>
        <v/>
      </c>
      <c r="I211" s="10">
        <f>'Madine- Coverage'!H182</f>
        <v/>
      </c>
      <c r="J211" s="11">
        <f>'Madine- Coverage'!I182</f>
        <v/>
      </c>
      <c r="K211" s="8">
        <f>'Madine- Coverage'!J182</f>
        <v/>
      </c>
      <c r="L211" s="12">
        <f>'Madine- Coverage'!K182</f>
        <v/>
      </c>
    </row>
    <row r="212" ht="18" customHeight="1" s="96">
      <c r="A212" s="2" t="inlineStr">
        <is>
          <t>Person A</t>
        </is>
      </c>
      <c r="B212" s="3">
        <f>'Madine- Coverage'!A183</f>
        <v/>
      </c>
      <c r="C212" s="2">
        <f>'Madine- Coverage'!A183</f>
        <v/>
      </c>
      <c r="D212" s="3">
        <f>'Madine- Coverage'!C183</f>
        <v/>
      </c>
      <c r="E212" s="3">
        <f>'Madine- Coverage'!D183</f>
        <v/>
      </c>
      <c r="F212" s="3">
        <f>'Madine- Coverage'!E183</f>
        <v/>
      </c>
      <c r="G212" s="4">
        <f>'Madine- Coverage'!F183</f>
        <v/>
      </c>
      <c r="H212" s="5">
        <f>'Madine- Coverage'!G183</f>
        <v/>
      </c>
      <c r="I212" s="5">
        <f>'Madine- Coverage'!H183</f>
        <v/>
      </c>
      <c r="J212" s="6">
        <f>'Madine- Coverage'!I183</f>
        <v/>
      </c>
      <c r="K212" s="3">
        <f>'Madine- Coverage'!J183</f>
        <v/>
      </c>
      <c r="L212" s="13">
        <f>'Madine- Coverage'!K183</f>
        <v/>
      </c>
    </row>
    <row r="213" ht="18" customHeight="1" s="96">
      <c r="A213" s="93" t="inlineStr">
        <is>
          <t>Person A</t>
        </is>
      </c>
      <c r="B213" s="8">
        <f>'Madine- Coverage'!A184</f>
        <v/>
      </c>
      <c r="C213" s="93">
        <f>'Madine- Coverage'!A184</f>
        <v/>
      </c>
      <c r="D213" s="8">
        <f>'Madine- Coverage'!C184</f>
        <v/>
      </c>
      <c r="E213" s="8">
        <f>'Madine- Coverage'!D184</f>
        <v/>
      </c>
      <c r="F213" s="8">
        <f>'Madine- Coverage'!E184</f>
        <v/>
      </c>
      <c r="G213" s="9">
        <f>'Madine- Coverage'!F184</f>
        <v/>
      </c>
      <c r="H213" s="10">
        <f>'Madine- Coverage'!G184</f>
        <v/>
      </c>
      <c r="I213" s="10">
        <f>'Madine- Coverage'!H184</f>
        <v/>
      </c>
      <c r="J213" s="11">
        <f>'Madine- Coverage'!I184</f>
        <v/>
      </c>
      <c r="K213" s="8">
        <f>'Madine- Coverage'!J184</f>
        <v/>
      </c>
      <c r="L213" s="12">
        <f>'Madine- Coverage'!K184</f>
        <v/>
      </c>
    </row>
    <row r="214" ht="18" customHeight="1" s="96">
      <c r="A214" s="2" t="inlineStr">
        <is>
          <t>Person A</t>
        </is>
      </c>
      <c r="B214" s="3">
        <f>'Madine- Coverage'!A185</f>
        <v/>
      </c>
      <c r="C214" s="2">
        <f>'Madine- Coverage'!A185</f>
        <v/>
      </c>
      <c r="D214" s="3">
        <f>'Madine- Coverage'!C185</f>
        <v/>
      </c>
      <c r="E214" s="3">
        <f>'Madine- Coverage'!D185</f>
        <v/>
      </c>
      <c r="F214" s="3">
        <f>'Madine- Coverage'!E185</f>
        <v/>
      </c>
      <c r="G214" s="4">
        <f>'Madine- Coverage'!F185</f>
        <v/>
      </c>
      <c r="H214" s="5">
        <f>'Madine- Coverage'!G185</f>
        <v/>
      </c>
      <c r="I214" s="5">
        <f>'Madine- Coverage'!H185</f>
        <v/>
      </c>
      <c r="J214" s="6">
        <f>'Madine- Coverage'!I185</f>
        <v/>
      </c>
      <c r="K214" s="3">
        <f>'Madine- Coverage'!J185</f>
        <v/>
      </c>
      <c r="L214" s="13">
        <f>'Madine- Coverage'!K185</f>
        <v/>
      </c>
    </row>
    <row r="215" ht="18" customHeight="1" s="96">
      <c r="A215" s="93" t="inlineStr">
        <is>
          <t>Person A</t>
        </is>
      </c>
      <c r="B215" s="8">
        <f>'Madine- Coverage'!A186</f>
        <v/>
      </c>
      <c r="C215" s="93">
        <f>'Madine- Coverage'!A186</f>
        <v/>
      </c>
      <c r="D215" s="8">
        <f>'Madine- Coverage'!C186</f>
        <v/>
      </c>
      <c r="E215" s="8">
        <f>'Madine- Coverage'!D186</f>
        <v/>
      </c>
      <c r="F215" s="8">
        <f>'Madine- Coverage'!E186</f>
        <v/>
      </c>
      <c r="G215" s="9">
        <f>'Madine- Coverage'!F186</f>
        <v/>
      </c>
      <c r="H215" s="10">
        <f>'Madine- Coverage'!G186</f>
        <v/>
      </c>
      <c r="I215" s="10">
        <f>'Madine- Coverage'!H186</f>
        <v/>
      </c>
      <c r="J215" s="11">
        <f>'Madine- Coverage'!I186</f>
        <v/>
      </c>
      <c r="K215" s="8">
        <f>'Madine- Coverage'!J186</f>
        <v/>
      </c>
      <c r="L215" s="12">
        <f>'Madine- Coverage'!K186</f>
        <v/>
      </c>
    </row>
    <row r="216" ht="18" customHeight="1" s="96">
      <c r="A216" s="2" t="inlineStr">
        <is>
          <t>Person A</t>
        </is>
      </c>
      <c r="B216" s="3">
        <f>'Madine- Coverage'!A187</f>
        <v/>
      </c>
      <c r="C216" s="2">
        <f>'Madine- Coverage'!A187</f>
        <v/>
      </c>
      <c r="D216" s="3">
        <f>'Madine- Coverage'!C187</f>
        <v/>
      </c>
      <c r="E216" s="3">
        <f>'Madine- Coverage'!D187</f>
        <v/>
      </c>
      <c r="F216" s="3">
        <f>'Madine- Coverage'!E187</f>
        <v/>
      </c>
      <c r="G216" s="4">
        <f>'Madine- Coverage'!F187</f>
        <v/>
      </c>
      <c r="H216" s="5">
        <f>'Madine- Coverage'!G187</f>
        <v/>
      </c>
      <c r="I216" s="5">
        <f>'Madine- Coverage'!H187</f>
        <v/>
      </c>
      <c r="J216" s="6">
        <f>'Madine- Coverage'!I187</f>
        <v/>
      </c>
      <c r="K216" s="3">
        <f>'Madine- Coverage'!J187</f>
        <v/>
      </c>
      <c r="L216" s="13">
        <f>'Madine- Coverage'!K187</f>
        <v/>
      </c>
    </row>
    <row r="217" ht="18" customHeight="1" s="96">
      <c r="A217" s="93" t="inlineStr">
        <is>
          <t>Person A</t>
        </is>
      </c>
      <c r="B217" s="8">
        <f>'Madine- Coverage'!A188</f>
        <v/>
      </c>
      <c r="C217" s="93">
        <f>'Madine- Coverage'!A188</f>
        <v/>
      </c>
      <c r="D217" s="8">
        <f>'Madine- Coverage'!C188</f>
        <v/>
      </c>
      <c r="E217" s="8">
        <f>'Madine- Coverage'!D188</f>
        <v/>
      </c>
      <c r="F217" s="8">
        <f>'Madine- Coverage'!E188</f>
        <v/>
      </c>
      <c r="G217" s="9">
        <f>'Madine- Coverage'!F188</f>
        <v/>
      </c>
      <c r="H217" s="10">
        <f>'Madine- Coverage'!G188</f>
        <v/>
      </c>
      <c r="I217" s="10">
        <f>'Madine- Coverage'!H188</f>
        <v/>
      </c>
      <c r="J217" s="11">
        <f>'Madine- Coverage'!I188</f>
        <v/>
      </c>
      <c r="K217" s="8">
        <f>'Madine- Coverage'!J188</f>
        <v/>
      </c>
      <c r="L217" s="12">
        <f>'Madine- Coverage'!K188</f>
        <v/>
      </c>
    </row>
    <row r="218" ht="18" customHeight="1" s="96">
      <c r="A218" s="2" t="inlineStr">
        <is>
          <t>Person A</t>
        </is>
      </c>
      <c r="B218" s="3">
        <f>'Madine- Coverage'!A189</f>
        <v/>
      </c>
      <c r="C218" s="2">
        <f>'Madine- Coverage'!A189</f>
        <v/>
      </c>
      <c r="D218" s="3">
        <f>'Madine- Coverage'!C189</f>
        <v/>
      </c>
      <c r="E218" s="3">
        <f>'Madine- Coverage'!D189</f>
        <v/>
      </c>
      <c r="F218" s="3">
        <f>'Madine- Coverage'!E189</f>
        <v/>
      </c>
      <c r="G218" s="4">
        <f>'Madine- Coverage'!F189</f>
        <v/>
      </c>
      <c r="H218" s="5">
        <f>'Madine- Coverage'!G189</f>
        <v/>
      </c>
      <c r="I218" s="5">
        <f>'Madine- Coverage'!H189</f>
        <v/>
      </c>
      <c r="J218" s="6">
        <f>'Madine- Coverage'!I189</f>
        <v/>
      </c>
      <c r="K218" s="3">
        <f>'Madine- Coverage'!J189</f>
        <v/>
      </c>
      <c r="L218" s="13">
        <f>'Madine- Coverage'!K189</f>
        <v/>
      </c>
    </row>
    <row r="219" ht="18" customHeight="1" s="96">
      <c r="A219" s="93" t="inlineStr">
        <is>
          <t>Person A</t>
        </is>
      </c>
      <c r="B219" s="8">
        <f>'Madine- Coverage'!A190</f>
        <v/>
      </c>
      <c r="C219" s="93">
        <f>'Madine- Coverage'!A190</f>
        <v/>
      </c>
      <c r="D219" s="8">
        <f>'Madine- Coverage'!C190</f>
        <v/>
      </c>
      <c r="E219" s="8">
        <f>'Madine- Coverage'!D190</f>
        <v/>
      </c>
      <c r="F219" s="8">
        <f>'Madine- Coverage'!E190</f>
        <v/>
      </c>
      <c r="G219" s="9">
        <f>'Madine- Coverage'!F190</f>
        <v/>
      </c>
      <c r="H219" s="10">
        <f>'Madine- Coverage'!G190</f>
        <v/>
      </c>
      <c r="I219" s="10">
        <f>'Madine- Coverage'!H190</f>
        <v/>
      </c>
      <c r="J219" s="11">
        <f>'Madine- Coverage'!I190</f>
        <v/>
      </c>
      <c r="K219" s="8">
        <f>'Madine- Coverage'!J190</f>
        <v/>
      </c>
      <c r="L219" s="12">
        <f>'Madine- Coverage'!K190</f>
        <v/>
      </c>
    </row>
    <row r="220" ht="18" customHeight="1" s="96">
      <c r="A220" s="2" t="inlineStr">
        <is>
          <t>Person A</t>
        </is>
      </c>
      <c r="B220" s="3">
        <f>'Madine- Coverage'!A191</f>
        <v/>
      </c>
      <c r="C220" s="2">
        <f>'Madine- Coverage'!A191</f>
        <v/>
      </c>
      <c r="D220" s="3">
        <f>'Madine- Coverage'!C191</f>
        <v/>
      </c>
      <c r="E220" s="3">
        <f>'Madine- Coverage'!D191</f>
        <v/>
      </c>
      <c r="F220" s="3">
        <f>'Madine- Coverage'!E191</f>
        <v/>
      </c>
      <c r="G220" s="4">
        <f>'Madine- Coverage'!F191</f>
        <v/>
      </c>
      <c r="H220" s="5">
        <f>'Madine- Coverage'!G191</f>
        <v/>
      </c>
      <c r="I220" s="5">
        <f>'Madine- Coverage'!H191</f>
        <v/>
      </c>
      <c r="J220" s="6">
        <f>'Madine- Coverage'!I191</f>
        <v/>
      </c>
      <c r="K220" s="3">
        <f>'Madine- Coverage'!J191</f>
        <v/>
      </c>
      <c r="L220" s="13">
        <f>'Madine- Coverage'!K191</f>
        <v/>
      </c>
    </row>
    <row r="221" ht="18" customHeight="1" s="96">
      <c r="A221" s="93" t="inlineStr">
        <is>
          <t>Person A</t>
        </is>
      </c>
      <c r="B221" s="8">
        <f>'Madine- Coverage'!A192</f>
        <v/>
      </c>
      <c r="C221" s="93">
        <f>'Madine- Coverage'!A192</f>
        <v/>
      </c>
      <c r="D221" s="8">
        <f>'Madine- Coverage'!C192</f>
        <v/>
      </c>
      <c r="E221" s="8">
        <f>'Madine- Coverage'!D192</f>
        <v/>
      </c>
      <c r="F221" s="8">
        <f>'Madine- Coverage'!E192</f>
        <v/>
      </c>
      <c r="G221" s="9">
        <f>'Madine- Coverage'!F192</f>
        <v/>
      </c>
      <c r="H221" s="10">
        <f>'Madine- Coverage'!G192</f>
        <v/>
      </c>
      <c r="I221" s="10">
        <f>'Madine- Coverage'!H192</f>
        <v/>
      </c>
      <c r="J221" s="11">
        <f>'Madine- Coverage'!I192</f>
        <v/>
      </c>
      <c r="K221" s="8">
        <f>'Madine- Coverage'!J192</f>
        <v/>
      </c>
      <c r="L221" s="12">
        <f>'Madine- Coverage'!K192</f>
        <v/>
      </c>
    </row>
    <row r="222" ht="18" customHeight="1" s="96">
      <c r="A222" s="2" t="inlineStr">
        <is>
          <t>Person A</t>
        </is>
      </c>
      <c r="B222" s="3">
        <f>'Madine- Coverage'!A193</f>
        <v/>
      </c>
      <c r="C222" s="2">
        <f>'Madine- Coverage'!A193</f>
        <v/>
      </c>
      <c r="D222" s="3">
        <f>'Madine- Coverage'!C193</f>
        <v/>
      </c>
      <c r="E222" s="3">
        <f>'Madine- Coverage'!D193</f>
        <v/>
      </c>
      <c r="F222" s="3">
        <f>'Madine- Coverage'!E193</f>
        <v/>
      </c>
      <c r="G222" s="4">
        <f>'Madine- Coverage'!F193</f>
        <v/>
      </c>
      <c r="H222" s="5">
        <f>'Madine- Coverage'!G193</f>
        <v/>
      </c>
      <c r="I222" s="5">
        <f>'Madine- Coverage'!H193</f>
        <v/>
      </c>
      <c r="J222" s="6">
        <f>'Madine- Coverage'!I193</f>
        <v/>
      </c>
      <c r="K222" s="3">
        <f>'Madine- Coverage'!J193</f>
        <v/>
      </c>
      <c r="L222" s="13">
        <f>'Madine- Coverage'!K193</f>
        <v/>
      </c>
    </row>
    <row r="223" ht="18" customHeight="1" s="96">
      <c r="A223" s="93" t="inlineStr">
        <is>
          <t>Person A</t>
        </is>
      </c>
      <c r="B223" s="8">
        <f>'Madine- Coverage'!A194</f>
        <v/>
      </c>
      <c r="C223" s="93">
        <f>'Madine- Coverage'!A194</f>
        <v/>
      </c>
      <c r="D223" s="8">
        <f>'Madine- Coverage'!C194</f>
        <v/>
      </c>
      <c r="E223" s="8">
        <f>'Madine- Coverage'!D194</f>
        <v/>
      </c>
      <c r="F223" s="8">
        <f>'Madine- Coverage'!E194</f>
        <v/>
      </c>
      <c r="G223" s="9">
        <f>'Madine- Coverage'!F194</f>
        <v/>
      </c>
      <c r="H223" s="10">
        <f>'Madine- Coverage'!G194</f>
        <v/>
      </c>
      <c r="I223" s="10">
        <f>'Madine- Coverage'!H194</f>
        <v/>
      </c>
      <c r="J223" s="11">
        <f>'Madine- Coverage'!I194</f>
        <v/>
      </c>
      <c r="K223" s="8">
        <f>'Madine- Coverage'!J194</f>
        <v/>
      </c>
      <c r="L223" s="12">
        <f>'Madine- Coverage'!K194</f>
        <v/>
      </c>
    </row>
    <row r="224" ht="18" customHeight="1" s="96">
      <c r="A224" s="2" t="inlineStr">
        <is>
          <t>Person A</t>
        </is>
      </c>
      <c r="B224" s="3">
        <f>'Madine- Coverage'!A195</f>
        <v/>
      </c>
      <c r="C224" s="2">
        <f>'Madine- Coverage'!A195</f>
        <v/>
      </c>
      <c r="D224" s="3">
        <f>'Madine- Coverage'!C195</f>
        <v/>
      </c>
      <c r="E224" s="3">
        <f>'Madine- Coverage'!D195</f>
        <v/>
      </c>
      <c r="F224" s="3">
        <f>'Madine- Coverage'!E195</f>
        <v/>
      </c>
      <c r="G224" s="4">
        <f>'Madine- Coverage'!F195</f>
        <v/>
      </c>
      <c r="H224" s="5">
        <f>'Madine- Coverage'!G195</f>
        <v/>
      </c>
      <c r="I224" s="5">
        <f>'Madine- Coverage'!H195</f>
        <v/>
      </c>
      <c r="J224" s="6">
        <f>'Madine- Coverage'!I195</f>
        <v/>
      </c>
      <c r="K224" s="3">
        <f>'Madine- Coverage'!J195</f>
        <v/>
      </c>
      <c r="L224" s="13">
        <f>'Madine- Coverage'!K195</f>
        <v/>
      </c>
    </row>
    <row r="225" ht="18" customHeight="1" s="96">
      <c r="A225" s="93" t="inlineStr">
        <is>
          <t>Person A</t>
        </is>
      </c>
      <c r="B225" s="8">
        <f>'Madine- Coverage'!A196</f>
        <v/>
      </c>
      <c r="C225" s="93">
        <f>'Madine- Coverage'!A196</f>
        <v/>
      </c>
      <c r="D225" s="8">
        <f>'Madine- Coverage'!C196</f>
        <v/>
      </c>
      <c r="E225" s="8">
        <f>'Madine- Coverage'!D196</f>
        <v/>
      </c>
      <c r="F225" s="8">
        <f>'Madine- Coverage'!E196</f>
        <v/>
      </c>
      <c r="G225" s="9">
        <f>'Madine- Coverage'!F196</f>
        <v/>
      </c>
      <c r="H225" s="10">
        <f>'Madine- Coverage'!G196</f>
        <v/>
      </c>
      <c r="I225" s="10">
        <f>'Madine- Coverage'!H196</f>
        <v/>
      </c>
      <c r="J225" s="11">
        <f>'Madine- Coverage'!I196</f>
        <v/>
      </c>
      <c r="K225" s="8">
        <f>'Madine- Coverage'!J196</f>
        <v/>
      </c>
      <c r="L225" s="12">
        <f>'Madine- Coverage'!K196</f>
        <v/>
      </c>
    </row>
    <row r="226" ht="18" customHeight="1" s="96">
      <c r="A226" s="2" t="inlineStr">
        <is>
          <t>Person A</t>
        </is>
      </c>
      <c r="B226" s="3">
        <f>'Madine- Coverage'!A197</f>
        <v/>
      </c>
      <c r="C226" s="2">
        <f>'Madine- Coverage'!A197</f>
        <v/>
      </c>
      <c r="D226" s="3">
        <f>'Madine- Coverage'!C197</f>
        <v/>
      </c>
      <c r="E226" s="3">
        <f>'Madine- Coverage'!D197</f>
        <v/>
      </c>
      <c r="F226" s="3">
        <f>'Madine- Coverage'!E197</f>
        <v/>
      </c>
      <c r="G226" s="4">
        <f>'Madine- Coverage'!F197</f>
        <v/>
      </c>
      <c r="H226" s="5">
        <f>'Madine- Coverage'!G197</f>
        <v/>
      </c>
      <c r="I226" s="5">
        <f>'Madine- Coverage'!H197</f>
        <v/>
      </c>
      <c r="J226" s="6">
        <f>'Madine- Coverage'!I197</f>
        <v/>
      </c>
      <c r="K226" s="3">
        <f>'Madine- Coverage'!J197</f>
        <v/>
      </c>
      <c r="L226" s="13">
        <f>'Madine- Coverage'!K197</f>
        <v/>
      </c>
    </row>
    <row r="227" ht="18" customHeight="1" s="96">
      <c r="A227" s="93" t="inlineStr">
        <is>
          <t>Person A</t>
        </is>
      </c>
      <c r="B227" s="8">
        <f>'Madine- Coverage'!A198</f>
        <v/>
      </c>
      <c r="C227" s="93">
        <f>'Madine- Coverage'!A198</f>
        <v/>
      </c>
      <c r="D227" s="8">
        <f>'Madine- Coverage'!C198</f>
        <v/>
      </c>
      <c r="E227" s="8">
        <f>'Madine- Coverage'!D198</f>
        <v/>
      </c>
      <c r="F227" s="8">
        <f>'Madine- Coverage'!E198</f>
        <v/>
      </c>
      <c r="G227" s="9">
        <f>'Madine- Coverage'!F198</f>
        <v/>
      </c>
      <c r="H227" s="10">
        <f>'Madine- Coverage'!G198</f>
        <v/>
      </c>
      <c r="I227" s="10">
        <f>'Madine- Coverage'!H198</f>
        <v/>
      </c>
      <c r="J227" s="11">
        <f>'Madine- Coverage'!I198</f>
        <v/>
      </c>
      <c r="K227" s="8">
        <f>'Madine- Coverage'!J198</f>
        <v/>
      </c>
      <c r="L227" s="12">
        <f>'Madine- Coverage'!K198</f>
        <v/>
      </c>
    </row>
    <row r="228" ht="18" customHeight="1" s="96">
      <c r="A228" s="2" t="inlineStr">
        <is>
          <t>Person A</t>
        </is>
      </c>
      <c r="B228" s="3">
        <f>'Madine- Coverage'!A199</f>
        <v/>
      </c>
      <c r="C228" s="2">
        <f>'Madine- Coverage'!A199</f>
        <v/>
      </c>
      <c r="D228" s="3">
        <f>'Madine- Coverage'!C199</f>
        <v/>
      </c>
      <c r="E228" s="3">
        <f>'Madine- Coverage'!D199</f>
        <v/>
      </c>
      <c r="F228" s="3">
        <f>'Madine- Coverage'!E199</f>
        <v/>
      </c>
      <c r="G228" s="4">
        <f>'Madine- Coverage'!F199</f>
        <v/>
      </c>
      <c r="H228" s="5">
        <f>'Madine- Coverage'!G199</f>
        <v/>
      </c>
      <c r="I228" s="5">
        <f>'Madine- Coverage'!H199</f>
        <v/>
      </c>
      <c r="J228" s="6">
        <f>'Madine- Coverage'!I199</f>
        <v/>
      </c>
      <c r="K228" s="3">
        <f>'Madine- Coverage'!J199</f>
        <v/>
      </c>
      <c r="L228" s="13">
        <f>'Madine- Coverage'!K199</f>
        <v/>
      </c>
    </row>
    <row r="229" ht="18" customHeight="1" s="96">
      <c r="A229" s="93" t="inlineStr">
        <is>
          <t>Person A</t>
        </is>
      </c>
      <c r="B229" s="8">
        <f>'Madine- Coverage'!A200</f>
        <v/>
      </c>
      <c r="C229" s="93">
        <f>'Madine- Coverage'!A200</f>
        <v/>
      </c>
      <c r="D229" s="8">
        <f>'Madine- Coverage'!C200</f>
        <v/>
      </c>
      <c r="E229" s="8">
        <f>'Madine- Coverage'!D200</f>
        <v/>
      </c>
      <c r="F229" s="8">
        <f>'Madine- Coverage'!E200</f>
        <v/>
      </c>
      <c r="G229" s="9">
        <f>'Madine- Coverage'!F200</f>
        <v/>
      </c>
      <c r="H229" s="10">
        <f>'Madine- Coverage'!G200</f>
        <v/>
      </c>
      <c r="I229" s="10">
        <f>'Madine- Coverage'!H200</f>
        <v/>
      </c>
      <c r="J229" s="11">
        <f>'Madine- Coverage'!I200</f>
        <v/>
      </c>
      <c r="K229" s="8">
        <f>'Madine- Coverage'!J200</f>
        <v/>
      </c>
      <c r="L229" s="12">
        <f>'Madine- Coverage'!K200</f>
        <v/>
      </c>
    </row>
    <row r="230" ht="18" customHeight="1" s="96">
      <c r="A230" s="2" t="inlineStr">
        <is>
          <t>Person A</t>
        </is>
      </c>
      <c r="B230" s="3">
        <f>'Madine- Coverage'!A201</f>
        <v/>
      </c>
      <c r="C230" s="2">
        <f>'Madine- Coverage'!A201</f>
        <v/>
      </c>
      <c r="D230" s="3">
        <f>'Madine- Coverage'!C201</f>
        <v/>
      </c>
      <c r="E230" s="3">
        <f>'Madine- Coverage'!D201</f>
        <v/>
      </c>
      <c r="F230" s="3">
        <f>'Madine- Coverage'!E201</f>
        <v/>
      </c>
      <c r="G230" s="4">
        <f>'Madine- Coverage'!F201</f>
        <v/>
      </c>
      <c r="H230" s="5">
        <f>'Madine- Coverage'!G201</f>
        <v/>
      </c>
      <c r="I230" s="5">
        <f>'Madine- Coverage'!H201</f>
        <v/>
      </c>
      <c r="J230" s="6">
        <f>'Madine- Coverage'!I201</f>
        <v/>
      </c>
      <c r="K230" s="3">
        <f>'Madine- Coverage'!J201</f>
        <v/>
      </c>
      <c r="L230" s="13">
        <f>'Madine- Coverage'!K201</f>
        <v/>
      </c>
    </row>
    <row r="231" ht="18" customHeight="1" s="96">
      <c r="A231" s="93" t="inlineStr">
        <is>
          <t>Person A</t>
        </is>
      </c>
      <c r="B231" s="8">
        <f>'Madine- Coverage'!A202</f>
        <v/>
      </c>
      <c r="C231" s="93">
        <f>'Madine- Coverage'!A202</f>
        <v/>
      </c>
      <c r="D231" s="8">
        <f>'Madine- Coverage'!C202</f>
        <v/>
      </c>
      <c r="E231" s="8">
        <f>'Madine- Coverage'!D202</f>
        <v/>
      </c>
      <c r="F231" s="8">
        <f>'Madine- Coverage'!E202</f>
        <v/>
      </c>
      <c r="G231" s="9">
        <f>'Madine- Coverage'!F202</f>
        <v/>
      </c>
      <c r="H231" s="10">
        <f>'Madine- Coverage'!G202</f>
        <v/>
      </c>
      <c r="I231" s="10">
        <f>'Madine- Coverage'!H202</f>
        <v/>
      </c>
      <c r="J231" s="11">
        <f>'Madine- Coverage'!I202</f>
        <v/>
      </c>
      <c r="K231" s="8">
        <f>'Madine- Coverage'!J202</f>
        <v/>
      </c>
      <c r="L231" s="12">
        <f>'Madine- Coverage'!K202</f>
        <v/>
      </c>
    </row>
    <row r="232" ht="18" customHeight="1" s="96">
      <c r="A232" s="2" t="inlineStr">
        <is>
          <t>Person B</t>
        </is>
      </c>
      <c r="B232" s="3">
        <f>'Zarrah- Coverage'!A3</f>
        <v/>
      </c>
      <c r="C232" s="2">
        <f>'Zarrah- Coverage'!A3</f>
        <v/>
      </c>
      <c r="D232" s="3">
        <f>'Zarrah- Coverage'!C3</f>
        <v/>
      </c>
      <c r="E232" s="3">
        <f>'Zarrah- Coverage'!D3</f>
        <v/>
      </c>
      <c r="F232" s="3">
        <f>'Zarrah- Coverage'!E3</f>
        <v/>
      </c>
      <c r="G232" s="4">
        <f>'Zarrah- Coverage'!F3</f>
        <v/>
      </c>
      <c r="H232" s="5">
        <f>'Zarrah- Coverage'!G3</f>
        <v/>
      </c>
      <c r="I232" s="5">
        <f>'Zarrah- Coverage'!H3</f>
        <v/>
      </c>
      <c r="J232" s="6">
        <f>'Zarrah- Coverage'!I3</f>
        <v/>
      </c>
      <c r="K232" s="3">
        <f>'Zarrah- Coverage'!J3</f>
        <v/>
      </c>
      <c r="L232" s="13">
        <f>'Zarrah- Coverage'!K3</f>
        <v/>
      </c>
    </row>
    <row r="233" ht="18" customHeight="1" s="96">
      <c r="A233" s="93" t="inlineStr">
        <is>
          <t>Person B</t>
        </is>
      </c>
      <c r="B233" s="8">
        <f>'Zarrah- Coverage'!A4</f>
        <v/>
      </c>
      <c r="C233" s="93">
        <f>'Zarrah- Coverage'!A4</f>
        <v/>
      </c>
      <c r="D233" s="8">
        <f>'Zarrah- Coverage'!C4</f>
        <v/>
      </c>
      <c r="E233" s="8">
        <f>'Zarrah- Coverage'!D4</f>
        <v/>
      </c>
      <c r="F233" s="8">
        <f>'Zarrah- Coverage'!E4</f>
        <v/>
      </c>
      <c r="G233" s="9">
        <f>'Zarrah- Coverage'!F4</f>
        <v/>
      </c>
      <c r="H233" s="10">
        <f>'Zarrah- Coverage'!G4</f>
        <v/>
      </c>
      <c r="I233" s="10">
        <f>'Zarrah- Coverage'!H4</f>
        <v/>
      </c>
      <c r="J233" s="11">
        <f>'Zarrah- Coverage'!I4</f>
        <v/>
      </c>
      <c r="K233" s="8">
        <f>'Zarrah- Coverage'!J4</f>
        <v/>
      </c>
      <c r="L233" s="12">
        <f>'Zarrah- Coverage'!K4</f>
        <v/>
      </c>
    </row>
    <row r="234" ht="18" customHeight="1" s="96">
      <c r="A234" s="2" t="inlineStr">
        <is>
          <t>Person B</t>
        </is>
      </c>
      <c r="B234" s="3">
        <f>'Zarrah- Coverage'!A5</f>
        <v/>
      </c>
      <c r="C234" s="2">
        <f>'Zarrah- Coverage'!A5</f>
        <v/>
      </c>
      <c r="D234" s="3">
        <f>'Zarrah- Coverage'!C5</f>
        <v/>
      </c>
      <c r="E234" s="3">
        <f>'Zarrah- Coverage'!D5</f>
        <v/>
      </c>
      <c r="F234" s="3">
        <f>'Zarrah- Coverage'!E5</f>
        <v/>
      </c>
      <c r="G234" s="4">
        <f>'Zarrah- Coverage'!F5</f>
        <v/>
      </c>
      <c r="H234" s="5">
        <f>'Zarrah- Coverage'!G5</f>
        <v/>
      </c>
      <c r="I234" s="5">
        <f>'Zarrah- Coverage'!H5</f>
        <v/>
      </c>
      <c r="J234" s="6">
        <f>'Zarrah- Coverage'!I5</f>
        <v/>
      </c>
      <c r="K234" s="3">
        <f>'Zarrah- Coverage'!J5</f>
        <v/>
      </c>
      <c r="L234" s="13">
        <f>'Zarrah- Coverage'!K5</f>
        <v/>
      </c>
    </row>
    <row r="235" ht="18" customHeight="1" s="96">
      <c r="A235" s="93" t="inlineStr">
        <is>
          <t>Person B</t>
        </is>
      </c>
      <c r="B235" s="8">
        <f>'Zarrah- Coverage'!A6</f>
        <v/>
      </c>
      <c r="C235" s="93">
        <f>'Zarrah- Coverage'!A6</f>
        <v/>
      </c>
      <c r="D235" s="8">
        <f>'Zarrah- Coverage'!C6</f>
        <v/>
      </c>
      <c r="E235" s="8">
        <f>'Zarrah- Coverage'!D6</f>
        <v/>
      </c>
      <c r="F235" s="8">
        <f>'Zarrah- Coverage'!E6</f>
        <v/>
      </c>
      <c r="G235" s="9">
        <f>'Zarrah- Coverage'!F6</f>
        <v/>
      </c>
      <c r="H235" s="10">
        <f>'Zarrah- Coverage'!G6</f>
        <v/>
      </c>
      <c r="I235" s="10">
        <f>'Zarrah- Coverage'!H6</f>
        <v/>
      </c>
      <c r="J235" s="11">
        <f>'Zarrah- Coverage'!I6</f>
        <v/>
      </c>
      <c r="K235" s="8">
        <f>'Zarrah- Coverage'!J6</f>
        <v/>
      </c>
      <c r="L235" s="12">
        <f>'Zarrah- Coverage'!K6</f>
        <v/>
      </c>
    </row>
    <row r="236" ht="18" customHeight="1" s="96">
      <c r="A236" s="2" t="inlineStr">
        <is>
          <t>Person B</t>
        </is>
      </c>
      <c r="B236" s="3">
        <f>'Zarrah- Coverage'!A7</f>
        <v/>
      </c>
      <c r="C236" s="2">
        <f>'Zarrah- Coverage'!A7</f>
        <v/>
      </c>
      <c r="D236" s="3">
        <f>'Zarrah- Coverage'!C7</f>
        <v/>
      </c>
      <c r="E236" s="3">
        <f>'Zarrah- Coverage'!D7</f>
        <v/>
      </c>
      <c r="F236" s="3">
        <f>'Zarrah- Coverage'!E7</f>
        <v/>
      </c>
      <c r="G236" s="4">
        <f>'Zarrah- Coverage'!F7</f>
        <v/>
      </c>
      <c r="H236" s="5">
        <f>'Zarrah- Coverage'!G7</f>
        <v/>
      </c>
      <c r="I236" s="5">
        <f>'Zarrah- Coverage'!H7</f>
        <v/>
      </c>
      <c r="J236" s="6">
        <f>'Zarrah- Coverage'!I7</f>
        <v/>
      </c>
      <c r="K236" s="3">
        <f>'Zarrah- Coverage'!J7</f>
        <v/>
      </c>
      <c r="L236" s="13">
        <f>'Zarrah- Coverage'!K7</f>
        <v/>
      </c>
    </row>
    <row r="237" ht="18" customHeight="1" s="96">
      <c r="A237" s="93" t="inlineStr">
        <is>
          <t>Person B</t>
        </is>
      </c>
      <c r="B237" s="8">
        <f>'Zarrah- Coverage'!A8</f>
        <v/>
      </c>
      <c r="C237" s="93">
        <f>'Zarrah- Coverage'!A8</f>
        <v/>
      </c>
      <c r="D237" s="8">
        <f>'Zarrah- Coverage'!C8</f>
        <v/>
      </c>
      <c r="E237" s="8">
        <f>'Zarrah- Coverage'!D8</f>
        <v/>
      </c>
      <c r="F237" s="8">
        <f>'Zarrah- Coverage'!E8</f>
        <v/>
      </c>
      <c r="G237" s="9">
        <f>'Zarrah- Coverage'!F8</f>
        <v/>
      </c>
      <c r="H237" s="10">
        <f>'Zarrah- Coverage'!G8</f>
        <v/>
      </c>
      <c r="I237" s="10">
        <f>'Zarrah- Coverage'!H8</f>
        <v/>
      </c>
      <c r="J237" s="11">
        <f>'Zarrah- Coverage'!I8</f>
        <v/>
      </c>
      <c r="K237" s="8">
        <f>'Zarrah- Coverage'!J8</f>
        <v/>
      </c>
      <c r="L237" s="12">
        <f>'Zarrah- Coverage'!K8</f>
        <v/>
      </c>
    </row>
    <row r="238" ht="18" customHeight="1" s="96">
      <c r="A238" s="2" t="inlineStr">
        <is>
          <t>Person B</t>
        </is>
      </c>
      <c r="B238" s="3">
        <f>'Zarrah- Coverage'!A9</f>
        <v/>
      </c>
      <c r="C238" s="2">
        <f>'Zarrah- Coverage'!A9</f>
        <v/>
      </c>
      <c r="D238" s="3">
        <f>'Zarrah- Coverage'!C9</f>
        <v/>
      </c>
      <c r="E238" s="3">
        <f>'Zarrah- Coverage'!D9</f>
        <v/>
      </c>
      <c r="F238" s="3">
        <f>'Zarrah- Coverage'!E9</f>
        <v/>
      </c>
      <c r="G238" s="4">
        <f>'Zarrah- Coverage'!F9</f>
        <v/>
      </c>
      <c r="H238" s="5">
        <f>'Zarrah- Coverage'!G9</f>
        <v/>
      </c>
      <c r="I238" s="5">
        <f>'Zarrah- Coverage'!H9</f>
        <v/>
      </c>
      <c r="J238" s="6">
        <f>'Zarrah- Coverage'!I9</f>
        <v/>
      </c>
      <c r="K238" s="3">
        <f>'Zarrah- Coverage'!J9</f>
        <v/>
      </c>
      <c r="L238" s="13">
        <f>'Zarrah- Coverage'!K9</f>
        <v/>
      </c>
    </row>
    <row r="239" ht="18" customHeight="1" s="96">
      <c r="A239" s="93" t="inlineStr">
        <is>
          <t>Person B</t>
        </is>
      </c>
      <c r="B239" s="8">
        <f>'Zarrah- Coverage'!A10</f>
        <v/>
      </c>
      <c r="C239" s="93">
        <f>'Zarrah- Coverage'!A10</f>
        <v/>
      </c>
      <c r="D239" s="8">
        <f>'Zarrah- Coverage'!C10</f>
        <v/>
      </c>
      <c r="E239" s="8">
        <f>'Zarrah- Coverage'!D10</f>
        <v/>
      </c>
      <c r="F239" s="8">
        <f>'Zarrah- Coverage'!E10</f>
        <v/>
      </c>
      <c r="G239" s="9">
        <f>'Zarrah- Coverage'!F10</f>
        <v/>
      </c>
      <c r="H239" s="10">
        <f>'Zarrah- Coverage'!G10</f>
        <v/>
      </c>
      <c r="I239" s="10">
        <f>'Zarrah- Coverage'!H10</f>
        <v/>
      </c>
      <c r="J239" s="11">
        <f>'Zarrah- Coverage'!I10</f>
        <v/>
      </c>
      <c r="K239" s="8">
        <f>'Zarrah- Coverage'!J10</f>
        <v/>
      </c>
      <c r="L239" s="12">
        <f>'Zarrah- Coverage'!K10</f>
        <v/>
      </c>
    </row>
    <row r="240" ht="18" customHeight="1" s="96">
      <c r="A240" s="2" t="inlineStr">
        <is>
          <t>Person B</t>
        </is>
      </c>
      <c r="B240" s="3">
        <f>'Zarrah- Coverage'!A11</f>
        <v/>
      </c>
      <c r="C240" s="2">
        <f>'Zarrah- Coverage'!A11</f>
        <v/>
      </c>
      <c r="D240" s="3">
        <f>'Zarrah- Coverage'!C11</f>
        <v/>
      </c>
      <c r="E240" s="3">
        <f>'Zarrah- Coverage'!D11</f>
        <v/>
      </c>
      <c r="F240" s="3">
        <f>'Zarrah- Coverage'!E11</f>
        <v/>
      </c>
      <c r="G240" s="4">
        <f>'Zarrah- Coverage'!F11</f>
        <v/>
      </c>
      <c r="H240" s="5">
        <f>'Zarrah- Coverage'!G11</f>
        <v/>
      </c>
      <c r="I240" s="5">
        <f>'Zarrah- Coverage'!H11</f>
        <v/>
      </c>
      <c r="J240" s="6">
        <f>'Zarrah- Coverage'!I11</f>
        <v/>
      </c>
      <c r="K240" s="3">
        <f>'Zarrah- Coverage'!J11</f>
        <v/>
      </c>
      <c r="L240" s="13">
        <f>'Zarrah- Coverage'!K11</f>
        <v/>
      </c>
    </row>
    <row r="241" ht="18" customHeight="1" s="96">
      <c r="A241" s="93" t="inlineStr">
        <is>
          <t>Person B</t>
        </is>
      </c>
      <c r="B241" s="8">
        <f>'Zarrah- Coverage'!A12</f>
        <v/>
      </c>
      <c r="C241" s="93">
        <f>'Zarrah- Coverage'!A12</f>
        <v/>
      </c>
      <c r="D241" s="8">
        <f>'Zarrah- Coverage'!C12</f>
        <v/>
      </c>
      <c r="E241" s="8">
        <f>'Zarrah- Coverage'!D12</f>
        <v/>
      </c>
      <c r="F241" s="8">
        <f>'Zarrah- Coverage'!E12</f>
        <v/>
      </c>
      <c r="G241" s="9">
        <f>'Zarrah- Coverage'!F12</f>
        <v/>
      </c>
      <c r="H241" s="10">
        <f>'Zarrah- Coverage'!G12</f>
        <v/>
      </c>
      <c r="I241" s="10">
        <f>'Zarrah- Coverage'!H12</f>
        <v/>
      </c>
      <c r="J241" s="11">
        <f>'Zarrah- Coverage'!I12</f>
        <v/>
      </c>
      <c r="K241" s="8">
        <f>'Zarrah- Coverage'!J12</f>
        <v/>
      </c>
      <c r="L241" s="12">
        <f>'Zarrah- Coverage'!K12</f>
        <v/>
      </c>
    </row>
    <row r="242" ht="18" customHeight="1" s="96">
      <c r="A242" s="2" t="inlineStr">
        <is>
          <t>Person B</t>
        </is>
      </c>
      <c r="B242" s="3">
        <f>'Zarrah- Coverage'!A13</f>
        <v/>
      </c>
      <c r="C242" s="2">
        <f>'Zarrah- Coverage'!A13</f>
        <v/>
      </c>
      <c r="D242" s="3">
        <f>'Zarrah- Coverage'!C13</f>
        <v/>
      </c>
      <c r="E242" s="3">
        <f>'Zarrah- Coverage'!D13</f>
        <v/>
      </c>
      <c r="F242" s="3">
        <f>'Zarrah- Coverage'!E13</f>
        <v/>
      </c>
      <c r="G242" s="4">
        <f>'Zarrah- Coverage'!F13</f>
        <v/>
      </c>
      <c r="H242" s="5">
        <f>'Zarrah- Coverage'!G13</f>
        <v/>
      </c>
      <c r="I242" s="5">
        <f>'Zarrah- Coverage'!H13</f>
        <v/>
      </c>
      <c r="J242" s="6">
        <f>'Zarrah- Coverage'!I13</f>
        <v/>
      </c>
      <c r="K242" s="3">
        <f>'Zarrah- Coverage'!J13</f>
        <v/>
      </c>
      <c r="L242" s="13">
        <f>'Zarrah- Coverage'!K13</f>
        <v/>
      </c>
    </row>
    <row r="243" ht="18" customHeight="1" s="96">
      <c r="A243" s="93" t="inlineStr">
        <is>
          <t>Person B</t>
        </is>
      </c>
      <c r="B243" s="8">
        <f>'Zarrah- Coverage'!A14</f>
        <v/>
      </c>
      <c r="C243" s="93">
        <f>'Zarrah- Coverage'!A14</f>
        <v/>
      </c>
      <c r="D243" s="8">
        <f>'Zarrah- Coverage'!C14</f>
        <v/>
      </c>
      <c r="E243" s="8">
        <f>'Zarrah- Coverage'!D14</f>
        <v/>
      </c>
      <c r="F243" s="8">
        <f>'Zarrah- Coverage'!E14</f>
        <v/>
      </c>
      <c r="G243" s="9">
        <f>'Zarrah- Coverage'!F14</f>
        <v/>
      </c>
      <c r="H243" s="10">
        <f>'Zarrah- Coverage'!G14</f>
        <v/>
      </c>
      <c r="I243" s="10">
        <f>'Zarrah- Coverage'!H14</f>
        <v/>
      </c>
      <c r="J243" s="11">
        <f>'Zarrah- Coverage'!I14</f>
        <v/>
      </c>
      <c r="K243" s="8">
        <f>'Zarrah- Coverage'!J14</f>
        <v/>
      </c>
      <c r="L243" s="12">
        <f>'Zarrah- Coverage'!K14</f>
        <v/>
      </c>
    </row>
    <row r="244" ht="18" customHeight="1" s="96">
      <c r="A244" s="2" t="inlineStr">
        <is>
          <t>Person B</t>
        </is>
      </c>
      <c r="B244" s="3">
        <f>'Zarrah- Coverage'!A15</f>
        <v/>
      </c>
      <c r="C244" s="2">
        <f>'Zarrah- Coverage'!A15</f>
        <v/>
      </c>
      <c r="D244" s="3">
        <f>'Zarrah- Coverage'!C15</f>
        <v/>
      </c>
      <c r="E244" s="3">
        <f>'Zarrah- Coverage'!D15</f>
        <v/>
      </c>
      <c r="F244" s="3">
        <f>'Zarrah- Coverage'!E15</f>
        <v/>
      </c>
      <c r="G244" s="4">
        <f>'Zarrah- Coverage'!F15</f>
        <v/>
      </c>
      <c r="H244" s="5">
        <f>'Zarrah- Coverage'!G15</f>
        <v/>
      </c>
      <c r="I244" s="5">
        <f>'Zarrah- Coverage'!H15</f>
        <v/>
      </c>
      <c r="J244" s="6">
        <f>'Zarrah- Coverage'!I15</f>
        <v/>
      </c>
      <c r="K244" s="3">
        <f>'Zarrah- Coverage'!J15</f>
        <v/>
      </c>
      <c r="L244" s="13">
        <f>'Zarrah- Coverage'!K15</f>
        <v/>
      </c>
    </row>
    <row r="245" ht="18" customHeight="1" s="96">
      <c r="A245" s="93" t="inlineStr">
        <is>
          <t>Person B</t>
        </is>
      </c>
      <c r="B245" s="8">
        <f>'Zarrah- Coverage'!A16</f>
        <v/>
      </c>
      <c r="C245" s="93">
        <f>'Zarrah- Coverage'!A16</f>
        <v/>
      </c>
      <c r="D245" s="8">
        <f>'Zarrah- Coverage'!C16</f>
        <v/>
      </c>
      <c r="E245" s="8">
        <f>'Zarrah- Coverage'!D16</f>
        <v/>
      </c>
      <c r="F245" s="8">
        <f>'Zarrah- Coverage'!E16</f>
        <v/>
      </c>
      <c r="G245" s="9">
        <f>'Zarrah- Coverage'!F16</f>
        <v/>
      </c>
      <c r="H245" s="10">
        <f>'Zarrah- Coverage'!G16</f>
        <v/>
      </c>
      <c r="I245" s="10">
        <f>'Zarrah- Coverage'!H16</f>
        <v/>
      </c>
      <c r="J245" s="11">
        <f>'Zarrah- Coverage'!I16</f>
        <v/>
      </c>
      <c r="K245" s="8">
        <f>'Zarrah- Coverage'!J16</f>
        <v/>
      </c>
      <c r="L245" s="12">
        <f>'Zarrah- Coverage'!K16</f>
        <v/>
      </c>
    </row>
    <row r="246" ht="18" customHeight="1" s="96">
      <c r="A246" s="2" t="inlineStr">
        <is>
          <t>Person B</t>
        </is>
      </c>
      <c r="B246" s="3">
        <f>'Zarrah- Coverage'!A17</f>
        <v/>
      </c>
      <c r="C246" s="2">
        <f>'Zarrah- Coverage'!A17</f>
        <v/>
      </c>
      <c r="D246" s="3">
        <f>'Zarrah- Coverage'!C17</f>
        <v/>
      </c>
      <c r="E246" s="3">
        <f>'Zarrah- Coverage'!D17</f>
        <v/>
      </c>
      <c r="F246" s="3">
        <f>'Zarrah- Coverage'!E17</f>
        <v/>
      </c>
      <c r="G246" s="4">
        <f>'Zarrah- Coverage'!F17</f>
        <v/>
      </c>
      <c r="H246" s="5">
        <f>'Zarrah- Coverage'!G17</f>
        <v/>
      </c>
      <c r="I246" s="5">
        <f>'Zarrah- Coverage'!H17</f>
        <v/>
      </c>
      <c r="J246" s="6">
        <f>'Zarrah- Coverage'!I17</f>
        <v/>
      </c>
      <c r="K246" s="3">
        <f>'Zarrah- Coverage'!J17</f>
        <v/>
      </c>
      <c r="L246" s="13">
        <f>'Zarrah- Coverage'!K17</f>
        <v/>
      </c>
    </row>
    <row r="247" ht="18" customHeight="1" s="96">
      <c r="A247" s="93" t="inlineStr">
        <is>
          <t>Person B</t>
        </is>
      </c>
      <c r="B247" s="8">
        <f>'Zarrah- Coverage'!A18</f>
        <v/>
      </c>
      <c r="C247" s="93">
        <f>'Zarrah- Coverage'!A18</f>
        <v/>
      </c>
      <c r="D247" s="8">
        <f>'Zarrah- Coverage'!C18</f>
        <v/>
      </c>
      <c r="E247" s="8">
        <f>'Zarrah- Coverage'!D18</f>
        <v/>
      </c>
      <c r="F247" s="8">
        <f>'Zarrah- Coverage'!E18</f>
        <v/>
      </c>
      <c r="G247" s="9">
        <f>'Zarrah- Coverage'!F18</f>
        <v/>
      </c>
      <c r="H247" s="10">
        <f>'Zarrah- Coverage'!G18</f>
        <v/>
      </c>
      <c r="I247" s="10">
        <f>'Zarrah- Coverage'!H18</f>
        <v/>
      </c>
      <c r="J247" s="11">
        <f>'Zarrah- Coverage'!I18</f>
        <v/>
      </c>
      <c r="K247" s="8">
        <f>'Zarrah- Coverage'!J18</f>
        <v/>
      </c>
      <c r="L247" s="12">
        <f>'Zarrah- Coverage'!K18</f>
        <v/>
      </c>
    </row>
    <row r="248" ht="18" customHeight="1" s="96">
      <c r="A248" s="2" t="inlineStr">
        <is>
          <t>Person B</t>
        </is>
      </c>
      <c r="B248" s="3">
        <f>'Zarrah- Coverage'!A19</f>
        <v/>
      </c>
      <c r="C248" s="2">
        <f>'Zarrah- Coverage'!A19</f>
        <v/>
      </c>
      <c r="D248" s="3">
        <f>'Zarrah- Coverage'!C19</f>
        <v/>
      </c>
      <c r="E248" s="3">
        <f>'Zarrah- Coverage'!D19</f>
        <v/>
      </c>
      <c r="F248" s="3">
        <f>'Zarrah- Coverage'!E19</f>
        <v/>
      </c>
      <c r="G248" s="4">
        <f>'Zarrah- Coverage'!F19</f>
        <v/>
      </c>
      <c r="H248" s="5">
        <f>'Zarrah- Coverage'!G19</f>
        <v/>
      </c>
      <c r="I248" s="5">
        <f>'Zarrah- Coverage'!H19</f>
        <v/>
      </c>
      <c r="J248" s="6">
        <f>'Zarrah- Coverage'!I19</f>
        <v/>
      </c>
      <c r="K248" s="3">
        <f>'Zarrah- Coverage'!J19</f>
        <v/>
      </c>
      <c r="L248" s="13">
        <f>'Zarrah- Coverage'!K19</f>
        <v/>
      </c>
    </row>
    <row r="249" ht="18" customHeight="1" s="96">
      <c r="A249" s="93" t="inlineStr">
        <is>
          <t>Person B</t>
        </is>
      </c>
      <c r="B249" s="8">
        <f>'Zarrah- Coverage'!A20</f>
        <v/>
      </c>
      <c r="C249" s="93">
        <f>'Zarrah- Coverage'!A20</f>
        <v/>
      </c>
      <c r="D249" s="8">
        <f>'Zarrah- Coverage'!C20</f>
        <v/>
      </c>
      <c r="E249" s="8">
        <f>'Zarrah- Coverage'!D20</f>
        <v/>
      </c>
      <c r="F249" s="8">
        <f>'Zarrah- Coverage'!E20</f>
        <v/>
      </c>
      <c r="G249" s="9">
        <f>'Zarrah- Coverage'!F20</f>
        <v/>
      </c>
      <c r="H249" s="10">
        <f>'Zarrah- Coverage'!G20</f>
        <v/>
      </c>
      <c r="I249" s="10">
        <f>'Zarrah- Coverage'!H20</f>
        <v/>
      </c>
      <c r="J249" s="11">
        <f>'Zarrah- Coverage'!I20</f>
        <v/>
      </c>
      <c r="K249" s="8">
        <f>'Zarrah- Coverage'!J20</f>
        <v/>
      </c>
      <c r="L249" s="12">
        <f>'Zarrah- Coverage'!K20</f>
        <v/>
      </c>
    </row>
    <row r="250" ht="18" customHeight="1" s="96">
      <c r="A250" s="2" t="inlineStr">
        <is>
          <t>Person B</t>
        </is>
      </c>
      <c r="B250" s="3">
        <f>'Zarrah- Coverage'!A21</f>
        <v/>
      </c>
      <c r="C250" s="2">
        <f>'Zarrah- Coverage'!A21</f>
        <v/>
      </c>
      <c r="D250" s="3">
        <f>'Zarrah- Coverage'!C21</f>
        <v/>
      </c>
      <c r="E250" s="3">
        <f>'Zarrah- Coverage'!D21</f>
        <v/>
      </c>
      <c r="F250" s="3">
        <f>'Zarrah- Coverage'!E21</f>
        <v/>
      </c>
      <c r="G250" s="4">
        <f>'Zarrah- Coverage'!F21</f>
        <v/>
      </c>
      <c r="H250" s="5">
        <f>'Zarrah- Coverage'!G21</f>
        <v/>
      </c>
      <c r="I250" s="5">
        <f>'Zarrah- Coverage'!H21</f>
        <v/>
      </c>
      <c r="J250" s="6">
        <f>'Zarrah- Coverage'!I21</f>
        <v/>
      </c>
      <c r="K250" s="3">
        <f>'Zarrah- Coverage'!J21</f>
        <v/>
      </c>
      <c r="L250" s="13">
        <f>'Zarrah- Coverage'!K21</f>
        <v/>
      </c>
    </row>
    <row r="251" ht="18" customHeight="1" s="96">
      <c r="A251" s="93" t="inlineStr">
        <is>
          <t>Person B</t>
        </is>
      </c>
      <c r="B251" s="8">
        <f>'Zarrah- Coverage'!A22</f>
        <v/>
      </c>
      <c r="C251" s="93">
        <f>'Zarrah- Coverage'!A22</f>
        <v/>
      </c>
      <c r="D251" s="8">
        <f>'Zarrah- Coverage'!C22</f>
        <v/>
      </c>
      <c r="E251" s="8">
        <f>'Zarrah- Coverage'!D22</f>
        <v/>
      </c>
      <c r="F251" s="8">
        <f>'Zarrah- Coverage'!E22</f>
        <v/>
      </c>
      <c r="G251" s="9">
        <f>'Zarrah- Coverage'!F22</f>
        <v/>
      </c>
      <c r="H251" s="10">
        <f>'Zarrah- Coverage'!G22</f>
        <v/>
      </c>
      <c r="I251" s="10">
        <f>'Zarrah- Coverage'!H22</f>
        <v/>
      </c>
      <c r="J251" s="11">
        <f>'Zarrah- Coverage'!I22</f>
        <v/>
      </c>
      <c r="K251" s="8">
        <f>'Zarrah- Coverage'!J22</f>
        <v/>
      </c>
      <c r="L251" s="12">
        <f>'Zarrah- Coverage'!K22</f>
        <v/>
      </c>
    </row>
    <row r="252" ht="18" customHeight="1" s="96">
      <c r="A252" s="2" t="inlineStr">
        <is>
          <t>Person B</t>
        </is>
      </c>
      <c r="B252" s="3">
        <f>'Zarrah- Coverage'!A23</f>
        <v/>
      </c>
      <c r="C252" s="2">
        <f>'Zarrah- Coverage'!A23</f>
        <v/>
      </c>
      <c r="D252" s="3">
        <f>'Zarrah- Coverage'!C23</f>
        <v/>
      </c>
      <c r="E252" s="3">
        <f>'Zarrah- Coverage'!D23</f>
        <v/>
      </c>
      <c r="F252" s="3">
        <f>'Zarrah- Coverage'!E23</f>
        <v/>
      </c>
      <c r="G252" s="4">
        <f>'Zarrah- Coverage'!F23</f>
        <v/>
      </c>
      <c r="H252" s="5">
        <f>'Zarrah- Coverage'!G23</f>
        <v/>
      </c>
      <c r="I252" s="5">
        <f>'Zarrah- Coverage'!H23</f>
        <v/>
      </c>
      <c r="J252" s="6">
        <f>'Zarrah- Coverage'!I23</f>
        <v/>
      </c>
      <c r="K252" s="3">
        <f>'Zarrah- Coverage'!J23</f>
        <v/>
      </c>
      <c r="L252" s="13">
        <f>'Zarrah- Coverage'!K23</f>
        <v/>
      </c>
    </row>
    <row r="253" ht="18" customHeight="1" s="96">
      <c r="A253" s="93" t="inlineStr">
        <is>
          <t>Person B</t>
        </is>
      </c>
      <c r="B253" s="8">
        <f>'Zarrah- Coverage'!A24</f>
        <v/>
      </c>
      <c r="C253" s="93">
        <f>'Zarrah- Coverage'!A24</f>
        <v/>
      </c>
      <c r="D253" s="8">
        <f>'Zarrah- Coverage'!C24</f>
        <v/>
      </c>
      <c r="E253" s="8">
        <f>'Zarrah- Coverage'!D24</f>
        <v/>
      </c>
      <c r="F253" s="8">
        <f>'Zarrah- Coverage'!E24</f>
        <v/>
      </c>
      <c r="G253" s="9">
        <f>'Zarrah- Coverage'!F24</f>
        <v/>
      </c>
      <c r="H253" s="10">
        <f>'Zarrah- Coverage'!G24</f>
        <v/>
      </c>
      <c r="I253" s="10">
        <f>'Zarrah- Coverage'!H24</f>
        <v/>
      </c>
      <c r="J253" s="11">
        <f>'Zarrah- Coverage'!I24</f>
        <v/>
      </c>
      <c r="K253" s="8">
        <f>'Zarrah- Coverage'!J24</f>
        <v/>
      </c>
      <c r="L253" s="12">
        <f>'Zarrah- Coverage'!K24</f>
        <v/>
      </c>
    </row>
    <row r="254" ht="18" customHeight="1" s="96">
      <c r="A254" s="2" t="inlineStr">
        <is>
          <t>Person B</t>
        </is>
      </c>
      <c r="B254" s="3">
        <f>'Zarrah- Coverage'!A25</f>
        <v/>
      </c>
      <c r="C254" s="2">
        <f>'Zarrah- Coverage'!A25</f>
        <v/>
      </c>
      <c r="D254" s="3">
        <f>'Zarrah- Coverage'!C25</f>
        <v/>
      </c>
      <c r="E254" s="3">
        <f>'Zarrah- Coverage'!D25</f>
        <v/>
      </c>
      <c r="F254" s="3">
        <f>'Zarrah- Coverage'!E25</f>
        <v/>
      </c>
      <c r="G254" s="4">
        <f>'Zarrah- Coverage'!F25</f>
        <v/>
      </c>
      <c r="H254" s="5">
        <f>'Zarrah- Coverage'!G25</f>
        <v/>
      </c>
      <c r="I254" s="5">
        <f>'Zarrah- Coverage'!H25</f>
        <v/>
      </c>
      <c r="J254" s="6">
        <f>'Zarrah- Coverage'!I25</f>
        <v/>
      </c>
      <c r="K254" s="3">
        <f>'Zarrah- Coverage'!J25</f>
        <v/>
      </c>
      <c r="L254" s="13">
        <f>'Zarrah- Coverage'!K25</f>
        <v/>
      </c>
    </row>
    <row r="255" ht="18" customHeight="1" s="96">
      <c r="A255" s="93" t="inlineStr">
        <is>
          <t>Person B</t>
        </is>
      </c>
      <c r="B255" s="8">
        <f>'Zarrah- Coverage'!A26</f>
        <v/>
      </c>
      <c r="C255" s="93">
        <f>'Zarrah- Coverage'!A26</f>
        <v/>
      </c>
      <c r="D255" s="8">
        <f>'Zarrah- Coverage'!C26</f>
        <v/>
      </c>
      <c r="E255" s="8">
        <f>'Zarrah- Coverage'!D26</f>
        <v/>
      </c>
      <c r="F255" s="8">
        <f>'Zarrah- Coverage'!E26</f>
        <v/>
      </c>
      <c r="G255" s="9">
        <f>'Zarrah- Coverage'!F26</f>
        <v/>
      </c>
      <c r="H255" s="10">
        <f>'Zarrah- Coverage'!G26</f>
        <v/>
      </c>
      <c r="I255" s="10">
        <f>'Zarrah- Coverage'!H26</f>
        <v/>
      </c>
      <c r="J255" s="11">
        <f>'Zarrah- Coverage'!I26</f>
        <v/>
      </c>
      <c r="K255" s="8">
        <f>'Zarrah- Coverage'!J26</f>
        <v/>
      </c>
      <c r="L255" s="12">
        <f>'Zarrah- Coverage'!K26</f>
        <v/>
      </c>
    </row>
    <row r="256" ht="18" customHeight="1" s="96">
      <c r="A256" s="2" t="inlineStr">
        <is>
          <t>Person B</t>
        </is>
      </c>
      <c r="B256" s="3">
        <f>'Zarrah- Coverage'!A27</f>
        <v/>
      </c>
      <c r="C256" s="2">
        <f>'Zarrah- Coverage'!A27</f>
        <v/>
      </c>
      <c r="D256" s="3">
        <f>'Zarrah- Coverage'!C27</f>
        <v/>
      </c>
      <c r="E256" s="3">
        <f>'Zarrah- Coverage'!D27</f>
        <v/>
      </c>
      <c r="F256" s="3">
        <f>'Zarrah- Coverage'!E27</f>
        <v/>
      </c>
      <c r="G256" s="4">
        <f>'Zarrah- Coverage'!F27</f>
        <v/>
      </c>
      <c r="H256" s="5">
        <f>'Zarrah- Coverage'!G27</f>
        <v/>
      </c>
      <c r="I256" s="5">
        <f>'Zarrah- Coverage'!H27</f>
        <v/>
      </c>
      <c r="J256" s="6">
        <f>'Zarrah- Coverage'!I27</f>
        <v/>
      </c>
      <c r="K256" s="3">
        <f>'Zarrah- Coverage'!J27</f>
        <v/>
      </c>
      <c r="L256" s="13">
        <f>'Zarrah- Coverage'!K27</f>
        <v/>
      </c>
    </row>
    <row r="257" ht="18" customHeight="1" s="96">
      <c r="A257" s="93" t="inlineStr">
        <is>
          <t>Person B</t>
        </is>
      </c>
      <c r="B257" s="8">
        <f>'Zarrah- Coverage'!A28</f>
        <v/>
      </c>
      <c r="C257" s="93">
        <f>'Zarrah- Coverage'!A28</f>
        <v/>
      </c>
      <c r="D257" s="8">
        <f>'Zarrah- Coverage'!C28</f>
        <v/>
      </c>
      <c r="E257" s="8">
        <f>'Zarrah- Coverage'!D28</f>
        <v/>
      </c>
      <c r="F257" s="8">
        <f>'Zarrah- Coverage'!E28</f>
        <v/>
      </c>
      <c r="G257" s="9">
        <f>'Zarrah- Coverage'!F28</f>
        <v/>
      </c>
      <c r="H257" s="10">
        <f>'Zarrah- Coverage'!G28</f>
        <v/>
      </c>
      <c r="I257" s="10">
        <f>'Zarrah- Coverage'!H28</f>
        <v/>
      </c>
      <c r="J257" s="11">
        <f>'Zarrah- Coverage'!I28</f>
        <v/>
      </c>
      <c r="K257" s="8">
        <f>'Zarrah- Coverage'!J28</f>
        <v/>
      </c>
      <c r="L257" s="12">
        <f>'Zarrah- Coverage'!K28</f>
        <v/>
      </c>
    </row>
    <row r="258" ht="18" customHeight="1" s="96">
      <c r="A258" s="2" t="inlineStr">
        <is>
          <t>Person B</t>
        </is>
      </c>
      <c r="B258" s="3">
        <f>'Zarrah- Coverage'!A29</f>
        <v/>
      </c>
      <c r="C258" s="2">
        <f>'Zarrah- Coverage'!A29</f>
        <v/>
      </c>
      <c r="D258" s="3">
        <f>'Zarrah- Coverage'!C29</f>
        <v/>
      </c>
      <c r="E258" s="3">
        <f>'Zarrah- Coverage'!D29</f>
        <v/>
      </c>
      <c r="F258" s="3">
        <f>'Zarrah- Coverage'!E29</f>
        <v/>
      </c>
      <c r="G258" s="4">
        <f>'Zarrah- Coverage'!F29</f>
        <v/>
      </c>
      <c r="H258" s="5">
        <f>'Zarrah- Coverage'!G29</f>
        <v/>
      </c>
      <c r="I258" s="5">
        <f>'Zarrah- Coverage'!H29</f>
        <v/>
      </c>
      <c r="J258" s="6">
        <f>'Zarrah- Coverage'!I29</f>
        <v/>
      </c>
      <c r="K258" s="3">
        <f>'Zarrah- Coverage'!J29</f>
        <v/>
      </c>
      <c r="L258" s="13">
        <f>'Zarrah- Coverage'!K29</f>
        <v/>
      </c>
    </row>
    <row r="259" ht="18" customHeight="1" s="96">
      <c r="A259" s="93" t="inlineStr">
        <is>
          <t>Person B</t>
        </is>
      </c>
      <c r="B259" s="8">
        <f>'Zarrah- Coverage'!A30</f>
        <v/>
      </c>
      <c r="C259" s="93">
        <f>'Zarrah- Coverage'!A30</f>
        <v/>
      </c>
      <c r="D259" s="8">
        <f>'Zarrah- Coverage'!C30</f>
        <v/>
      </c>
      <c r="E259" s="8">
        <f>'Zarrah- Coverage'!D30</f>
        <v/>
      </c>
      <c r="F259" s="8">
        <f>'Zarrah- Coverage'!E30</f>
        <v/>
      </c>
      <c r="G259" s="9">
        <f>'Zarrah- Coverage'!F30</f>
        <v/>
      </c>
      <c r="H259" s="10">
        <f>'Zarrah- Coverage'!G30</f>
        <v/>
      </c>
      <c r="I259" s="10">
        <f>'Zarrah- Coverage'!H30</f>
        <v/>
      </c>
      <c r="J259" s="11">
        <f>'Zarrah- Coverage'!I30</f>
        <v/>
      </c>
      <c r="K259" s="8">
        <f>'Zarrah- Coverage'!J30</f>
        <v/>
      </c>
      <c r="L259" s="12">
        <f>'Zarrah- Coverage'!K30</f>
        <v/>
      </c>
    </row>
    <row r="260" ht="18" customHeight="1" s="96">
      <c r="A260" s="2" t="inlineStr">
        <is>
          <t>Person B</t>
        </is>
      </c>
      <c r="B260" s="3">
        <f>'Zarrah- Coverage'!A31</f>
        <v/>
      </c>
      <c r="C260" s="2">
        <f>'Zarrah- Coverage'!A31</f>
        <v/>
      </c>
      <c r="D260" s="3">
        <f>'Zarrah- Coverage'!C31</f>
        <v/>
      </c>
      <c r="E260" s="3">
        <f>'Zarrah- Coverage'!D31</f>
        <v/>
      </c>
      <c r="F260" s="3">
        <f>'Zarrah- Coverage'!E31</f>
        <v/>
      </c>
      <c r="G260" s="4">
        <f>'Zarrah- Coverage'!F31</f>
        <v/>
      </c>
      <c r="H260" s="5">
        <f>'Zarrah- Coverage'!G31</f>
        <v/>
      </c>
      <c r="I260" s="5">
        <f>'Zarrah- Coverage'!H31</f>
        <v/>
      </c>
      <c r="J260" s="6">
        <f>'Zarrah- Coverage'!I31</f>
        <v/>
      </c>
      <c r="K260" s="3">
        <f>'Zarrah- Coverage'!J31</f>
        <v/>
      </c>
      <c r="L260" s="13">
        <f>'Zarrah- Coverage'!K31</f>
        <v/>
      </c>
    </row>
    <row r="261" ht="18" customHeight="1" s="96">
      <c r="A261" s="93" t="inlineStr">
        <is>
          <t>Person B</t>
        </is>
      </c>
      <c r="B261" s="8">
        <f>'Zarrah- Coverage'!A32</f>
        <v/>
      </c>
      <c r="C261" s="93">
        <f>'Zarrah- Coverage'!A32</f>
        <v/>
      </c>
      <c r="D261" s="8">
        <f>'Zarrah- Coverage'!C32</f>
        <v/>
      </c>
      <c r="E261" s="8">
        <f>'Zarrah- Coverage'!D32</f>
        <v/>
      </c>
      <c r="F261" s="8">
        <f>'Zarrah- Coverage'!E32</f>
        <v/>
      </c>
      <c r="G261" s="9">
        <f>'Zarrah- Coverage'!F32</f>
        <v/>
      </c>
      <c r="H261" s="10">
        <f>'Zarrah- Coverage'!G32</f>
        <v/>
      </c>
      <c r="I261" s="10">
        <f>'Zarrah- Coverage'!H32</f>
        <v/>
      </c>
      <c r="J261" s="11">
        <f>'Zarrah- Coverage'!I32</f>
        <v/>
      </c>
      <c r="K261" s="8">
        <f>'Zarrah- Coverage'!J32</f>
        <v/>
      </c>
      <c r="L261" s="12">
        <f>'Zarrah- Coverage'!K32</f>
        <v/>
      </c>
    </row>
    <row r="262" ht="18" customHeight="1" s="96">
      <c r="A262" s="2" t="inlineStr">
        <is>
          <t>Person B</t>
        </is>
      </c>
      <c r="B262" s="3">
        <f>'Zarrah- Coverage'!A33</f>
        <v/>
      </c>
      <c r="C262" s="2">
        <f>'Zarrah- Coverage'!A33</f>
        <v/>
      </c>
      <c r="D262" s="3">
        <f>'Zarrah- Coverage'!C33</f>
        <v/>
      </c>
      <c r="E262" s="3">
        <f>'Zarrah- Coverage'!D33</f>
        <v/>
      </c>
      <c r="F262" s="3">
        <f>'Zarrah- Coverage'!E33</f>
        <v/>
      </c>
      <c r="G262" s="4">
        <f>'Zarrah- Coverage'!F33</f>
        <v/>
      </c>
      <c r="H262" s="5">
        <f>'Zarrah- Coverage'!G33</f>
        <v/>
      </c>
      <c r="I262" s="5">
        <f>'Zarrah- Coverage'!H33</f>
        <v/>
      </c>
      <c r="J262" s="6">
        <f>'Zarrah- Coverage'!I33</f>
        <v/>
      </c>
      <c r="K262" s="3">
        <f>'Zarrah- Coverage'!J33</f>
        <v/>
      </c>
      <c r="L262" s="13">
        <f>'Zarrah- Coverage'!K33</f>
        <v/>
      </c>
    </row>
    <row r="263" ht="18" customHeight="1" s="96">
      <c r="A263" s="93" t="inlineStr">
        <is>
          <t>Person B</t>
        </is>
      </c>
      <c r="B263" s="8">
        <f>'Zarrah- Coverage'!A34</f>
        <v/>
      </c>
      <c r="C263" s="93">
        <f>'Zarrah- Coverage'!A34</f>
        <v/>
      </c>
      <c r="D263" s="8">
        <f>'Zarrah- Coverage'!C34</f>
        <v/>
      </c>
      <c r="E263" s="8">
        <f>'Zarrah- Coverage'!D34</f>
        <v/>
      </c>
      <c r="F263" s="8">
        <f>'Zarrah- Coverage'!E34</f>
        <v/>
      </c>
      <c r="G263" s="9">
        <f>'Zarrah- Coverage'!F34</f>
        <v/>
      </c>
      <c r="H263" s="10">
        <f>'Zarrah- Coverage'!G34</f>
        <v/>
      </c>
      <c r="I263" s="10">
        <f>'Zarrah- Coverage'!H34</f>
        <v/>
      </c>
      <c r="J263" s="11">
        <f>'Zarrah- Coverage'!I34</f>
        <v/>
      </c>
      <c r="K263" s="8">
        <f>'Zarrah- Coverage'!J34</f>
        <v/>
      </c>
      <c r="L263" s="12">
        <f>'Zarrah- Coverage'!K34</f>
        <v/>
      </c>
    </row>
    <row r="264" ht="18" customHeight="1" s="96">
      <c r="A264" s="2" t="inlineStr">
        <is>
          <t>Person B</t>
        </is>
      </c>
      <c r="B264" s="3">
        <f>'Zarrah- Coverage'!A35</f>
        <v/>
      </c>
      <c r="C264" s="2">
        <f>'Zarrah- Coverage'!A35</f>
        <v/>
      </c>
      <c r="D264" s="3">
        <f>'Zarrah- Coverage'!C35</f>
        <v/>
      </c>
      <c r="E264" s="3">
        <f>'Zarrah- Coverage'!D35</f>
        <v/>
      </c>
      <c r="F264" s="3">
        <f>'Zarrah- Coverage'!E35</f>
        <v/>
      </c>
      <c r="G264" s="4">
        <f>'Zarrah- Coverage'!F35</f>
        <v/>
      </c>
      <c r="H264" s="5">
        <f>'Zarrah- Coverage'!G35</f>
        <v/>
      </c>
      <c r="I264" s="5">
        <f>'Zarrah- Coverage'!H35</f>
        <v/>
      </c>
      <c r="J264" s="6">
        <f>'Zarrah- Coverage'!I35</f>
        <v/>
      </c>
      <c r="K264" s="3">
        <f>'Zarrah- Coverage'!J35</f>
        <v/>
      </c>
      <c r="L264" s="13">
        <f>'Zarrah- Coverage'!K35</f>
        <v/>
      </c>
    </row>
    <row r="265" ht="18" customHeight="1" s="96">
      <c r="A265" s="93" t="inlineStr">
        <is>
          <t>Person B</t>
        </is>
      </c>
      <c r="B265" s="8">
        <f>'Zarrah- Coverage'!A36</f>
        <v/>
      </c>
      <c r="C265" s="93">
        <f>'Zarrah- Coverage'!A36</f>
        <v/>
      </c>
      <c r="D265" s="8">
        <f>'Zarrah- Coverage'!C36</f>
        <v/>
      </c>
      <c r="E265" s="8">
        <f>'Zarrah- Coverage'!D36</f>
        <v/>
      </c>
      <c r="F265" s="8">
        <f>'Zarrah- Coverage'!E36</f>
        <v/>
      </c>
      <c r="G265" s="9">
        <f>'Zarrah- Coverage'!F36</f>
        <v/>
      </c>
      <c r="H265" s="10">
        <f>'Zarrah- Coverage'!G36</f>
        <v/>
      </c>
      <c r="I265" s="10">
        <f>'Zarrah- Coverage'!H36</f>
        <v/>
      </c>
      <c r="J265" s="11">
        <f>'Zarrah- Coverage'!I36</f>
        <v/>
      </c>
      <c r="K265" s="8">
        <f>'Zarrah- Coverage'!J36</f>
        <v/>
      </c>
      <c r="L265" s="12">
        <f>'Zarrah- Coverage'!K36</f>
        <v/>
      </c>
    </row>
    <row r="266" ht="18" customHeight="1" s="96">
      <c r="A266" s="2" t="inlineStr">
        <is>
          <t>Person B</t>
        </is>
      </c>
      <c r="B266" s="3">
        <f>'Zarrah- Coverage'!A37</f>
        <v/>
      </c>
      <c r="C266" s="2">
        <f>'Zarrah- Coverage'!A37</f>
        <v/>
      </c>
      <c r="D266" s="3">
        <f>'Zarrah- Coverage'!C37</f>
        <v/>
      </c>
      <c r="E266" s="3">
        <f>'Zarrah- Coverage'!D37</f>
        <v/>
      </c>
      <c r="F266" s="3">
        <f>'Zarrah- Coverage'!E37</f>
        <v/>
      </c>
      <c r="G266" s="4">
        <f>'Zarrah- Coverage'!F37</f>
        <v/>
      </c>
      <c r="H266" s="5">
        <f>'Zarrah- Coverage'!G37</f>
        <v/>
      </c>
      <c r="I266" s="5">
        <f>'Zarrah- Coverage'!H37</f>
        <v/>
      </c>
      <c r="J266" s="6">
        <f>'Zarrah- Coverage'!I37</f>
        <v/>
      </c>
      <c r="K266" s="3">
        <f>'Zarrah- Coverage'!J37</f>
        <v/>
      </c>
      <c r="L266" s="13">
        <f>'Zarrah- Coverage'!K37</f>
        <v/>
      </c>
    </row>
    <row r="267" ht="18" customHeight="1" s="96">
      <c r="A267" s="93" t="inlineStr">
        <is>
          <t>Person B</t>
        </is>
      </c>
      <c r="B267" s="8">
        <f>'Zarrah- Coverage'!A38</f>
        <v/>
      </c>
      <c r="C267" s="93">
        <f>'Zarrah- Coverage'!A38</f>
        <v/>
      </c>
      <c r="D267" s="8">
        <f>'Zarrah- Coverage'!C38</f>
        <v/>
      </c>
      <c r="E267" s="8">
        <f>'Zarrah- Coverage'!D38</f>
        <v/>
      </c>
      <c r="F267" s="8">
        <f>'Zarrah- Coverage'!E38</f>
        <v/>
      </c>
      <c r="G267" s="9">
        <f>'Zarrah- Coverage'!F38</f>
        <v/>
      </c>
      <c r="H267" s="10">
        <f>'Zarrah- Coverage'!G38</f>
        <v/>
      </c>
      <c r="I267" s="10">
        <f>'Zarrah- Coverage'!H38</f>
        <v/>
      </c>
      <c r="J267" s="11">
        <f>'Zarrah- Coverage'!I38</f>
        <v/>
      </c>
      <c r="K267" s="8">
        <f>'Zarrah- Coverage'!J38</f>
        <v/>
      </c>
      <c r="L267" s="12">
        <f>'Zarrah- Coverage'!K38</f>
        <v/>
      </c>
    </row>
    <row r="268" ht="18" customHeight="1" s="96">
      <c r="A268" s="2" t="inlineStr">
        <is>
          <t>Person B</t>
        </is>
      </c>
      <c r="B268" s="3">
        <f>'Zarrah- Coverage'!A39</f>
        <v/>
      </c>
      <c r="C268" s="2">
        <f>'Zarrah- Coverage'!A39</f>
        <v/>
      </c>
      <c r="D268" s="3">
        <f>'Zarrah- Coverage'!C39</f>
        <v/>
      </c>
      <c r="E268" s="3">
        <f>'Zarrah- Coverage'!D39</f>
        <v/>
      </c>
      <c r="F268" s="3">
        <f>'Zarrah- Coverage'!E39</f>
        <v/>
      </c>
      <c r="G268" s="4">
        <f>'Zarrah- Coverage'!F39</f>
        <v/>
      </c>
      <c r="H268" s="5">
        <f>'Zarrah- Coverage'!G39</f>
        <v/>
      </c>
      <c r="I268" s="5">
        <f>'Zarrah- Coverage'!H39</f>
        <v/>
      </c>
      <c r="J268" s="6">
        <f>'Zarrah- Coverage'!I39</f>
        <v/>
      </c>
      <c r="K268" s="3">
        <f>'Zarrah- Coverage'!J39</f>
        <v/>
      </c>
      <c r="L268" s="13">
        <f>'Zarrah- Coverage'!K39</f>
        <v/>
      </c>
    </row>
    <row r="269" ht="18" customHeight="1" s="96">
      <c r="A269" s="93" t="inlineStr">
        <is>
          <t>Person B</t>
        </is>
      </c>
      <c r="B269" s="8">
        <f>'Zarrah- Coverage'!A40</f>
        <v/>
      </c>
      <c r="C269" s="93">
        <f>'Zarrah- Coverage'!A40</f>
        <v/>
      </c>
      <c r="D269" s="8">
        <f>'Zarrah- Coverage'!C40</f>
        <v/>
      </c>
      <c r="E269" s="8">
        <f>'Zarrah- Coverage'!D40</f>
        <v/>
      </c>
      <c r="F269" s="8">
        <f>'Zarrah- Coverage'!E40</f>
        <v/>
      </c>
      <c r="G269" s="9">
        <f>'Zarrah- Coverage'!F40</f>
        <v/>
      </c>
      <c r="H269" s="10">
        <f>'Zarrah- Coverage'!G40</f>
        <v/>
      </c>
      <c r="I269" s="10">
        <f>'Zarrah- Coverage'!H40</f>
        <v/>
      </c>
      <c r="J269" s="11">
        <f>'Zarrah- Coverage'!I40</f>
        <v/>
      </c>
      <c r="K269" s="8">
        <f>'Zarrah- Coverage'!J40</f>
        <v/>
      </c>
      <c r="L269" s="12">
        <f>'Zarrah- Coverage'!K40</f>
        <v/>
      </c>
    </row>
    <row r="270" ht="18" customHeight="1" s="96">
      <c r="A270" s="2" t="inlineStr">
        <is>
          <t>Person B</t>
        </is>
      </c>
      <c r="B270" s="3">
        <f>'Zarrah- Coverage'!A41</f>
        <v/>
      </c>
      <c r="C270" s="2">
        <f>'Zarrah- Coverage'!A41</f>
        <v/>
      </c>
      <c r="D270" s="3">
        <f>'Zarrah- Coverage'!C41</f>
        <v/>
      </c>
      <c r="E270" s="3">
        <f>'Zarrah- Coverage'!D41</f>
        <v/>
      </c>
      <c r="F270" s="3">
        <f>'Zarrah- Coverage'!E41</f>
        <v/>
      </c>
      <c r="G270" s="4">
        <f>'Zarrah- Coverage'!F41</f>
        <v/>
      </c>
      <c r="H270" s="5">
        <f>'Zarrah- Coverage'!G41</f>
        <v/>
      </c>
      <c r="I270" s="5">
        <f>'Zarrah- Coverage'!H41</f>
        <v/>
      </c>
      <c r="J270" s="6">
        <f>'Zarrah- Coverage'!I41</f>
        <v/>
      </c>
      <c r="K270" s="3">
        <f>'Zarrah- Coverage'!J41</f>
        <v/>
      </c>
      <c r="L270" s="13">
        <f>'Zarrah- Coverage'!K41</f>
        <v/>
      </c>
    </row>
    <row r="271" ht="18" customHeight="1" s="96">
      <c r="A271" s="93" t="inlineStr">
        <is>
          <t>Person B</t>
        </is>
      </c>
      <c r="B271" s="8">
        <f>'Zarrah- Coverage'!A42</f>
        <v/>
      </c>
      <c r="C271" s="93">
        <f>'Zarrah- Coverage'!A42</f>
        <v/>
      </c>
      <c r="D271" s="8">
        <f>'Zarrah- Coverage'!C42</f>
        <v/>
      </c>
      <c r="E271" s="8">
        <f>'Zarrah- Coverage'!D42</f>
        <v/>
      </c>
      <c r="F271" s="8">
        <f>'Zarrah- Coverage'!E42</f>
        <v/>
      </c>
      <c r="G271" s="9">
        <f>'Zarrah- Coverage'!F42</f>
        <v/>
      </c>
      <c r="H271" s="10">
        <f>'Zarrah- Coverage'!G42</f>
        <v/>
      </c>
      <c r="I271" s="10">
        <f>'Zarrah- Coverage'!H42</f>
        <v/>
      </c>
      <c r="J271" s="11">
        <f>'Zarrah- Coverage'!I42</f>
        <v/>
      </c>
      <c r="K271" s="8">
        <f>'Zarrah- Coverage'!J42</f>
        <v/>
      </c>
      <c r="L271" s="12">
        <f>'Zarrah- Coverage'!K42</f>
        <v/>
      </c>
    </row>
    <row r="272" ht="18" customHeight="1" s="96">
      <c r="A272" s="2" t="inlineStr">
        <is>
          <t>Person B</t>
        </is>
      </c>
      <c r="B272" s="3">
        <f>'Zarrah- Coverage'!A43</f>
        <v/>
      </c>
      <c r="C272" s="2">
        <f>'Zarrah- Coverage'!A43</f>
        <v/>
      </c>
      <c r="D272" s="3">
        <f>'Zarrah- Coverage'!C43</f>
        <v/>
      </c>
      <c r="E272" s="3">
        <f>'Zarrah- Coverage'!D43</f>
        <v/>
      </c>
      <c r="F272" s="3">
        <f>'Zarrah- Coverage'!E43</f>
        <v/>
      </c>
      <c r="G272" s="4">
        <f>'Zarrah- Coverage'!F43</f>
        <v/>
      </c>
      <c r="H272" s="5">
        <f>'Zarrah- Coverage'!G43</f>
        <v/>
      </c>
      <c r="I272" s="5">
        <f>'Zarrah- Coverage'!H43</f>
        <v/>
      </c>
      <c r="J272" s="6">
        <f>'Zarrah- Coverage'!I43</f>
        <v/>
      </c>
      <c r="K272" s="3">
        <f>'Zarrah- Coverage'!J43</f>
        <v/>
      </c>
      <c r="L272" s="13">
        <f>'Zarrah- Coverage'!K43</f>
        <v/>
      </c>
    </row>
    <row r="273" ht="18" customHeight="1" s="96">
      <c r="A273" s="93" t="inlineStr">
        <is>
          <t>Person B</t>
        </is>
      </c>
      <c r="B273" s="8">
        <f>'Zarrah- Coverage'!A44</f>
        <v/>
      </c>
      <c r="C273" s="93">
        <f>'Zarrah- Coverage'!A44</f>
        <v/>
      </c>
      <c r="D273" s="8">
        <f>'Zarrah- Coverage'!C44</f>
        <v/>
      </c>
      <c r="E273" s="8">
        <f>'Zarrah- Coverage'!D44</f>
        <v/>
      </c>
      <c r="F273" s="8">
        <f>'Zarrah- Coverage'!E44</f>
        <v/>
      </c>
      <c r="G273" s="9">
        <f>'Zarrah- Coverage'!F44</f>
        <v/>
      </c>
      <c r="H273" s="10">
        <f>'Zarrah- Coverage'!G44</f>
        <v/>
      </c>
      <c r="I273" s="10">
        <f>'Zarrah- Coverage'!H44</f>
        <v/>
      </c>
      <c r="J273" s="11">
        <f>'Zarrah- Coverage'!I44</f>
        <v/>
      </c>
      <c r="K273" s="8">
        <f>'Zarrah- Coverage'!J44</f>
        <v/>
      </c>
      <c r="L273" s="12">
        <f>'Zarrah- Coverage'!K44</f>
        <v/>
      </c>
    </row>
    <row r="274" ht="18" customHeight="1" s="96">
      <c r="A274" s="2" t="inlineStr">
        <is>
          <t>Person B</t>
        </is>
      </c>
      <c r="B274" s="3">
        <f>'Zarrah- Coverage'!A45</f>
        <v/>
      </c>
      <c r="C274" s="2">
        <f>'Zarrah- Coverage'!A45</f>
        <v/>
      </c>
      <c r="D274" s="3">
        <f>'Zarrah- Coverage'!C45</f>
        <v/>
      </c>
      <c r="E274" s="3">
        <f>'Zarrah- Coverage'!D45</f>
        <v/>
      </c>
      <c r="F274" s="3">
        <f>'Zarrah- Coverage'!E45</f>
        <v/>
      </c>
      <c r="G274" s="4">
        <f>'Zarrah- Coverage'!F45</f>
        <v/>
      </c>
      <c r="H274" s="5">
        <f>'Zarrah- Coverage'!G45</f>
        <v/>
      </c>
      <c r="I274" s="5">
        <f>'Zarrah- Coverage'!H45</f>
        <v/>
      </c>
      <c r="J274" s="6">
        <f>'Zarrah- Coverage'!I45</f>
        <v/>
      </c>
      <c r="K274" s="3">
        <f>'Zarrah- Coverage'!J45</f>
        <v/>
      </c>
      <c r="L274" s="13">
        <f>'Zarrah- Coverage'!K45</f>
        <v/>
      </c>
    </row>
    <row r="275" ht="18" customHeight="1" s="96">
      <c r="A275" s="93" t="inlineStr">
        <is>
          <t>Person B</t>
        </is>
      </c>
      <c r="B275" s="8">
        <f>'Zarrah- Coverage'!A46</f>
        <v/>
      </c>
      <c r="C275" s="93">
        <f>'Zarrah- Coverage'!A46</f>
        <v/>
      </c>
      <c r="D275" s="8">
        <f>'Zarrah- Coverage'!C46</f>
        <v/>
      </c>
      <c r="E275" s="8">
        <f>'Zarrah- Coverage'!D46</f>
        <v/>
      </c>
      <c r="F275" s="8">
        <f>'Zarrah- Coverage'!E46</f>
        <v/>
      </c>
      <c r="G275" s="9">
        <f>'Zarrah- Coverage'!F46</f>
        <v/>
      </c>
      <c r="H275" s="10">
        <f>'Zarrah- Coverage'!G46</f>
        <v/>
      </c>
      <c r="I275" s="10">
        <f>'Zarrah- Coverage'!H46</f>
        <v/>
      </c>
      <c r="J275" s="11">
        <f>'Zarrah- Coverage'!I46</f>
        <v/>
      </c>
      <c r="K275" s="8">
        <f>'Zarrah- Coverage'!J46</f>
        <v/>
      </c>
      <c r="L275" s="12">
        <f>'Zarrah- Coverage'!K46</f>
        <v/>
      </c>
    </row>
    <row r="276" ht="18" customHeight="1" s="96">
      <c r="A276" s="2" t="inlineStr">
        <is>
          <t>Person B</t>
        </is>
      </c>
      <c r="B276" s="3">
        <f>'Zarrah- Coverage'!A47</f>
        <v/>
      </c>
      <c r="C276" s="2">
        <f>'Zarrah- Coverage'!A47</f>
        <v/>
      </c>
      <c r="D276" s="3">
        <f>'Zarrah- Coverage'!C47</f>
        <v/>
      </c>
      <c r="E276" s="3">
        <f>'Zarrah- Coverage'!D47</f>
        <v/>
      </c>
      <c r="F276" s="3">
        <f>'Zarrah- Coverage'!E47</f>
        <v/>
      </c>
      <c r="G276" s="4">
        <f>'Zarrah- Coverage'!F47</f>
        <v/>
      </c>
      <c r="H276" s="5">
        <f>'Zarrah- Coverage'!G47</f>
        <v/>
      </c>
      <c r="I276" s="5">
        <f>'Zarrah- Coverage'!H47</f>
        <v/>
      </c>
      <c r="J276" s="6">
        <f>'Zarrah- Coverage'!I47</f>
        <v/>
      </c>
      <c r="K276" s="3">
        <f>'Zarrah- Coverage'!J47</f>
        <v/>
      </c>
      <c r="L276" s="13">
        <f>'Zarrah- Coverage'!K47</f>
        <v/>
      </c>
    </row>
    <row r="277" ht="18" customHeight="1" s="96">
      <c r="A277" s="93" t="inlineStr">
        <is>
          <t>Person B</t>
        </is>
      </c>
      <c r="B277" s="8">
        <f>'Zarrah- Coverage'!A48</f>
        <v/>
      </c>
      <c r="C277" s="93">
        <f>'Zarrah- Coverage'!A48</f>
        <v/>
      </c>
      <c r="D277" s="8">
        <f>'Zarrah- Coverage'!C48</f>
        <v/>
      </c>
      <c r="E277" s="8">
        <f>'Zarrah- Coverage'!D48</f>
        <v/>
      </c>
      <c r="F277" s="8">
        <f>'Zarrah- Coverage'!E48</f>
        <v/>
      </c>
      <c r="G277" s="9">
        <f>'Zarrah- Coverage'!F48</f>
        <v/>
      </c>
      <c r="H277" s="10">
        <f>'Zarrah- Coverage'!G48</f>
        <v/>
      </c>
      <c r="I277" s="10">
        <f>'Zarrah- Coverage'!H48</f>
        <v/>
      </c>
      <c r="J277" s="11">
        <f>'Zarrah- Coverage'!I48</f>
        <v/>
      </c>
      <c r="K277" s="8">
        <f>'Zarrah- Coverage'!J48</f>
        <v/>
      </c>
      <c r="L277" s="12">
        <f>'Zarrah- Coverage'!K48</f>
        <v/>
      </c>
    </row>
    <row r="278" ht="18" customHeight="1" s="96">
      <c r="A278" s="2" t="inlineStr">
        <is>
          <t>Person B</t>
        </is>
      </c>
      <c r="B278" s="3">
        <f>'Zarrah- Coverage'!A49</f>
        <v/>
      </c>
      <c r="C278" s="2">
        <f>'Zarrah- Coverage'!A49</f>
        <v/>
      </c>
      <c r="D278" s="3">
        <f>'Zarrah- Coverage'!C49</f>
        <v/>
      </c>
      <c r="E278" s="3">
        <f>'Zarrah- Coverage'!D49</f>
        <v/>
      </c>
      <c r="F278" s="3">
        <f>'Zarrah- Coverage'!E49</f>
        <v/>
      </c>
      <c r="G278" s="4">
        <f>'Zarrah- Coverage'!F49</f>
        <v/>
      </c>
      <c r="H278" s="5">
        <f>'Zarrah- Coverage'!G49</f>
        <v/>
      </c>
      <c r="I278" s="5">
        <f>'Zarrah- Coverage'!H49</f>
        <v/>
      </c>
      <c r="J278" s="6">
        <f>'Zarrah- Coverage'!I49</f>
        <v/>
      </c>
      <c r="K278" s="3">
        <f>'Zarrah- Coverage'!J49</f>
        <v/>
      </c>
      <c r="L278" s="13">
        <f>'Zarrah- Coverage'!K49</f>
        <v/>
      </c>
    </row>
    <row r="279" ht="18" customHeight="1" s="96">
      <c r="A279" s="93" t="inlineStr">
        <is>
          <t>Person B</t>
        </is>
      </c>
      <c r="B279" s="8">
        <f>'Zarrah- Coverage'!A50</f>
        <v/>
      </c>
      <c r="C279" s="93">
        <f>'Zarrah- Coverage'!A50</f>
        <v/>
      </c>
      <c r="D279" s="8">
        <f>'Zarrah- Coverage'!C50</f>
        <v/>
      </c>
      <c r="E279" s="8">
        <f>'Zarrah- Coverage'!D50</f>
        <v/>
      </c>
      <c r="F279" s="8">
        <f>'Zarrah- Coverage'!E50</f>
        <v/>
      </c>
      <c r="G279" s="9">
        <f>'Zarrah- Coverage'!F50</f>
        <v/>
      </c>
      <c r="H279" s="10">
        <f>'Zarrah- Coverage'!G50</f>
        <v/>
      </c>
      <c r="I279" s="10">
        <f>'Zarrah- Coverage'!H50</f>
        <v/>
      </c>
      <c r="J279" s="11">
        <f>'Zarrah- Coverage'!I50</f>
        <v/>
      </c>
      <c r="K279" s="8">
        <f>'Zarrah- Coverage'!J50</f>
        <v/>
      </c>
      <c r="L279" s="12">
        <f>'Zarrah- Coverage'!K50</f>
        <v/>
      </c>
    </row>
    <row r="280" ht="18" customHeight="1" s="96">
      <c r="A280" s="2" t="inlineStr">
        <is>
          <t>Person B</t>
        </is>
      </c>
      <c r="B280" s="3">
        <f>'Zarrah- Coverage'!A51</f>
        <v/>
      </c>
      <c r="C280" s="2">
        <f>'Zarrah- Coverage'!A51</f>
        <v/>
      </c>
      <c r="D280" s="3">
        <f>'Zarrah- Coverage'!C51</f>
        <v/>
      </c>
      <c r="E280" s="3">
        <f>'Zarrah- Coverage'!D51</f>
        <v/>
      </c>
      <c r="F280" s="3">
        <f>'Zarrah- Coverage'!E51</f>
        <v/>
      </c>
      <c r="G280" s="4">
        <f>'Zarrah- Coverage'!F51</f>
        <v/>
      </c>
      <c r="H280" s="5">
        <f>'Zarrah- Coverage'!G51</f>
        <v/>
      </c>
      <c r="I280" s="5">
        <f>'Zarrah- Coverage'!H51</f>
        <v/>
      </c>
      <c r="J280" s="6">
        <f>'Zarrah- Coverage'!I51</f>
        <v/>
      </c>
      <c r="K280" s="3">
        <f>'Zarrah- Coverage'!J51</f>
        <v/>
      </c>
      <c r="L280" s="13">
        <f>'Zarrah- Coverage'!K51</f>
        <v/>
      </c>
    </row>
    <row r="281" ht="18" customHeight="1" s="96">
      <c r="A281" s="93" t="inlineStr">
        <is>
          <t>Person B</t>
        </is>
      </c>
      <c r="B281" s="8">
        <f>'Zarrah- Coverage'!A52</f>
        <v/>
      </c>
      <c r="C281" s="93">
        <f>'Zarrah- Coverage'!A52</f>
        <v/>
      </c>
      <c r="D281" s="8">
        <f>'Zarrah- Coverage'!C52</f>
        <v/>
      </c>
      <c r="E281" s="8">
        <f>'Zarrah- Coverage'!D52</f>
        <v/>
      </c>
      <c r="F281" s="8">
        <f>'Zarrah- Coverage'!E52</f>
        <v/>
      </c>
      <c r="G281" s="9">
        <f>'Zarrah- Coverage'!F52</f>
        <v/>
      </c>
      <c r="H281" s="10">
        <f>'Zarrah- Coverage'!G52</f>
        <v/>
      </c>
      <c r="I281" s="10">
        <f>'Zarrah- Coverage'!H52</f>
        <v/>
      </c>
      <c r="J281" s="11">
        <f>'Zarrah- Coverage'!I52</f>
        <v/>
      </c>
      <c r="K281" s="8">
        <f>'Zarrah- Coverage'!J52</f>
        <v/>
      </c>
      <c r="L281" s="12">
        <f>'Zarrah- Coverage'!K52</f>
        <v/>
      </c>
    </row>
    <row r="282" ht="18" customHeight="1" s="96">
      <c r="A282" s="2" t="inlineStr">
        <is>
          <t>Person B</t>
        </is>
      </c>
      <c r="B282" s="3">
        <f>'Zarrah- Coverage'!A53</f>
        <v/>
      </c>
      <c r="C282" s="2">
        <f>'Zarrah- Coverage'!A53</f>
        <v/>
      </c>
      <c r="D282" s="3">
        <f>'Zarrah- Coverage'!C53</f>
        <v/>
      </c>
      <c r="E282" s="3">
        <f>'Zarrah- Coverage'!D53</f>
        <v/>
      </c>
      <c r="F282" s="3">
        <f>'Zarrah- Coverage'!E53</f>
        <v/>
      </c>
      <c r="G282" s="4">
        <f>'Zarrah- Coverage'!F53</f>
        <v/>
      </c>
      <c r="H282" s="5">
        <f>'Zarrah- Coverage'!G53</f>
        <v/>
      </c>
      <c r="I282" s="5">
        <f>'Zarrah- Coverage'!H53</f>
        <v/>
      </c>
      <c r="J282" s="6">
        <f>'Zarrah- Coverage'!I53</f>
        <v/>
      </c>
      <c r="K282" s="3">
        <f>'Zarrah- Coverage'!J53</f>
        <v/>
      </c>
      <c r="L282" s="13">
        <f>'Zarrah- Coverage'!K53</f>
        <v/>
      </c>
    </row>
    <row r="283" ht="18" customHeight="1" s="96">
      <c r="A283" s="93" t="inlineStr">
        <is>
          <t>Person B</t>
        </is>
      </c>
      <c r="B283" s="8">
        <f>'Zarrah- Coverage'!A54</f>
        <v/>
      </c>
      <c r="C283" s="93">
        <f>'Zarrah- Coverage'!A54</f>
        <v/>
      </c>
      <c r="D283" s="8">
        <f>'Zarrah- Coverage'!C54</f>
        <v/>
      </c>
      <c r="E283" s="8">
        <f>'Zarrah- Coverage'!D54</f>
        <v/>
      </c>
      <c r="F283" s="8">
        <f>'Zarrah- Coverage'!E54</f>
        <v/>
      </c>
      <c r="G283" s="9">
        <f>'Zarrah- Coverage'!F54</f>
        <v/>
      </c>
      <c r="H283" s="10">
        <f>'Zarrah- Coverage'!G54</f>
        <v/>
      </c>
      <c r="I283" s="10">
        <f>'Zarrah- Coverage'!H54</f>
        <v/>
      </c>
      <c r="J283" s="11">
        <f>'Zarrah- Coverage'!I54</f>
        <v/>
      </c>
      <c r="K283" s="8">
        <f>'Zarrah- Coverage'!J54</f>
        <v/>
      </c>
      <c r="L283" s="12">
        <f>'Zarrah- Coverage'!K54</f>
        <v/>
      </c>
    </row>
    <row r="284" ht="18" customHeight="1" s="96">
      <c r="A284" s="2" t="inlineStr">
        <is>
          <t>Person B</t>
        </is>
      </c>
      <c r="B284" s="3">
        <f>'Zarrah- Coverage'!A55</f>
        <v/>
      </c>
      <c r="C284" s="2">
        <f>'Zarrah- Coverage'!A55</f>
        <v/>
      </c>
      <c r="D284" s="3">
        <f>'Zarrah- Coverage'!C55</f>
        <v/>
      </c>
      <c r="E284" s="3">
        <f>'Zarrah- Coverage'!D55</f>
        <v/>
      </c>
      <c r="F284" s="3">
        <f>'Zarrah- Coverage'!E55</f>
        <v/>
      </c>
      <c r="G284" s="4">
        <f>'Zarrah- Coverage'!F55</f>
        <v/>
      </c>
      <c r="H284" s="5">
        <f>'Zarrah- Coverage'!G55</f>
        <v/>
      </c>
      <c r="I284" s="5">
        <f>'Zarrah- Coverage'!H55</f>
        <v/>
      </c>
      <c r="J284" s="6">
        <f>'Zarrah- Coverage'!I55</f>
        <v/>
      </c>
      <c r="K284" s="3">
        <f>'Zarrah- Coverage'!J55</f>
        <v/>
      </c>
      <c r="L284" s="13">
        <f>'Zarrah- Coverage'!K55</f>
        <v/>
      </c>
    </row>
    <row r="285" ht="18" customHeight="1" s="96">
      <c r="A285" s="93" t="inlineStr">
        <is>
          <t>Person B</t>
        </is>
      </c>
      <c r="B285" s="8">
        <f>'Zarrah- Coverage'!A56</f>
        <v/>
      </c>
      <c r="C285" s="93">
        <f>'Zarrah- Coverage'!A56</f>
        <v/>
      </c>
      <c r="D285" s="8">
        <f>'Zarrah- Coverage'!C56</f>
        <v/>
      </c>
      <c r="E285" s="8">
        <f>'Zarrah- Coverage'!D56</f>
        <v/>
      </c>
      <c r="F285" s="8">
        <f>'Zarrah- Coverage'!E56</f>
        <v/>
      </c>
      <c r="G285" s="9">
        <f>'Zarrah- Coverage'!F56</f>
        <v/>
      </c>
      <c r="H285" s="10">
        <f>'Zarrah- Coverage'!G56</f>
        <v/>
      </c>
      <c r="I285" s="10">
        <f>'Zarrah- Coverage'!H56</f>
        <v/>
      </c>
      <c r="J285" s="11">
        <f>'Zarrah- Coverage'!I56</f>
        <v/>
      </c>
      <c r="K285" s="8">
        <f>'Zarrah- Coverage'!J56</f>
        <v/>
      </c>
      <c r="L285" s="12">
        <f>'Zarrah- Coverage'!K56</f>
        <v/>
      </c>
    </row>
    <row r="286" ht="18" customHeight="1" s="96">
      <c r="A286" s="2" t="inlineStr">
        <is>
          <t>Person B</t>
        </is>
      </c>
      <c r="B286" s="3">
        <f>'Zarrah- Coverage'!A57</f>
        <v/>
      </c>
      <c r="C286" s="2">
        <f>'Zarrah- Coverage'!A57</f>
        <v/>
      </c>
      <c r="D286" s="3">
        <f>'Zarrah- Coverage'!C57</f>
        <v/>
      </c>
      <c r="E286" s="3">
        <f>'Zarrah- Coverage'!D57</f>
        <v/>
      </c>
      <c r="F286" s="3">
        <f>'Zarrah- Coverage'!E57</f>
        <v/>
      </c>
      <c r="G286" s="4">
        <f>'Zarrah- Coverage'!F57</f>
        <v/>
      </c>
      <c r="H286" s="5">
        <f>'Zarrah- Coverage'!G57</f>
        <v/>
      </c>
      <c r="I286" s="5">
        <f>'Zarrah- Coverage'!H57</f>
        <v/>
      </c>
      <c r="J286" s="6">
        <f>'Zarrah- Coverage'!I57</f>
        <v/>
      </c>
      <c r="K286" s="3">
        <f>'Zarrah- Coverage'!J57</f>
        <v/>
      </c>
      <c r="L286" s="13">
        <f>'Zarrah- Coverage'!K57</f>
        <v/>
      </c>
    </row>
    <row r="287" ht="18" customHeight="1" s="96">
      <c r="A287" s="93" t="inlineStr">
        <is>
          <t>Person B</t>
        </is>
      </c>
      <c r="B287" s="8">
        <f>'Zarrah- Coverage'!A58</f>
        <v/>
      </c>
      <c r="C287" s="93">
        <f>'Zarrah- Coverage'!A58</f>
        <v/>
      </c>
      <c r="D287" s="8">
        <f>'Zarrah- Coverage'!C58</f>
        <v/>
      </c>
      <c r="E287" s="8">
        <f>'Zarrah- Coverage'!D58</f>
        <v/>
      </c>
      <c r="F287" s="8">
        <f>'Zarrah- Coverage'!E58</f>
        <v/>
      </c>
      <c r="G287" s="9">
        <f>'Zarrah- Coverage'!F58</f>
        <v/>
      </c>
      <c r="H287" s="10">
        <f>'Zarrah- Coverage'!G58</f>
        <v/>
      </c>
      <c r="I287" s="10">
        <f>'Zarrah- Coverage'!H58</f>
        <v/>
      </c>
      <c r="J287" s="11">
        <f>'Zarrah- Coverage'!I58</f>
        <v/>
      </c>
      <c r="K287" s="8">
        <f>'Zarrah- Coverage'!J58</f>
        <v/>
      </c>
      <c r="L287" s="12">
        <f>'Zarrah- Coverage'!K58</f>
        <v/>
      </c>
    </row>
    <row r="288" ht="18" customHeight="1" s="96">
      <c r="A288" s="2" t="inlineStr">
        <is>
          <t>Person B</t>
        </is>
      </c>
      <c r="B288" s="3">
        <f>'Zarrah- Coverage'!A59</f>
        <v/>
      </c>
      <c r="C288" s="2">
        <f>'Zarrah- Coverage'!A59</f>
        <v/>
      </c>
      <c r="D288" s="3">
        <f>'Zarrah- Coverage'!C59</f>
        <v/>
      </c>
      <c r="E288" s="3">
        <f>'Zarrah- Coverage'!D59</f>
        <v/>
      </c>
      <c r="F288" s="3">
        <f>'Zarrah- Coverage'!E59</f>
        <v/>
      </c>
      <c r="G288" s="4">
        <f>'Zarrah- Coverage'!F59</f>
        <v/>
      </c>
      <c r="H288" s="5">
        <f>'Zarrah- Coverage'!G59</f>
        <v/>
      </c>
      <c r="I288" s="5">
        <f>'Zarrah- Coverage'!H59</f>
        <v/>
      </c>
      <c r="J288" s="6">
        <f>'Zarrah- Coverage'!I59</f>
        <v/>
      </c>
      <c r="K288" s="3">
        <f>'Zarrah- Coverage'!J59</f>
        <v/>
      </c>
      <c r="L288" s="13">
        <f>'Zarrah- Coverage'!K59</f>
        <v/>
      </c>
    </row>
    <row r="289" ht="18" customHeight="1" s="96">
      <c r="A289" s="93" t="inlineStr">
        <is>
          <t>Person B</t>
        </is>
      </c>
      <c r="B289" s="8">
        <f>'Zarrah- Coverage'!A60</f>
        <v/>
      </c>
      <c r="C289" s="93">
        <f>'Zarrah- Coverage'!A60</f>
        <v/>
      </c>
      <c r="D289" s="8">
        <f>'Zarrah- Coverage'!C60</f>
        <v/>
      </c>
      <c r="E289" s="8">
        <f>'Zarrah- Coverage'!D60</f>
        <v/>
      </c>
      <c r="F289" s="8">
        <f>'Zarrah- Coverage'!E60</f>
        <v/>
      </c>
      <c r="G289" s="9">
        <f>'Zarrah- Coverage'!F60</f>
        <v/>
      </c>
      <c r="H289" s="10">
        <f>'Zarrah- Coverage'!G60</f>
        <v/>
      </c>
      <c r="I289" s="10">
        <f>'Zarrah- Coverage'!H60</f>
        <v/>
      </c>
      <c r="J289" s="11">
        <f>'Zarrah- Coverage'!I60</f>
        <v/>
      </c>
      <c r="K289" s="8">
        <f>'Zarrah- Coverage'!J60</f>
        <v/>
      </c>
      <c r="L289" s="12">
        <f>'Zarrah- Coverage'!K60</f>
        <v/>
      </c>
    </row>
    <row r="290" ht="18" customHeight="1" s="96">
      <c r="A290" s="2" t="inlineStr">
        <is>
          <t>Person B</t>
        </is>
      </c>
      <c r="B290" s="3">
        <f>'Zarrah- Coverage'!A61</f>
        <v/>
      </c>
      <c r="C290" s="2">
        <f>'Zarrah- Coverage'!A61</f>
        <v/>
      </c>
      <c r="D290" s="3">
        <f>'Zarrah- Coverage'!C61</f>
        <v/>
      </c>
      <c r="E290" s="3">
        <f>'Zarrah- Coverage'!D61</f>
        <v/>
      </c>
      <c r="F290" s="3">
        <f>'Zarrah- Coverage'!E61</f>
        <v/>
      </c>
      <c r="G290" s="4">
        <f>'Zarrah- Coverage'!F61</f>
        <v/>
      </c>
      <c r="H290" s="5">
        <f>'Zarrah- Coverage'!G61</f>
        <v/>
      </c>
      <c r="I290" s="5">
        <f>'Zarrah- Coverage'!H61</f>
        <v/>
      </c>
      <c r="J290" s="6">
        <f>'Zarrah- Coverage'!I61</f>
        <v/>
      </c>
      <c r="K290" s="3">
        <f>'Zarrah- Coverage'!J61</f>
        <v/>
      </c>
      <c r="L290" s="13">
        <f>'Zarrah- Coverage'!K61</f>
        <v/>
      </c>
    </row>
    <row r="291" ht="18" customHeight="1" s="96">
      <c r="A291" s="93" t="inlineStr">
        <is>
          <t>Person B</t>
        </is>
      </c>
      <c r="B291" s="8">
        <f>'Zarrah- Coverage'!A62</f>
        <v/>
      </c>
      <c r="C291" s="93">
        <f>'Zarrah- Coverage'!A62</f>
        <v/>
      </c>
      <c r="D291" s="8">
        <f>'Zarrah- Coverage'!C62</f>
        <v/>
      </c>
      <c r="E291" s="8">
        <f>'Zarrah- Coverage'!D62</f>
        <v/>
      </c>
      <c r="F291" s="8">
        <f>'Zarrah- Coverage'!E62</f>
        <v/>
      </c>
      <c r="G291" s="9">
        <f>'Zarrah- Coverage'!F62</f>
        <v/>
      </c>
      <c r="H291" s="10">
        <f>'Zarrah- Coverage'!G62</f>
        <v/>
      </c>
      <c r="I291" s="10">
        <f>'Zarrah- Coverage'!H62</f>
        <v/>
      </c>
      <c r="J291" s="11">
        <f>'Zarrah- Coverage'!I62</f>
        <v/>
      </c>
      <c r="K291" s="8">
        <f>'Zarrah- Coverage'!J62</f>
        <v/>
      </c>
      <c r="L291" s="12">
        <f>'Zarrah- Coverage'!K62</f>
        <v/>
      </c>
    </row>
    <row r="292" ht="18" customHeight="1" s="96">
      <c r="A292" s="2" t="inlineStr">
        <is>
          <t>Person B</t>
        </is>
      </c>
      <c r="B292" s="3">
        <f>'Zarrah- Coverage'!A63</f>
        <v/>
      </c>
      <c r="C292" s="2">
        <f>'Zarrah- Coverage'!A63</f>
        <v/>
      </c>
      <c r="D292" s="3">
        <f>'Zarrah- Coverage'!C63</f>
        <v/>
      </c>
      <c r="E292" s="3">
        <f>'Zarrah- Coverage'!D63</f>
        <v/>
      </c>
      <c r="F292" s="3">
        <f>'Zarrah- Coverage'!E63</f>
        <v/>
      </c>
      <c r="G292" s="4">
        <f>'Zarrah- Coverage'!F63</f>
        <v/>
      </c>
      <c r="H292" s="5">
        <f>'Zarrah- Coverage'!G63</f>
        <v/>
      </c>
      <c r="I292" s="5">
        <f>'Zarrah- Coverage'!H63</f>
        <v/>
      </c>
      <c r="J292" s="6">
        <f>'Zarrah- Coverage'!I63</f>
        <v/>
      </c>
      <c r="K292" s="3">
        <f>'Zarrah- Coverage'!J63</f>
        <v/>
      </c>
      <c r="L292" s="13">
        <f>'Zarrah- Coverage'!K63</f>
        <v/>
      </c>
    </row>
    <row r="293" ht="18" customHeight="1" s="96">
      <c r="A293" s="93" t="inlineStr">
        <is>
          <t>Person B</t>
        </is>
      </c>
      <c r="B293" s="8">
        <f>'Zarrah- Coverage'!A64</f>
        <v/>
      </c>
      <c r="C293" s="93">
        <f>'Zarrah- Coverage'!A64</f>
        <v/>
      </c>
      <c r="D293" s="8">
        <f>'Zarrah- Coverage'!C64</f>
        <v/>
      </c>
      <c r="E293" s="8">
        <f>'Zarrah- Coverage'!D64</f>
        <v/>
      </c>
      <c r="F293" s="8">
        <f>'Zarrah- Coverage'!E64</f>
        <v/>
      </c>
      <c r="G293" s="9">
        <f>'Zarrah- Coverage'!F64</f>
        <v/>
      </c>
      <c r="H293" s="10">
        <f>'Zarrah- Coverage'!G64</f>
        <v/>
      </c>
      <c r="I293" s="10">
        <f>'Zarrah- Coverage'!H64</f>
        <v/>
      </c>
      <c r="J293" s="11">
        <f>'Zarrah- Coverage'!I64</f>
        <v/>
      </c>
      <c r="K293" s="8">
        <f>'Zarrah- Coverage'!J64</f>
        <v/>
      </c>
      <c r="L293" s="12">
        <f>'Zarrah- Coverage'!K64</f>
        <v/>
      </c>
    </row>
    <row r="294" ht="18" customHeight="1" s="96">
      <c r="A294" s="2" t="inlineStr">
        <is>
          <t>Person B</t>
        </is>
      </c>
      <c r="B294" s="3">
        <f>'Zarrah- Coverage'!A65</f>
        <v/>
      </c>
      <c r="C294" s="2">
        <f>'Zarrah- Coverage'!A65</f>
        <v/>
      </c>
      <c r="D294" s="3">
        <f>'Zarrah- Coverage'!C65</f>
        <v/>
      </c>
      <c r="E294" s="3">
        <f>'Zarrah- Coverage'!D65</f>
        <v/>
      </c>
      <c r="F294" s="3">
        <f>'Zarrah- Coverage'!E65</f>
        <v/>
      </c>
      <c r="G294" s="4">
        <f>'Zarrah- Coverage'!F65</f>
        <v/>
      </c>
      <c r="H294" s="5">
        <f>'Zarrah- Coverage'!G65</f>
        <v/>
      </c>
      <c r="I294" s="5">
        <f>'Zarrah- Coverage'!H65</f>
        <v/>
      </c>
      <c r="J294" s="6">
        <f>'Zarrah- Coverage'!I65</f>
        <v/>
      </c>
      <c r="K294" s="3">
        <f>'Zarrah- Coverage'!J65</f>
        <v/>
      </c>
      <c r="L294" s="13">
        <f>'Zarrah- Coverage'!K65</f>
        <v/>
      </c>
    </row>
    <row r="295" ht="18" customHeight="1" s="96">
      <c r="A295" s="93" t="inlineStr">
        <is>
          <t>Person B</t>
        </is>
      </c>
      <c r="B295" s="8">
        <f>'Zarrah- Coverage'!A66</f>
        <v/>
      </c>
      <c r="C295" s="93">
        <f>'Zarrah- Coverage'!A66</f>
        <v/>
      </c>
      <c r="D295" s="8">
        <f>'Zarrah- Coverage'!C66</f>
        <v/>
      </c>
      <c r="E295" s="8">
        <f>'Zarrah- Coverage'!D66</f>
        <v/>
      </c>
      <c r="F295" s="8">
        <f>'Zarrah- Coverage'!E66</f>
        <v/>
      </c>
      <c r="G295" s="9">
        <f>'Zarrah- Coverage'!F66</f>
        <v/>
      </c>
      <c r="H295" s="10">
        <f>'Zarrah- Coverage'!G66</f>
        <v/>
      </c>
      <c r="I295" s="10">
        <f>'Zarrah- Coverage'!H66</f>
        <v/>
      </c>
      <c r="J295" s="11">
        <f>'Zarrah- Coverage'!I66</f>
        <v/>
      </c>
      <c r="K295" s="8">
        <f>'Zarrah- Coverage'!J66</f>
        <v/>
      </c>
      <c r="L295" s="12">
        <f>'Zarrah- Coverage'!K66</f>
        <v/>
      </c>
    </row>
    <row r="296" ht="18" customHeight="1" s="96">
      <c r="A296" s="2" t="inlineStr">
        <is>
          <t>Person B</t>
        </is>
      </c>
      <c r="B296" s="3">
        <f>'Zarrah- Coverage'!A67</f>
        <v/>
      </c>
      <c r="C296" s="2">
        <f>'Zarrah- Coverage'!A67</f>
        <v/>
      </c>
      <c r="D296" s="3">
        <f>'Zarrah- Coverage'!C67</f>
        <v/>
      </c>
      <c r="E296" s="3">
        <f>'Zarrah- Coverage'!D67</f>
        <v/>
      </c>
      <c r="F296" s="3">
        <f>'Zarrah- Coverage'!E67</f>
        <v/>
      </c>
      <c r="G296" s="4">
        <f>'Zarrah- Coverage'!F67</f>
        <v/>
      </c>
      <c r="H296" s="5">
        <f>'Zarrah- Coverage'!G67</f>
        <v/>
      </c>
      <c r="I296" s="5">
        <f>'Zarrah- Coverage'!H67</f>
        <v/>
      </c>
      <c r="J296" s="6">
        <f>'Zarrah- Coverage'!I67</f>
        <v/>
      </c>
      <c r="K296" s="3">
        <f>'Zarrah- Coverage'!J67</f>
        <v/>
      </c>
      <c r="L296" s="13">
        <f>'Zarrah- Coverage'!K67</f>
        <v/>
      </c>
    </row>
    <row r="297" ht="18" customHeight="1" s="96">
      <c r="A297" s="93" t="inlineStr">
        <is>
          <t>Person B</t>
        </is>
      </c>
      <c r="B297" s="8">
        <f>'Zarrah- Coverage'!A68</f>
        <v/>
      </c>
      <c r="C297" s="93">
        <f>'Zarrah- Coverage'!A68</f>
        <v/>
      </c>
      <c r="D297" s="8">
        <f>'Zarrah- Coverage'!C68</f>
        <v/>
      </c>
      <c r="E297" s="8">
        <f>'Zarrah- Coverage'!D68</f>
        <v/>
      </c>
      <c r="F297" s="8">
        <f>'Zarrah- Coverage'!E68</f>
        <v/>
      </c>
      <c r="G297" s="9">
        <f>'Zarrah- Coverage'!F68</f>
        <v/>
      </c>
      <c r="H297" s="10">
        <f>'Zarrah- Coverage'!G68</f>
        <v/>
      </c>
      <c r="I297" s="10">
        <f>'Zarrah- Coverage'!H68</f>
        <v/>
      </c>
      <c r="J297" s="11">
        <f>'Zarrah- Coverage'!I68</f>
        <v/>
      </c>
      <c r="K297" s="8">
        <f>'Zarrah- Coverage'!J68</f>
        <v/>
      </c>
      <c r="L297" s="12">
        <f>'Zarrah- Coverage'!K68</f>
        <v/>
      </c>
    </row>
    <row r="298" ht="18" customHeight="1" s="96">
      <c r="A298" s="2" t="inlineStr">
        <is>
          <t>Person B</t>
        </is>
      </c>
      <c r="B298" s="3">
        <f>'Zarrah- Coverage'!A69</f>
        <v/>
      </c>
      <c r="C298" s="2">
        <f>'Zarrah- Coverage'!A69</f>
        <v/>
      </c>
      <c r="D298" s="3">
        <f>'Zarrah- Coverage'!C69</f>
        <v/>
      </c>
      <c r="E298" s="3">
        <f>'Zarrah- Coverage'!D69</f>
        <v/>
      </c>
      <c r="F298" s="3">
        <f>'Zarrah- Coverage'!E69</f>
        <v/>
      </c>
      <c r="G298" s="4">
        <f>'Zarrah- Coverage'!F69</f>
        <v/>
      </c>
      <c r="H298" s="5">
        <f>'Zarrah- Coverage'!G69</f>
        <v/>
      </c>
      <c r="I298" s="5">
        <f>'Zarrah- Coverage'!H69</f>
        <v/>
      </c>
      <c r="J298" s="6">
        <f>'Zarrah- Coverage'!I69</f>
        <v/>
      </c>
      <c r="K298" s="3">
        <f>'Zarrah- Coverage'!J69</f>
        <v/>
      </c>
      <c r="L298" s="13">
        <f>'Zarrah- Coverage'!K69</f>
        <v/>
      </c>
    </row>
    <row r="299" ht="18" customHeight="1" s="96">
      <c r="A299" s="93" t="inlineStr">
        <is>
          <t>Person B</t>
        </is>
      </c>
      <c r="B299" s="8">
        <f>'Zarrah- Coverage'!A70</f>
        <v/>
      </c>
      <c r="C299" s="93">
        <f>'Zarrah- Coverage'!A70</f>
        <v/>
      </c>
      <c r="D299" s="8">
        <f>'Zarrah- Coverage'!C70</f>
        <v/>
      </c>
      <c r="E299" s="8">
        <f>'Zarrah- Coverage'!D70</f>
        <v/>
      </c>
      <c r="F299" s="8">
        <f>'Zarrah- Coverage'!E70</f>
        <v/>
      </c>
      <c r="G299" s="9">
        <f>'Zarrah- Coverage'!F70</f>
        <v/>
      </c>
      <c r="H299" s="10">
        <f>'Zarrah- Coverage'!G70</f>
        <v/>
      </c>
      <c r="I299" s="10">
        <f>'Zarrah- Coverage'!H70</f>
        <v/>
      </c>
      <c r="J299" s="11">
        <f>'Zarrah- Coverage'!I70</f>
        <v/>
      </c>
      <c r="K299" s="8">
        <f>'Zarrah- Coverage'!J70</f>
        <v/>
      </c>
      <c r="L299" s="12">
        <f>'Zarrah- Coverage'!K70</f>
        <v/>
      </c>
    </row>
    <row r="300" ht="18" customHeight="1" s="96">
      <c r="A300" s="2" t="inlineStr">
        <is>
          <t>Person B</t>
        </is>
      </c>
      <c r="B300" s="3">
        <f>'Zarrah- Coverage'!A71</f>
        <v/>
      </c>
      <c r="C300" s="2">
        <f>'Zarrah- Coverage'!A71</f>
        <v/>
      </c>
      <c r="D300" s="3">
        <f>'Zarrah- Coverage'!C71</f>
        <v/>
      </c>
      <c r="E300" s="3">
        <f>'Zarrah- Coverage'!D71</f>
        <v/>
      </c>
      <c r="F300" s="3">
        <f>'Zarrah- Coverage'!E71</f>
        <v/>
      </c>
      <c r="G300" s="4">
        <f>'Zarrah- Coverage'!F71</f>
        <v/>
      </c>
      <c r="H300" s="5">
        <f>'Zarrah- Coverage'!G71</f>
        <v/>
      </c>
      <c r="I300" s="5">
        <f>'Zarrah- Coverage'!H71</f>
        <v/>
      </c>
      <c r="J300" s="6">
        <f>'Zarrah- Coverage'!I71</f>
        <v/>
      </c>
      <c r="K300" s="3">
        <f>'Zarrah- Coverage'!J71</f>
        <v/>
      </c>
      <c r="L300" s="13">
        <f>'Zarrah- Coverage'!K71</f>
        <v/>
      </c>
    </row>
    <row r="301" ht="18" customHeight="1" s="96">
      <c r="A301" s="93" t="inlineStr">
        <is>
          <t>Person B</t>
        </is>
      </c>
      <c r="B301" s="8">
        <f>'Zarrah- Coverage'!A72</f>
        <v/>
      </c>
      <c r="C301" s="93">
        <f>'Zarrah- Coverage'!A72</f>
        <v/>
      </c>
      <c r="D301" s="8">
        <f>'Zarrah- Coverage'!C72</f>
        <v/>
      </c>
      <c r="E301" s="8">
        <f>'Zarrah- Coverage'!D72</f>
        <v/>
      </c>
      <c r="F301" s="8">
        <f>'Zarrah- Coverage'!E72</f>
        <v/>
      </c>
      <c r="G301" s="9">
        <f>'Zarrah- Coverage'!F72</f>
        <v/>
      </c>
      <c r="H301" s="10">
        <f>'Zarrah- Coverage'!G72</f>
        <v/>
      </c>
      <c r="I301" s="10">
        <f>'Zarrah- Coverage'!H72</f>
        <v/>
      </c>
      <c r="J301" s="11">
        <f>'Zarrah- Coverage'!I72</f>
        <v/>
      </c>
      <c r="K301" s="8">
        <f>'Zarrah- Coverage'!J72</f>
        <v/>
      </c>
      <c r="L301" s="12">
        <f>'Zarrah- Coverage'!K72</f>
        <v/>
      </c>
    </row>
    <row r="302" ht="18" customHeight="1" s="96">
      <c r="A302" s="2" t="inlineStr">
        <is>
          <t>Person B</t>
        </is>
      </c>
      <c r="B302" s="3">
        <f>'Zarrah- Coverage'!A73</f>
        <v/>
      </c>
      <c r="C302" s="2">
        <f>'Zarrah- Coverage'!A73</f>
        <v/>
      </c>
      <c r="D302" s="3">
        <f>'Zarrah- Coverage'!C73</f>
        <v/>
      </c>
      <c r="E302" s="3">
        <f>'Zarrah- Coverage'!D73</f>
        <v/>
      </c>
      <c r="F302" s="3">
        <f>'Zarrah- Coverage'!E73</f>
        <v/>
      </c>
      <c r="G302" s="4">
        <f>'Zarrah- Coverage'!F73</f>
        <v/>
      </c>
      <c r="H302" s="5">
        <f>'Zarrah- Coverage'!G73</f>
        <v/>
      </c>
      <c r="I302" s="5">
        <f>'Zarrah- Coverage'!H73</f>
        <v/>
      </c>
      <c r="J302" s="6">
        <f>'Zarrah- Coverage'!I73</f>
        <v/>
      </c>
      <c r="K302" s="3">
        <f>'Zarrah- Coverage'!J73</f>
        <v/>
      </c>
      <c r="L302" s="13">
        <f>'Zarrah- Coverage'!K73</f>
        <v/>
      </c>
    </row>
    <row r="303" ht="18" customHeight="1" s="96">
      <c r="A303" s="93" t="inlineStr">
        <is>
          <t>Person B</t>
        </is>
      </c>
      <c r="B303" s="8">
        <f>'Zarrah- Coverage'!A74</f>
        <v/>
      </c>
      <c r="C303" s="93">
        <f>'Zarrah- Coverage'!A74</f>
        <v/>
      </c>
      <c r="D303" s="8">
        <f>'Zarrah- Coverage'!C74</f>
        <v/>
      </c>
      <c r="E303" s="8">
        <f>'Zarrah- Coverage'!D74</f>
        <v/>
      </c>
      <c r="F303" s="8">
        <f>'Zarrah- Coverage'!E74</f>
        <v/>
      </c>
      <c r="G303" s="9">
        <f>'Zarrah- Coverage'!F74</f>
        <v/>
      </c>
      <c r="H303" s="10">
        <f>'Zarrah- Coverage'!G74</f>
        <v/>
      </c>
      <c r="I303" s="10">
        <f>'Zarrah- Coverage'!H74</f>
        <v/>
      </c>
      <c r="J303" s="11">
        <f>'Zarrah- Coverage'!I74</f>
        <v/>
      </c>
      <c r="K303" s="8">
        <f>'Zarrah- Coverage'!J74</f>
        <v/>
      </c>
      <c r="L303" s="12">
        <f>'Zarrah- Coverage'!K74</f>
        <v/>
      </c>
    </row>
    <row r="304" ht="18" customHeight="1" s="96">
      <c r="A304" s="2" t="inlineStr">
        <is>
          <t>Person B</t>
        </is>
      </c>
      <c r="B304" s="3">
        <f>'Zarrah- Coverage'!A75</f>
        <v/>
      </c>
      <c r="C304" s="2">
        <f>'Zarrah- Coverage'!A75</f>
        <v/>
      </c>
      <c r="D304" s="3">
        <f>'Zarrah- Coverage'!C75</f>
        <v/>
      </c>
      <c r="E304" s="3">
        <f>'Zarrah- Coverage'!D75</f>
        <v/>
      </c>
      <c r="F304" s="3">
        <f>'Zarrah- Coverage'!E75</f>
        <v/>
      </c>
      <c r="G304" s="4">
        <f>'Zarrah- Coverage'!F75</f>
        <v/>
      </c>
      <c r="H304" s="5">
        <f>'Zarrah- Coverage'!G75</f>
        <v/>
      </c>
      <c r="I304" s="5">
        <f>'Zarrah- Coverage'!H75</f>
        <v/>
      </c>
      <c r="J304" s="6">
        <f>'Zarrah- Coverage'!I75</f>
        <v/>
      </c>
      <c r="K304" s="3">
        <f>'Zarrah- Coverage'!J75</f>
        <v/>
      </c>
      <c r="L304" s="13">
        <f>'Zarrah- Coverage'!K75</f>
        <v/>
      </c>
    </row>
    <row r="305" ht="18" customHeight="1" s="96">
      <c r="A305" s="93" t="inlineStr">
        <is>
          <t>Person B</t>
        </is>
      </c>
      <c r="B305" s="8">
        <f>'Zarrah- Coverage'!A76</f>
        <v/>
      </c>
      <c r="C305" s="93">
        <f>'Zarrah- Coverage'!A76</f>
        <v/>
      </c>
      <c r="D305" s="8">
        <f>'Zarrah- Coverage'!C76</f>
        <v/>
      </c>
      <c r="E305" s="8">
        <f>'Zarrah- Coverage'!D76</f>
        <v/>
      </c>
      <c r="F305" s="8">
        <f>'Zarrah- Coverage'!E76</f>
        <v/>
      </c>
      <c r="G305" s="9">
        <f>'Zarrah- Coverage'!F76</f>
        <v/>
      </c>
      <c r="H305" s="10">
        <f>'Zarrah- Coverage'!G76</f>
        <v/>
      </c>
      <c r="I305" s="10">
        <f>'Zarrah- Coverage'!H76</f>
        <v/>
      </c>
      <c r="J305" s="11">
        <f>'Zarrah- Coverage'!I76</f>
        <v/>
      </c>
      <c r="K305" s="8">
        <f>'Zarrah- Coverage'!J76</f>
        <v/>
      </c>
      <c r="L305" s="12">
        <f>'Zarrah- Coverage'!K76</f>
        <v/>
      </c>
    </row>
    <row r="306" ht="18" customHeight="1" s="96">
      <c r="A306" s="2" t="inlineStr">
        <is>
          <t>Person B</t>
        </is>
      </c>
      <c r="B306" s="3">
        <f>'Zarrah- Coverage'!A77</f>
        <v/>
      </c>
      <c r="C306" s="2">
        <f>'Zarrah- Coverage'!A77</f>
        <v/>
      </c>
      <c r="D306" s="3">
        <f>'Zarrah- Coverage'!C77</f>
        <v/>
      </c>
      <c r="E306" s="3">
        <f>'Zarrah- Coverage'!D77</f>
        <v/>
      </c>
      <c r="F306" s="3">
        <f>'Zarrah- Coverage'!E77</f>
        <v/>
      </c>
      <c r="G306" s="4">
        <f>'Zarrah- Coverage'!F77</f>
        <v/>
      </c>
      <c r="H306" s="5">
        <f>'Zarrah- Coverage'!G77</f>
        <v/>
      </c>
      <c r="I306" s="5">
        <f>'Zarrah- Coverage'!H77</f>
        <v/>
      </c>
      <c r="J306" s="6">
        <f>'Zarrah- Coverage'!I77</f>
        <v/>
      </c>
      <c r="K306" s="3">
        <f>'Zarrah- Coverage'!J77</f>
        <v/>
      </c>
      <c r="L306" s="13">
        <f>'Zarrah- Coverage'!K77</f>
        <v/>
      </c>
    </row>
    <row r="307" ht="18" customHeight="1" s="96">
      <c r="A307" s="93" t="inlineStr">
        <is>
          <t>Person B</t>
        </is>
      </c>
      <c r="B307" s="8">
        <f>'Zarrah- Coverage'!A78</f>
        <v/>
      </c>
      <c r="C307" s="93">
        <f>'Zarrah- Coverage'!A78</f>
        <v/>
      </c>
      <c r="D307" s="8">
        <f>'Zarrah- Coverage'!C78</f>
        <v/>
      </c>
      <c r="E307" s="8">
        <f>'Zarrah- Coverage'!D78</f>
        <v/>
      </c>
      <c r="F307" s="8">
        <f>'Zarrah- Coverage'!E78</f>
        <v/>
      </c>
      <c r="G307" s="9">
        <f>'Zarrah- Coverage'!F78</f>
        <v/>
      </c>
      <c r="H307" s="10">
        <f>'Zarrah- Coverage'!G78</f>
        <v/>
      </c>
      <c r="I307" s="10">
        <f>'Zarrah- Coverage'!H78</f>
        <v/>
      </c>
      <c r="J307" s="11">
        <f>'Zarrah- Coverage'!I78</f>
        <v/>
      </c>
      <c r="K307" s="8">
        <f>'Zarrah- Coverage'!J78</f>
        <v/>
      </c>
      <c r="L307" s="12">
        <f>'Zarrah- Coverage'!K78</f>
        <v/>
      </c>
    </row>
    <row r="308" ht="18" customHeight="1" s="96">
      <c r="A308" s="2" t="inlineStr">
        <is>
          <t>Person B</t>
        </is>
      </c>
      <c r="B308" s="3">
        <f>'Zarrah- Coverage'!A79</f>
        <v/>
      </c>
      <c r="C308" s="2">
        <f>'Zarrah- Coverage'!A79</f>
        <v/>
      </c>
      <c r="D308" s="3">
        <f>'Zarrah- Coverage'!C79</f>
        <v/>
      </c>
      <c r="E308" s="3">
        <f>'Zarrah- Coverage'!D79</f>
        <v/>
      </c>
      <c r="F308" s="3">
        <f>'Zarrah- Coverage'!E79</f>
        <v/>
      </c>
      <c r="G308" s="4">
        <f>'Zarrah- Coverage'!F79</f>
        <v/>
      </c>
      <c r="H308" s="5">
        <f>'Zarrah- Coverage'!G79</f>
        <v/>
      </c>
      <c r="I308" s="5">
        <f>'Zarrah- Coverage'!H79</f>
        <v/>
      </c>
      <c r="J308" s="6">
        <f>'Zarrah- Coverage'!I79</f>
        <v/>
      </c>
      <c r="K308" s="3">
        <f>'Zarrah- Coverage'!J79</f>
        <v/>
      </c>
      <c r="L308" s="13">
        <f>'Zarrah- Coverage'!K79</f>
        <v/>
      </c>
    </row>
    <row r="309" ht="18" customHeight="1" s="96">
      <c r="A309" s="93" t="inlineStr">
        <is>
          <t>Person B</t>
        </is>
      </c>
      <c r="B309" s="8">
        <f>'Zarrah- Coverage'!A80</f>
        <v/>
      </c>
      <c r="C309" s="93">
        <f>'Zarrah- Coverage'!A80</f>
        <v/>
      </c>
      <c r="D309" s="8">
        <f>'Zarrah- Coverage'!C80</f>
        <v/>
      </c>
      <c r="E309" s="8">
        <f>'Zarrah- Coverage'!D80</f>
        <v/>
      </c>
      <c r="F309" s="8">
        <f>'Zarrah- Coverage'!E80</f>
        <v/>
      </c>
      <c r="G309" s="9">
        <f>'Zarrah- Coverage'!F80</f>
        <v/>
      </c>
      <c r="H309" s="10">
        <f>'Zarrah- Coverage'!G80</f>
        <v/>
      </c>
      <c r="I309" s="10">
        <f>'Zarrah- Coverage'!H80</f>
        <v/>
      </c>
      <c r="J309" s="11">
        <f>'Zarrah- Coverage'!I80</f>
        <v/>
      </c>
      <c r="K309" s="8">
        <f>'Zarrah- Coverage'!J80</f>
        <v/>
      </c>
      <c r="L309" s="12">
        <f>'Zarrah- Coverage'!K80</f>
        <v/>
      </c>
    </row>
    <row r="310" ht="18" customHeight="1" s="96">
      <c r="A310" s="2" t="inlineStr">
        <is>
          <t>Person B</t>
        </is>
      </c>
      <c r="B310" s="3">
        <f>'Zarrah- Coverage'!A81</f>
        <v/>
      </c>
      <c r="C310" s="2">
        <f>'Zarrah- Coverage'!A81</f>
        <v/>
      </c>
      <c r="D310" s="3">
        <f>'Zarrah- Coverage'!C81</f>
        <v/>
      </c>
      <c r="E310" s="3">
        <f>'Zarrah- Coverage'!D81</f>
        <v/>
      </c>
      <c r="F310" s="3">
        <f>'Zarrah- Coverage'!E81</f>
        <v/>
      </c>
      <c r="G310" s="4">
        <f>'Zarrah- Coverage'!F81</f>
        <v/>
      </c>
      <c r="H310" s="5">
        <f>'Zarrah- Coverage'!G81</f>
        <v/>
      </c>
      <c r="I310" s="5">
        <f>'Zarrah- Coverage'!H81</f>
        <v/>
      </c>
      <c r="J310" s="6">
        <f>'Zarrah- Coverage'!I81</f>
        <v/>
      </c>
      <c r="K310" s="3">
        <f>'Zarrah- Coverage'!J81</f>
        <v/>
      </c>
      <c r="L310" s="13">
        <f>'Zarrah- Coverage'!K81</f>
        <v/>
      </c>
    </row>
    <row r="311" ht="18" customHeight="1" s="96">
      <c r="A311" s="93" t="inlineStr">
        <is>
          <t>Person B</t>
        </is>
      </c>
      <c r="B311" s="8">
        <f>'Zarrah- Coverage'!A82</f>
        <v/>
      </c>
      <c r="C311" s="93">
        <f>'Zarrah- Coverage'!A82</f>
        <v/>
      </c>
      <c r="D311" s="8">
        <f>'Zarrah- Coverage'!C82</f>
        <v/>
      </c>
      <c r="E311" s="8">
        <f>'Zarrah- Coverage'!D82</f>
        <v/>
      </c>
      <c r="F311" s="8">
        <f>'Zarrah- Coverage'!E82</f>
        <v/>
      </c>
      <c r="G311" s="9">
        <f>'Zarrah- Coverage'!F82</f>
        <v/>
      </c>
      <c r="H311" s="10">
        <f>'Zarrah- Coverage'!G82</f>
        <v/>
      </c>
      <c r="I311" s="10">
        <f>'Zarrah- Coverage'!H82</f>
        <v/>
      </c>
      <c r="J311" s="11">
        <f>'Zarrah- Coverage'!I82</f>
        <v/>
      </c>
      <c r="K311" s="8">
        <f>'Zarrah- Coverage'!J82</f>
        <v/>
      </c>
      <c r="L311" s="12">
        <f>'Zarrah- Coverage'!K82</f>
        <v/>
      </c>
    </row>
    <row r="312" ht="18" customHeight="1" s="96">
      <c r="A312" s="2" t="inlineStr">
        <is>
          <t>Person B</t>
        </is>
      </c>
      <c r="B312" s="3">
        <f>'Zarrah- Coverage'!A83</f>
        <v/>
      </c>
      <c r="C312" s="2">
        <f>'Zarrah- Coverage'!A83</f>
        <v/>
      </c>
      <c r="D312" s="3">
        <f>'Zarrah- Coverage'!C83</f>
        <v/>
      </c>
      <c r="E312" s="3">
        <f>'Zarrah- Coverage'!D83</f>
        <v/>
      </c>
      <c r="F312" s="3">
        <f>'Zarrah- Coverage'!E83</f>
        <v/>
      </c>
      <c r="G312" s="4">
        <f>'Zarrah- Coverage'!F83</f>
        <v/>
      </c>
      <c r="H312" s="5">
        <f>'Zarrah- Coverage'!G83</f>
        <v/>
      </c>
      <c r="I312" s="5">
        <f>'Zarrah- Coverage'!H83</f>
        <v/>
      </c>
      <c r="J312" s="6">
        <f>'Zarrah- Coverage'!I83</f>
        <v/>
      </c>
      <c r="K312" s="3">
        <f>'Zarrah- Coverage'!J83</f>
        <v/>
      </c>
      <c r="L312" s="13">
        <f>'Zarrah- Coverage'!K83</f>
        <v/>
      </c>
    </row>
    <row r="313" ht="18" customHeight="1" s="96">
      <c r="A313" s="93" t="inlineStr">
        <is>
          <t>Person B</t>
        </is>
      </c>
      <c r="B313" s="8">
        <f>'Zarrah- Coverage'!A84</f>
        <v/>
      </c>
      <c r="C313" s="93">
        <f>'Zarrah- Coverage'!A84</f>
        <v/>
      </c>
      <c r="D313" s="8">
        <f>'Zarrah- Coverage'!C84</f>
        <v/>
      </c>
      <c r="E313" s="8">
        <f>'Zarrah- Coverage'!D84</f>
        <v/>
      </c>
      <c r="F313" s="8">
        <f>'Zarrah- Coverage'!E84</f>
        <v/>
      </c>
      <c r="G313" s="9">
        <f>'Zarrah- Coverage'!F84</f>
        <v/>
      </c>
      <c r="H313" s="10">
        <f>'Zarrah- Coverage'!G84</f>
        <v/>
      </c>
      <c r="I313" s="10">
        <f>'Zarrah- Coverage'!H84</f>
        <v/>
      </c>
      <c r="J313" s="11">
        <f>'Zarrah- Coverage'!I84</f>
        <v/>
      </c>
      <c r="K313" s="8">
        <f>'Zarrah- Coverage'!J84</f>
        <v/>
      </c>
      <c r="L313" s="12">
        <f>'Zarrah- Coverage'!K84</f>
        <v/>
      </c>
    </row>
    <row r="314" ht="18" customHeight="1" s="96">
      <c r="A314" s="2" t="inlineStr">
        <is>
          <t>Person B</t>
        </is>
      </c>
      <c r="B314" s="3">
        <f>'Zarrah- Coverage'!A85</f>
        <v/>
      </c>
      <c r="C314" s="2">
        <f>'Zarrah- Coverage'!A85</f>
        <v/>
      </c>
      <c r="D314" s="3">
        <f>'Zarrah- Coverage'!C85</f>
        <v/>
      </c>
      <c r="E314" s="3">
        <f>'Zarrah- Coverage'!D85</f>
        <v/>
      </c>
      <c r="F314" s="3">
        <f>'Zarrah- Coverage'!E85</f>
        <v/>
      </c>
      <c r="G314" s="4">
        <f>'Zarrah- Coverage'!F85</f>
        <v/>
      </c>
      <c r="H314" s="5">
        <f>'Zarrah- Coverage'!G85</f>
        <v/>
      </c>
      <c r="I314" s="5">
        <f>'Zarrah- Coverage'!H85</f>
        <v/>
      </c>
      <c r="J314" s="6">
        <f>'Zarrah- Coverage'!I85</f>
        <v/>
      </c>
      <c r="K314" s="3">
        <f>'Zarrah- Coverage'!J85</f>
        <v/>
      </c>
      <c r="L314" s="13">
        <f>'Zarrah- Coverage'!K85</f>
        <v/>
      </c>
    </row>
    <row r="315" ht="18" customHeight="1" s="96">
      <c r="A315" s="93" t="inlineStr">
        <is>
          <t>Person B</t>
        </is>
      </c>
      <c r="B315" s="8">
        <f>'Zarrah- Coverage'!A86</f>
        <v/>
      </c>
      <c r="C315" s="93">
        <f>'Zarrah- Coverage'!A86</f>
        <v/>
      </c>
      <c r="D315" s="8">
        <f>'Zarrah- Coverage'!C86</f>
        <v/>
      </c>
      <c r="E315" s="8">
        <f>'Zarrah- Coverage'!D86</f>
        <v/>
      </c>
      <c r="F315" s="8">
        <f>'Zarrah- Coverage'!E86</f>
        <v/>
      </c>
      <c r="G315" s="9">
        <f>'Zarrah- Coverage'!F86</f>
        <v/>
      </c>
      <c r="H315" s="10">
        <f>'Zarrah- Coverage'!G86</f>
        <v/>
      </c>
      <c r="I315" s="10">
        <f>'Zarrah- Coverage'!H86</f>
        <v/>
      </c>
      <c r="J315" s="11">
        <f>'Zarrah- Coverage'!I86</f>
        <v/>
      </c>
      <c r="K315" s="8">
        <f>'Zarrah- Coverage'!J86</f>
        <v/>
      </c>
      <c r="L315" s="12">
        <f>'Zarrah- Coverage'!K86</f>
        <v/>
      </c>
    </row>
    <row r="316" ht="18" customHeight="1" s="96">
      <c r="A316" s="2" t="inlineStr">
        <is>
          <t>Person B</t>
        </is>
      </c>
      <c r="B316" s="3">
        <f>'Zarrah- Coverage'!A87</f>
        <v/>
      </c>
      <c r="C316" s="2">
        <f>'Zarrah- Coverage'!A87</f>
        <v/>
      </c>
      <c r="D316" s="3">
        <f>'Zarrah- Coverage'!C87</f>
        <v/>
      </c>
      <c r="E316" s="3">
        <f>'Zarrah- Coverage'!D87</f>
        <v/>
      </c>
      <c r="F316" s="3">
        <f>'Zarrah- Coverage'!E87</f>
        <v/>
      </c>
      <c r="G316" s="4">
        <f>'Zarrah- Coverage'!F87</f>
        <v/>
      </c>
      <c r="H316" s="5">
        <f>'Zarrah- Coverage'!G87</f>
        <v/>
      </c>
      <c r="I316" s="5">
        <f>'Zarrah- Coverage'!H87</f>
        <v/>
      </c>
      <c r="J316" s="6">
        <f>'Zarrah- Coverage'!I87</f>
        <v/>
      </c>
      <c r="K316" s="3">
        <f>'Zarrah- Coverage'!J87</f>
        <v/>
      </c>
      <c r="L316" s="13">
        <f>'Zarrah- Coverage'!K87</f>
        <v/>
      </c>
    </row>
    <row r="317" ht="18" customHeight="1" s="96">
      <c r="A317" s="93" t="inlineStr">
        <is>
          <t>Person B</t>
        </is>
      </c>
      <c r="B317" s="8">
        <f>'Zarrah- Coverage'!A88</f>
        <v/>
      </c>
      <c r="C317" s="93">
        <f>'Zarrah- Coverage'!A88</f>
        <v/>
      </c>
      <c r="D317" s="8">
        <f>'Zarrah- Coverage'!C88</f>
        <v/>
      </c>
      <c r="E317" s="8">
        <f>'Zarrah- Coverage'!D88</f>
        <v/>
      </c>
      <c r="F317" s="8">
        <f>'Zarrah- Coverage'!E88</f>
        <v/>
      </c>
      <c r="G317" s="9">
        <f>'Zarrah- Coverage'!F88</f>
        <v/>
      </c>
      <c r="H317" s="10">
        <f>'Zarrah- Coverage'!G88</f>
        <v/>
      </c>
      <c r="I317" s="10">
        <f>'Zarrah- Coverage'!H88</f>
        <v/>
      </c>
      <c r="J317" s="11">
        <f>'Zarrah- Coverage'!I88</f>
        <v/>
      </c>
      <c r="K317" s="8">
        <f>'Zarrah- Coverage'!J88</f>
        <v/>
      </c>
      <c r="L317" s="12">
        <f>'Zarrah- Coverage'!K88</f>
        <v/>
      </c>
    </row>
    <row r="318" ht="18" customHeight="1" s="96">
      <c r="A318" s="2" t="inlineStr">
        <is>
          <t>Person B</t>
        </is>
      </c>
      <c r="B318" s="3">
        <f>'Zarrah- Coverage'!A89</f>
        <v/>
      </c>
      <c r="C318" s="2">
        <f>'Zarrah- Coverage'!A89</f>
        <v/>
      </c>
      <c r="D318" s="3">
        <f>'Zarrah- Coverage'!C89</f>
        <v/>
      </c>
      <c r="E318" s="3">
        <f>'Zarrah- Coverage'!D89</f>
        <v/>
      </c>
      <c r="F318" s="3">
        <f>'Zarrah- Coverage'!E89</f>
        <v/>
      </c>
      <c r="G318" s="4">
        <f>'Zarrah- Coverage'!F89</f>
        <v/>
      </c>
      <c r="H318" s="5">
        <f>'Zarrah- Coverage'!G89</f>
        <v/>
      </c>
      <c r="I318" s="5">
        <f>'Zarrah- Coverage'!H89</f>
        <v/>
      </c>
      <c r="J318" s="6">
        <f>'Zarrah- Coverage'!I89</f>
        <v/>
      </c>
      <c r="K318" s="3">
        <f>'Zarrah- Coverage'!J89</f>
        <v/>
      </c>
      <c r="L318" s="13">
        <f>'Zarrah- Coverage'!K89</f>
        <v/>
      </c>
    </row>
    <row r="319" ht="18" customHeight="1" s="96">
      <c r="A319" s="93" t="inlineStr">
        <is>
          <t>Person B</t>
        </is>
      </c>
      <c r="B319" s="8">
        <f>'Zarrah- Coverage'!A90</f>
        <v/>
      </c>
      <c r="C319" s="93">
        <f>'Zarrah- Coverage'!A90</f>
        <v/>
      </c>
      <c r="D319" s="8">
        <f>'Zarrah- Coverage'!C90</f>
        <v/>
      </c>
      <c r="E319" s="8">
        <f>'Zarrah- Coverage'!D90</f>
        <v/>
      </c>
      <c r="F319" s="8">
        <f>'Zarrah- Coverage'!E90</f>
        <v/>
      </c>
      <c r="G319" s="9">
        <f>'Zarrah- Coverage'!F90</f>
        <v/>
      </c>
      <c r="H319" s="10">
        <f>'Zarrah- Coverage'!G90</f>
        <v/>
      </c>
      <c r="I319" s="10">
        <f>'Zarrah- Coverage'!H90</f>
        <v/>
      </c>
      <c r="J319" s="11">
        <f>'Zarrah- Coverage'!I90</f>
        <v/>
      </c>
      <c r="K319" s="8">
        <f>'Zarrah- Coverage'!J90</f>
        <v/>
      </c>
      <c r="L319" s="12">
        <f>'Zarrah- Coverage'!K90</f>
        <v/>
      </c>
    </row>
    <row r="320" ht="18" customHeight="1" s="96">
      <c r="A320" s="2" t="inlineStr">
        <is>
          <t>Person B</t>
        </is>
      </c>
      <c r="B320" s="3">
        <f>'Zarrah- Coverage'!A91</f>
        <v/>
      </c>
      <c r="C320" s="2">
        <f>'Zarrah- Coverage'!A91</f>
        <v/>
      </c>
      <c r="D320" s="3">
        <f>'Zarrah- Coverage'!C91</f>
        <v/>
      </c>
      <c r="E320" s="3">
        <f>'Zarrah- Coverage'!D91</f>
        <v/>
      </c>
      <c r="F320" s="3">
        <f>'Zarrah- Coverage'!E91</f>
        <v/>
      </c>
      <c r="G320" s="4">
        <f>'Zarrah- Coverage'!F91</f>
        <v/>
      </c>
      <c r="H320" s="5">
        <f>'Zarrah- Coverage'!G91</f>
        <v/>
      </c>
      <c r="I320" s="5">
        <f>'Zarrah- Coverage'!H91</f>
        <v/>
      </c>
      <c r="J320" s="6">
        <f>'Zarrah- Coverage'!I91</f>
        <v/>
      </c>
      <c r="K320" s="3">
        <f>'Zarrah- Coverage'!J91</f>
        <v/>
      </c>
      <c r="L320" s="13">
        <f>'Zarrah- Coverage'!K91</f>
        <v/>
      </c>
    </row>
    <row r="321" ht="18" customHeight="1" s="96">
      <c r="A321" s="93" t="inlineStr">
        <is>
          <t>Person B</t>
        </is>
      </c>
      <c r="B321" s="8">
        <f>'Zarrah- Coverage'!A92</f>
        <v/>
      </c>
      <c r="C321" s="93">
        <f>'Zarrah- Coverage'!A92</f>
        <v/>
      </c>
      <c r="D321" s="8">
        <f>'Zarrah- Coverage'!C92</f>
        <v/>
      </c>
      <c r="E321" s="8">
        <f>'Zarrah- Coverage'!D92</f>
        <v/>
      </c>
      <c r="F321" s="8">
        <f>'Zarrah- Coverage'!E92</f>
        <v/>
      </c>
      <c r="G321" s="9">
        <f>'Zarrah- Coverage'!F92</f>
        <v/>
      </c>
      <c r="H321" s="10">
        <f>'Zarrah- Coverage'!G92</f>
        <v/>
      </c>
      <c r="I321" s="10">
        <f>'Zarrah- Coverage'!H92</f>
        <v/>
      </c>
      <c r="J321" s="11">
        <f>'Zarrah- Coverage'!I92</f>
        <v/>
      </c>
      <c r="K321" s="8">
        <f>'Zarrah- Coverage'!J92</f>
        <v/>
      </c>
      <c r="L321" s="12">
        <f>'Zarrah- Coverage'!K92</f>
        <v/>
      </c>
    </row>
    <row r="322" ht="18" customHeight="1" s="96">
      <c r="A322" s="2" t="inlineStr">
        <is>
          <t>Person B</t>
        </is>
      </c>
      <c r="B322" s="3">
        <f>'Zarrah- Coverage'!A93</f>
        <v/>
      </c>
      <c r="C322" s="2">
        <f>'Zarrah- Coverage'!A93</f>
        <v/>
      </c>
      <c r="D322" s="3">
        <f>'Zarrah- Coverage'!C93</f>
        <v/>
      </c>
      <c r="E322" s="3">
        <f>'Zarrah- Coverage'!D93</f>
        <v/>
      </c>
      <c r="F322" s="3">
        <f>'Zarrah- Coverage'!E93</f>
        <v/>
      </c>
      <c r="G322" s="4">
        <f>'Zarrah- Coverage'!F93</f>
        <v/>
      </c>
      <c r="H322" s="5">
        <f>'Zarrah- Coverage'!G93</f>
        <v/>
      </c>
      <c r="I322" s="5">
        <f>'Zarrah- Coverage'!H93</f>
        <v/>
      </c>
      <c r="J322" s="6">
        <f>'Zarrah- Coverage'!I93</f>
        <v/>
      </c>
      <c r="K322" s="3">
        <f>'Zarrah- Coverage'!J93</f>
        <v/>
      </c>
      <c r="L322" s="13">
        <f>'Zarrah- Coverage'!K93</f>
        <v/>
      </c>
    </row>
    <row r="323" ht="18" customHeight="1" s="96">
      <c r="A323" s="93" t="inlineStr">
        <is>
          <t>Person B</t>
        </is>
      </c>
      <c r="B323" s="8">
        <f>'Zarrah- Coverage'!A94</f>
        <v/>
      </c>
      <c r="C323" s="93">
        <f>'Zarrah- Coverage'!A94</f>
        <v/>
      </c>
      <c r="D323" s="8">
        <f>'Zarrah- Coverage'!C94</f>
        <v/>
      </c>
      <c r="E323" s="8">
        <f>'Zarrah- Coverage'!D94</f>
        <v/>
      </c>
      <c r="F323" s="8">
        <f>'Zarrah- Coverage'!E94</f>
        <v/>
      </c>
      <c r="G323" s="9">
        <f>'Zarrah- Coverage'!F94</f>
        <v/>
      </c>
      <c r="H323" s="10">
        <f>'Zarrah- Coverage'!G94</f>
        <v/>
      </c>
      <c r="I323" s="10">
        <f>'Zarrah- Coverage'!H94</f>
        <v/>
      </c>
      <c r="J323" s="11">
        <f>'Zarrah- Coverage'!I94</f>
        <v/>
      </c>
      <c r="K323" s="8">
        <f>'Zarrah- Coverage'!J94</f>
        <v/>
      </c>
      <c r="L323" s="12">
        <f>'Zarrah- Coverage'!K94</f>
        <v/>
      </c>
    </row>
    <row r="324" ht="18" customHeight="1" s="96">
      <c r="A324" s="2" t="inlineStr">
        <is>
          <t>Person B</t>
        </is>
      </c>
      <c r="B324" s="3">
        <f>'Zarrah- Coverage'!A95</f>
        <v/>
      </c>
      <c r="C324" s="2">
        <f>'Zarrah- Coverage'!A95</f>
        <v/>
      </c>
      <c r="D324" s="3">
        <f>'Zarrah- Coverage'!C95</f>
        <v/>
      </c>
      <c r="E324" s="3">
        <f>'Zarrah- Coverage'!D95</f>
        <v/>
      </c>
      <c r="F324" s="3">
        <f>'Zarrah- Coverage'!E95</f>
        <v/>
      </c>
      <c r="G324" s="4">
        <f>'Zarrah- Coverage'!F95</f>
        <v/>
      </c>
      <c r="H324" s="5">
        <f>'Zarrah- Coverage'!G95</f>
        <v/>
      </c>
      <c r="I324" s="5">
        <f>'Zarrah- Coverage'!H95</f>
        <v/>
      </c>
      <c r="J324" s="6">
        <f>'Zarrah- Coverage'!I95</f>
        <v/>
      </c>
      <c r="K324" s="3">
        <f>'Zarrah- Coverage'!J95</f>
        <v/>
      </c>
      <c r="L324" s="13">
        <f>'Zarrah- Coverage'!K95</f>
        <v/>
      </c>
    </row>
    <row r="325" ht="18" customHeight="1" s="96">
      <c r="A325" s="93" t="inlineStr">
        <is>
          <t>Person B</t>
        </is>
      </c>
      <c r="B325" s="8">
        <f>'Zarrah- Coverage'!A96</f>
        <v/>
      </c>
      <c r="C325" s="93">
        <f>'Zarrah- Coverage'!A96</f>
        <v/>
      </c>
      <c r="D325" s="8">
        <f>'Zarrah- Coverage'!C96</f>
        <v/>
      </c>
      <c r="E325" s="8">
        <f>'Zarrah- Coverage'!D96</f>
        <v/>
      </c>
      <c r="F325" s="8">
        <f>'Zarrah- Coverage'!E96</f>
        <v/>
      </c>
      <c r="G325" s="9">
        <f>'Zarrah- Coverage'!F96</f>
        <v/>
      </c>
      <c r="H325" s="10">
        <f>'Zarrah- Coverage'!G96</f>
        <v/>
      </c>
      <c r="I325" s="10">
        <f>'Zarrah- Coverage'!H96</f>
        <v/>
      </c>
      <c r="J325" s="11">
        <f>'Zarrah- Coverage'!I96</f>
        <v/>
      </c>
      <c r="K325" s="8">
        <f>'Zarrah- Coverage'!J96</f>
        <v/>
      </c>
      <c r="L325" s="12">
        <f>'Zarrah- Coverage'!K96</f>
        <v/>
      </c>
    </row>
    <row r="326" ht="18" customHeight="1" s="96">
      <c r="A326" s="2" t="inlineStr">
        <is>
          <t>Person B</t>
        </is>
      </c>
      <c r="B326" s="3">
        <f>'Zarrah- Coverage'!A97</f>
        <v/>
      </c>
      <c r="C326" s="2">
        <f>'Zarrah- Coverage'!A97</f>
        <v/>
      </c>
      <c r="D326" s="3">
        <f>'Zarrah- Coverage'!C97</f>
        <v/>
      </c>
      <c r="E326" s="3">
        <f>'Zarrah- Coverage'!D97</f>
        <v/>
      </c>
      <c r="F326" s="3">
        <f>'Zarrah- Coverage'!E97</f>
        <v/>
      </c>
      <c r="G326" s="4">
        <f>'Zarrah- Coverage'!F97</f>
        <v/>
      </c>
      <c r="H326" s="5">
        <f>'Zarrah- Coverage'!G97</f>
        <v/>
      </c>
      <c r="I326" s="5">
        <f>'Zarrah- Coverage'!H97</f>
        <v/>
      </c>
      <c r="J326" s="6">
        <f>'Zarrah- Coverage'!I97</f>
        <v/>
      </c>
      <c r="K326" s="3">
        <f>'Zarrah- Coverage'!J97</f>
        <v/>
      </c>
      <c r="L326" s="13">
        <f>'Zarrah- Coverage'!K97</f>
        <v/>
      </c>
    </row>
    <row r="327" ht="18" customHeight="1" s="96">
      <c r="A327" s="93" t="inlineStr">
        <is>
          <t>Person B</t>
        </is>
      </c>
      <c r="B327" s="8">
        <f>'Zarrah- Coverage'!A98</f>
        <v/>
      </c>
      <c r="C327" s="93">
        <f>'Zarrah- Coverage'!A98</f>
        <v/>
      </c>
      <c r="D327" s="8">
        <f>'Zarrah- Coverage'!C98</f>
        <v/>
      </c>
      <c r="E327" s="8">
        <f>'Zarrah- Coverage'!D98</f>
        <v/>
      </c>
      <c r="F327" s="8">
        <f>'Zarrah- Coverage'!E98</f>
        <v/>
      </c>
      <c r="G327" s="9">
        <f>'Zarrah- Coverage'!F98</f>
        <v/>
      </c>
      <c r="H327" s="10">
        <f>'Zarrah- Coverage'!G98</f>
        <v/>
      </c>
      <c r="I327" s="10">
        <f>'Zarrah- Coverage'!H98</f>
        <v/>
      </c>
      <c r="J327" s="11">
        <f>'Zarrah- Coverage'!I98</f>
        <v/>
      </c>
      <c r="K327" s="8">
        <f>'Zarrah- Coverage'!J98</f>
        <v/>
      </c>
      <c r="L327" s="12">
        <f>'Zarrah- Coverage'!K98</f>
        <v/>
      </c>
    </row>
    <row r="328" ht="18" customHeight="1" s="96">
      <c r="A328" s="2" t="inlineStr">
        <is>
          <t>Person B</t>
        </is>
      </c>
      <c r="B328" s="3">
        <f>'Zarrah- Coverage'!A99</f>
        <v/>
      </c>
      <c r="C328" s="2">
        <f>'Zarrah- Coverage'!A99</f>
        <v/>
      </c>
      <c r="D328" s="3">
        <f>'Zarrah- Coverage'!C99</f>
        <v/>
      </c>
      <c r="E328" s="3">
        <f>'Zarrah- Coverage'!D99</f>
        <v/>
      </c>
      <c r="F328" s="3">
        <f>'Zarrah- Coverage'!E99</f>
        <v/>
      </c>
      <c r="G328" s="4">
        <f>'Zarrah- Coverage'!F99</f>
        <v/>
      </c>
      <c r="H328" s="5">
        <f>'Zarrah- Coverage'!G99</f>
        <v/>
      </c>
      <c r="I328" s="5">
        <f>'Zarrah- Coverage'!H99</f>
        <v/>
      </c>
      <c r="J328" s="6">
        <f>'Zarrah- Coverage'!I99</f>
        <v/>
      </c>
      <c r="K328" s="3">
        <f>'Zarrah- Coverage'!J99</f>
        <v/>
      </c>
      <c r="L328" s="13">
        <f>'Zarrah- Coverage'!K99</f>
        <v/>
      </c>
    </row>
    <row r="329" ht="18" customHeight="1" s="96">
      <c r="A329" s="93" t="inlineStr">
        <is>
          <t>Person B</t>
        </is>
      </c>
      <c r="B329" s="8">
        <f>'Zarrah- Coverage'!A100</f>
        <v/>
      </c>
      <c r="C329" s="93">
        <f>'Zarrah- Coverage'!A100</f>
        <v/>
      </c>
      <c r="D329" s="8">
        <f>'Zarrah- Coverage'!C100</f>
        <v/>
      </c>
      <c r="E329" s="8">
        <f>'Zarrah- Coverage'!D100</f>
        <v/>
      </c>
      <c r="F329" s="8">
        <f>'Zarrah- Coverage'!E100</f>
        <v/>
      </c>
      <c r="G329" s="9">
        <f>'Zarrah- Coverage'!F100</f>
        <v/>
      </c>
      <c r="H329" s="10">
        <f>'Zarrah- Coverage'!G100</f>
        <v/>
      </c>
      <c r="I329" s="10">
        <f>'Zarrah- Coverage'!H100</f>
        <v/>
      </c>
      <c r="J329" s="11">
        <f>'Zarrah- Coverage'!I100</f>
        <v/>
      </c>
      <c r="K329" s="8">
        <f>'Zarrah- Coverage'!J100</f>
        <v/>
      </c>
      <c r="L329" s="12">
        <f>'Zarrah- Coverage'!K100</f>
        <v/>
      </c>
    </row>
    <row r="330" ht="18" customHeight="1" s="96">
      <c r="A330" s="2" t="inlineStr">
        <is>
          <t>Person B</t>
        </is>
      </c>
      <c r="B330" s="3">
        <f>'Zarrah- Coverage'!A101</f>
        <v/>
      </c>
      <c r="C330" s="2">
        <f>'Zarrah- Coverage'!A101</f>
        <v/>
      </c>
      <c r="D330" s="3">
        <f>'Zarrah- Coverage'!C101</f>
        <v/>
      </c>
      <c r="E330" s="3">
        <f>'Zarrah- Coverage'!D101</f>
        <v/>
      </c>
      <c r="F330" s="3">
        <f>'Zarrah- Coverage'!E101</f>
        <v/>
      </c>
      <c r="G330" s="4">
        <f>'Zarrah- Coverage'!F101</f>
        <v/>
      </c>
      <c r="H330" s="5">
        <f>'Zarrah- Coverage'!G101</f>
        <v/>
      </c>
      <c r="I330" s="5">
        <f>'Zarrah- Coverage'!H101</f>
        <v/>
      </c>
      <c r="J330" s="6">
        <f>'Zarrah- Coverage'!I101</f>
        <v/>
      </c>
      <c r="K330" s="3">
        <f>'Zarrah- Coverage'!J101</f>
        <v/>
      </c>
      <c r="L330" s="13">
        <f>'Zarrah- Coverage'!K101</f>
        <v/>
      </c>
    </row>
    <row r="331" ht="18" customHeight="1" s="96">
      <c r="A331" s="93" t="inlineStr">
        <is>
          <t>Person B</t>
        </is>
      </c>
      <c r="B331" s="8">
        <f>'Zarrah- Coverage'!A102</f>
        <v/>
      </c>
      <c r="C331" s="93">
        <f>'Zarrah- Coverage'!A102</f>
        <v/>
      </c>
      <c r="D331" s="8">
        <f>'Zarrah- Coverage'!C102</f>
        <v/>
      </c>
      <c r="E331" s="8">
        <f>'Zarrah- Coverage'!D102</f>
        <v/>
      </c>
      <c r="F331" s="8">
        <f>'Zarrah- Coverage'!E102</f>
        <v/>
      </c>
      <c r="G331" s="9">
        <f>'Zarrah- Coverage'!F102</f>
        <v/>
      </c>
      <c r="H331" s="10">
        <f>'Zarrah- Coverage'!G102</f>
        <v/>
      </c>
      <c r="I331" s="10">
        <f>'Zarrah- Coverage'!H102</f>
        <v/>
      </c>
      <c r="J331" s="11">
        <f>'Zarrah- Coverage'!I102</f>
        <v/>
      </c>
      <c r="K331" s="8">
        <f>'Zarrah- Coverage'!J102</f>
        <v/>
      </c>
      <c r="L331" s="12">
        <f>'Zarrah- Coverage'!K102</f>
        <v/>
      </c>
    </row>
    <row r="332" ht="18" customHeight="1" s="96">
      <c r="A332" s="2" t="inlineStr">
        <is>
          <t>Person B</t>
        </is>
      </c>
      <c r="B332" s="3">
        <f>'Zarrah- Coverage'!A103</f>
        <v/>
      </c>
      <c r="C332" s="2">
        <f>'Zarrah- Coverage'!A103</f>
        <v/>
      </c>
      <c r="D332" s="3">
        <f>'Zarrah- Coverage'!C103</f>
        <v/>
      </c>
      <c r="E332" s="3">
        <f>'Zarrah- Coverage'!D103</f>
        <v/>
      </c>
      <c r="F332" s="3">
        <f>'Zarrah- Coverage'!E103</f>
        <v/>
      </c>
      <c r="G332" s="4">
        <f>'Zarrah- Coverage'!F103</f>
        <v/>
      </c>
      <c r="H332" s="5">
        <f>'Zarrah- Coverage'!G103</f>
        <v/>
      </c>
      <c r="I332" s="5">
        <f>'Zarrah- Coverage'!H103</f>
        <v/>
      </c>
      <c r="J332" s="6">
        <f>'Zarrah- Coverage'!I103</f>
        <v/>
      </c>
      <c r="K332" s="3">
        <f>'Zarrah- Coverage'!J103</f>
        <v/>
      </c>
      <c r="L332" s="13">
        <f>'Zarrah- Coverage'!K103</f>
        <v/>
      </c>
    </row>
    <row r="333" ht="18" customHeight="1" s="96">
      <c r="A333" s="93" t="inlineStr">
        <is>
          <t>Person B</t>
        </is>
      </c>
      <c r="B333" s="8">
        <f>'Zarrah- Coverage'!A104</f>
        <v/>
      </c>
      <c r="C333" s="93">
        <f>'Zarrah- Coverage'!A104</f>
        <v/>
      </c>
      <c r="D333" s="8">
        <f>'Zarrah- Coverage'!C104</f>
        <v/>
      </c>
      <c r="E333" s="8">
        <f>'Zarrah- Coverage'!D104</f>
        <v/>
      </c>
      <c r="F333" s="8">
        <f>'Zarrah- Coverage'!E104</f>
        <v/>
      </c>
      <c r="G333" s="9">
        <f>'Zarrah- Coverage'!F104</f>
        <v/>
      </c>
      <c r="H333" s="10">
        <f>'Zarrah- Coverage'!G104</f>
        <v/>
      </c>
      <c r="I333" s="10">
        <f>'Zarrah- Coverage'!H104</f>
        <v/>
      </c>
      <c r="J333" s="11">
        <f>'Zarrah- Coverage'!I104</f>
        <v/>
      </c>
      <c r="K333" s="8">
        <f>'Zarrah- Coverage'!J104</f>
        <v/>
      </c>
      <c r="L333" s="12">
        <f>'Zarrah- Coverage'!K104</f>
        <v/>
      </c>
    </row>
    <row r="334" ht="18" customHeight="1" s="96">
      <c r="A334" s="2" t="inlineStr">
        <is>
          <t>Person B</t>
        </is>
      </c>
      <c r="B334" s="3">
        <f>'Zarrah- Coverage'!A105</f>
        <v/>
      </c>
      <c r="C334" s="2">
        <f>'Zarrah- Coverage'!A105</f>
        <v/>
      </c>
      <c r="D334" s="3">
        <f>'Zarrah- Coverage'!C105</f>
        <v/>
      </c>
      <c r="E334" s="3">
        <f>'Zarrah- Coverage'!D105</f>
        <v/>
      </c>
      <c r="F334" s="3">
        <f>'Zarrah- Coverage'!E105</f>
        <v/>
      </c>
      <c r="G334" s="4">
        <f>'Zarrah- Coverage'!F105</f>
        <v/>
      </c>
      <c r="H334" s="5">
        <f>'Zarrah- Coverage'!G105</f>
        <v/>
      </c>
      <c r="I334" s="5">
        <f>'Zarrah- Coverage'!H105</f>
        <v/>
      </c>
      <c r="J334" s="6">
        <f>'Zarrah- Coverage'!I105</f>
        <v/>
      </c>
      <c r="K334" s="3">
        <f>'Zarrah- Coverage'!J105</f>
        <v/>
      </c>
      <c r="L334" s="13">
        <f>'Zarrah- Coverage'!K105</f>
        <v/>
      </c>
    </row>
    <row r="335" ht="18" customHeight="1" s="96">
      <c r="A335" s="93" t="inlineStr">
        <is>
          <t>Person B</t>
        </is>
      </c>
      <c r="B335" s="8">
        <f>'Zarrah- Coverage'!A106</f>
        <v/>
      </c>
      <c r="C335" s="93">
        <f>'Zarrah- Coverage'!A106</f>
        <v/>
      </c>
      <c r="D335" s="8">
        <f>'Zarrah- Coverage'!C106</f>
        <v/>
      </c>
      <c r="E335" s="8">
        <f>'Zarrah- Coverage'!D106</f>
        <v/>
      </c>
      <c r="F335" s="8">
        <f>'Zarrah- Coverage'!E106</f>
        <v/>
      </c>
      <c r="G335" s="9">
        <f>'Zarrah- Coverage'!F106</f>
        <v/>
      </c>
      <c r="H335" s="10">
        <f>'Zarrah- Coverage'!G106</f>
        <v/>
      </c>
      <c r="I335" s="10">
        <f>'Zarrah- Coverage'!H106</f>
        <v/>
      </c>
      <c r="J335" s="11">
        <f>'Zarrah- Coverage'!I106</f>
        <v/>
      </c>
      <c r="K335" s="8">
        <f>'Zarrah- Coverage'!J106</f>
        <v/>
      </c>
      <c r="L335" s="12">
        <f>'Zarrah- Coverage'!K106</f>
        <v/>
      </c>
    </row>
    <row r="336" ht="18" customHeight="1" s="96">
      <c r="A336" s="2" t="inlineStr">
        <is>
          <t>Person B</t>
        </is>
      </c>
      <c r="B336" s="3">
        <f>'Zarrah- Coverage'!A107</f>
        <v/>
      </c>
      <c r="C336" s="2">
        <f>'Zarrah- Coverage'!A107</f>
        <v/>
      </c>
      <c r="D336" s="3">
        <f>'Zarrah- Coverage'!C107</f>
        <v/>
      </c>
      <c r="E336" s="3">
        <f>'Zarrah- Coverage'!D107</f>
        <v/>
      </c>
      <c r="F336" s="3">
        <f>'Zarrah- Coverage'!E107</f>
        <v/>
      </c>
      <c r="G336" s="4">
        <f>'Zarrah- Coverage'!F107</f>
        <v/>
      </c>
      <c r="H336" s="5">
        <f>'Zarrah- Coverage'!G107</f>
        <v/>
      </c>
      <c r="I336" s="5">
        <f>'Zarrah- Coverage'!H107</f>
        <v/>
      </c>
      <c r="J336" s="6">
        <f>'Zarrah- Coverage'!I107</f>
        <v/>
      </c>
      <c r="K336" s="3">
        <f>'Zarrah- Coverage'!J107</f>
        <v/>
      </c>
      <c r="L336" s="13">
        <f>'Zarrah- Coverage'!K107</f>
        <v/>
      </c>
    </row>
    <row r="337" ht="18" customHeight="1" s="96">
      <c r="A337" s="93" t="inlineStr">
        <is>
          <t>Person B</t>
        </is>
      </c>
      <c r="B337" s="8">
        <f>'Zarrah- Coverage'!A108</f>
        <v/>
      </c>
      <c r="C337" s="93">
        <f>'Zarrah- Coverage'!A108</f>
        <v/>
      </c>
      <c r="D337" s="8">
        <f>'Zarrah- Coverage'!C108</f>
        <v/>
      </c>
      <c r="E337" s="8">
        <f>'Zarrah- Coverage'!D108</f>
        <v/>
      </c>
      <c r="F337" s="8">
        <f>'Zarrah- Coverage'!E108</f>
        <v/>
      </c>
      <c r="G337" s="9">
        <f>'Zarrah- Coverage'!F108</f>
        <v/>
      </c>
      <c r="H337" s="10">
        <f>'Zarrah- Coverage'!G108</f>
        <v/>
      </c>
      <c r="I337" s="10">
        <f>'Zarrah- Coverage'!H108</f>
        <v/>
      </c>
      <c r="J337" s="11">
        <f>'Zarrah- Coverage'!I108</f>
        <v/>
      </c>
      <c r="K337" s="8">
        <f>'Zarrah- Coverage'!J108</f>
        <v/>
      </c>
      <c r="L337" s="12">
        <f>'Zarrah- Coverage'!K108</f>
        <v/>
      </c>
    </row>
    <row r="338" ht="18" customHeight="1" s="96">
      <c r="A338" s="2" t="inlineStr">
        <is>
          <t>Person B</t>
        </is>
      </c>
      <c r="B338" s="3">
        <f>'Zarrah- Coverage'!A109</f>
        <v/>
      </c>
      <c r="C338" s="2">
        <f>'Zarrah- Coverage'!A109</f>
        <v/>
      </c>
      <c r="D338" s="3">
        <f>'Zarrah- Coverage'!C109</f>
        <v/>
      </c>
      <c r="E338" s="3">
        <f>'Zarrah- Coverage'!D109</f>
        <v/>
      </c>
      <c r="F338" s="3">
        <f>'Zarrah- Coverage'!E109</f>
        <v/>
      </c>
      <c r="G338" s="4">
        <f>'Zarrah- Coverage'!F109</f>
        <v/>
      </c>
      <c r="H338" s="5">
        <f>'Zarrah- Coverage'!G109</f>
        <v/>
      </c>
      <c r="I338" s="5">
        <f>'Zarrah- Coverage'!H109</f>
        <v/>
      </c>
      <c r="J338" s="6">
        <f>'Zarrah- Coverage'!I109</f>
        <v/>
      </c>
      <c r="K338" s="3">
        <f>'Zarrah- Coverage'!J109</f>
        <v/>
      </c>
      <c r="L338" s="13">
        <f>'Zarrah- Coverage'!K109</f>
        <v/>
      </c>
    </row>
    <row r="339" ht="18" customHeight="1" s="96">
      <c r="A339" s="93" t="inlineStr">
        <is>
          <t>Person B</t>
        </is>
      </c>
      <c r="B339" s="8">
        <f>'Zarrah- Coverage'!A110</f>
        <v/>
      </c>
      <c r="C339" s="93">
        <f>'Zarrah- Coverage'!A110</f>
        <v/>
      </c>
      <c r="D339" s="8">
        <f>'Zarrah- Coverage'!C110</f>
        <v/>
      </c>
      <c r="E339" s="8">
        <f>'Zarrah- Coverage'!D110</f>
        <v/>
      </c>
      <c r="F339" s="8">
        <f>'Zarrah- Coverage'!E110</f>
        <v/>
      </c>
      <c r="G339" s="9">
        <f>'Zarrah- Coverage'!F110</f>
        <v/>
      </c>
      <c r="H339" s="10">
        <f>'Zarrah- Coverage'!G110</f>
        <v/>
      </c>
      <c r="I339" s="10">
        <f>'Zarrah- Coverage'!H110</f>
        <v/>
      </c>
      <c r="J339" s="11">
        <f>'Zarrah- Coverage'!I110</f>
        <v/>
      </c>
      <c r="K339" s="8">
        <f>'Zarrah- Coverage'!J110</f>
        <v/>
      </c>
      <c r="L339" s="12">
        <f>'Zarrah- Coverage'!K110</f>
        <v/>
      </c>
    </row>
    <row r="340" ht="18" customHeight="1" s="96">
      <c r="A340" s="2" t="inlineStr">
        <is>
          <t>Person B</t>
        </is>
      </c>
      <c r="B340" s="3">
        <f>'Zarrah- Coverage'!A111</f>
        <v/>
      </c>
      <c r="C340" s="2">
        <f>'Zarrah- Coverage'!A111</f>
        <v/>
      </c>
      <c r="D340" s="3">
        <f>'Zarrah- Coverage'!C111</f>
        <v/>
      </c>
      <c r="E340" s="3">
        <f>'Zarrah- Coverage'!D111</f>
        <v/>
      </c>
      <c r="F340" s="3">
        <f>'Zarrah- Coverage'!E111</f>
        <v/>
      </c>
      <c r="G340" s="4">
        <f>'Zarrah- Coverage'!F111</f>
        <v/>
      </c>
      <c r="H340" s="5">
        <f>'Zarrah- Coverage'!G111</f>
        <v/>
      </c>
      <c r="I340" s="5">
        <f>'Zarrah- Coverage'!H111</f>
        <v/>
      </c>
      <c r="J340" s="6">
        <f>'Zarrah- Coverage'!I111</f>
        <v/>
      </c>
      <c r="K340" s="3">
        <f>'Zarrah- Coverage'!J111</f>
        <v/>
      </c>
      <c r="L340" s="13">
        <f>'Zarrah- Coverage'!K111</f>
        <v/>
      </c>
    </row>
    <row r="341" ht="18" customHeight="1" s="96">
      <c r="A341" s="93" t="inlineStr">
        <is>
          <t>Person B</t>
        </is>
      </c>
      <c r="B341" s="8">
        <f>'Zarrah- Coverage'!A112</f>
        <v/>
      </c>
      <c r="C341" s="93">
        <f>'Zarrah- Coverage'!A112</f>
        <v/>
      </c>
      <c r="D341" s="8">
        <f>'Zarrah- Coverage'!C112</f>
        <v/>
      </c>
      <c r="E341" s="8">
        <f>'Zarrah- Coverage'!D112</f>
        <v/>
      </c>
      <c r="F341" s="8">
        <f>'Zarrah- Coverage'!E112</f>
        <v/>
      </c>
      <c r="G341" s="9">
        <f>'Zarrah- Coverage'!F112</f>
        <v/>
      </c>
      <c r="H341" s="10">
        <f>'Zarrah- Coverage'!G112</f>
        <v/>
      </c>
      <c r="I341" s="10">
        <f>'Zarrah- Coverage'!H112</f>
        <v/>
      </c>
      <c r="J341" s="11">
        <f>'Zarrah- Coverage'!I112</f>
        <v/>
      </c>
      <c r="K341" s="8">
        <f>'Zarrah- Coverage'!J112</f>
        <v/>
      </c>
      <c r="L341" s="12">
        <f>'Zarrah- Coverage'!K112</f>
        <v/>
      </c>
    </row>
    <row r="342" ht="18" customHeight="1" s="96">
      <c r="A342" s="2" t="inlineStr">
        <is>
          <t>Person B</t>
        </is>
      </c>
      <c r="B342" s="3">
        <f>'Zarrah- Coverage'!A113</f>
        <v/>
      </c>
      <c r="C342" s="2">
        <f>'Zarrah- Coverage'!A113</f>
        <v/>
      </c>
      <c r="D342" s="3">
        <f>'Zarrah- Coverage'!C113</f>
        <v/>
      </c>
      <c r="E342" s="3">
        <f>'Zarrah- Coverage'!D113</f>
        <v/>
      </c>
      <c r="F342" s="3">
        <f>'Zarrah- Coverage'!E113</f>
        <v/>
      </c>
      <c r="G342" s="4">
        <f>'Zarrah- Coverage'!F113</f>
        <v/>
      </c>
      <c r="H342" s="5">
        <f>'Zarrah- Coverage'!G113</f>
        <v/>
      </c>
      <c r="I342" s="5">
        <f>'Zarrah- Coverage'!H113</f>
        <v/>
      </c>
      <c r="J342" s="6">
        <f>'Zarrah- Coverage'!I113</f>
        <v/>
      </c>
      <c r="K342" s="3">
        <f>'Zarrah- Coverage'!J113</f>
        <v/>
      </c>
      <c r="L342" s="13">
        <f>'Zarrah- Coverage'!K113</f>
        <v/>
      </c>
    </row>
    <row r="343" ht="18" customHeight="1" s="96">
      <c r="A343" s="93" t="inlineStr">
        <is>
          <t>Person B</t>
        </is>
      </c>
      <c r="B343" s="8">
        <f>'Zarrah- Coverage'!A114</f>
        <v/>
      </c>
      <c r="C343" s="93">
        <f>'Zarrah- Coverage'!A114</f>
        <v/>
      </c>
      <c r="D343" s="8">
        <f>'Zarrah- Coverage'!C114</f>
        <v/>
      </c>
      <c r="E343" s="8">
        <f>'Zarrah- Coverage'!D114</f>
        <v/>
      </c>
      <c r="F343" s="8">
        <f>'Zarrah- Coverage'!E114</f>
        <v/>
      </c>
      <c r="G343" s="9">
        <f>'Zarrah- Coverage'!F114</f>
        <v/>
      </c>
      <c r="H343" s="10">
        <f>'Zarrah- Coverage'!G114</f>
        <v/>
      </c>
      <c r="I343" s="10">
        <f>'Zarrah- Coverage'!H114</f>
        <v/>
      </c>
      <c r="J343" s="11">
        <f>'Zarrah- Coverage'!I114</f>
        <v/>
      </c>
      <c r="K343" s="8">
        <f>'Zarrah- Coverage'!J114</f>
        <v/>
      </c>
      <c r="L343" s="12">
        <f>'Zarrah- Coverage'!K114</f>
        <v/>
      </c>
    </row>
    <row r="344" ht="18" customHeight="1" s="96">
      <c r="A344" s="2" t="inlineStr">
        <is>
          <t>Person B</t>
        </is>
      </c>
      <c r="B344" s="3">
        <f>'Zarrah- Coverage'!A115</f>
        <v/>
      </c>
      <c r="C344" s="2">
        <f>'Zarrah- Coverage'!A115</f>
        <v/>
      </c>
      <c r="D344" s="3">
        <f>'Zarrah- Coverage'!C115</f>
        <v/>
      </c>
      <c r="E344" s="3">
        <f>'Zarrah- Coverage'!D115</f>
        <v/>
      </c>
      <c r="F344" s="3">
        <f>'Zarrah- Coverage'!E115</f>
        <v/>
      </c>
      <c r="G344" s="4">
        <f>'Zarrah- Coverage'!F115</f>
        <v/>
      </c>
      <c r="H344" s="5">
        <f>'Zarrah- Coverage'!G115</f>
        <v/>
      </c>
      <c r="I344" s="5">
        <f>'Zarrah- Coverage'!H115</f>
        <v/>
      </c>
      <c r="J344" s="6">
        <f>'Zarrah- Coverage'!I115</f>
        <v/>
      </c>
      <c r="K344" s="3">
        <f>'Zarrah- Coverage'!J115</f>
        <v/>
      </c>
      <c r="L344" s="13">
        <f>'Zarrah- Coverage'!K115</f>
        <v/>
      </c>
    </row>
    <row r="345" ht="18" customHeight="1" s="96">
      <c r="A345" s="93" t="inlineStr">
        <is>
          <t>Person B</t>
        </is>
      </c>
      <c r="B345" s="8">
        <f>'Zarrah- Coverage'!A116</f>
        <v/>
      </c>
      <c r="C345" s="93">
        <f>'Zarrah- Coverage'!A116</f>
        <v/>
      </c>
      <c r="D345" s="8">
        <f>'Zarrah- Coverage'!C116</f>
        <v/>
      </c>
      <c r="E345" s="8">
        <f>'Zarrah- Coverage'!D116</f>
        <v/>
      </c>
      <c r="F345" s="8">
        <f>'Zarrah- Coverage'!E116</f>
        <v/>
      </c>
      <c r="G345" s="9">
        <f>'Zarrah- Coverage'!F116</f>
        <v/>
      </c>
      <c r="H345" s="10">
        <f>'Zarrah- Coverage'!G116</f>
        <v/>
      </c>
      <c r="I345" s="10">
        <f>'Zarrah- Coverage'!H116</f>
        <v/>
      </c>
      <c r="J345" s="11">
        <f>'Zarrah- Coverage'!I116</f>
        <v/>
      </c>
      <c r="K345" s="8">
        <f>'Zarrah- Coverage'!J116</f>
        <v/>
      </c>
      <c r="L345" s="12">
        <f>'Zarrah- Coverage'!K116</f>
        <v/>
      </c>
    </row>
    <row r="346" ht="18" customHeight="1" s="96">
      <c r="A346" s="2" t="inlineStr">
        <is>
          <t>Person B</t>
        </is>
      </c>
      <c r="B346" s="3">
        <f>'Zarrah- Coverage'!A117</f>
        <v/>
      </c>
      <c r="C346" s="2">
        <f>'Zarrah- Coverage'!A117</f>
        <v/>
      </c>
      <c r="D346" s="3">
        <f>'Zarrah- Coverage'!C117</f>
        <v/>
      </c>
      <c r="E346" s="3">
        <f>'Zarrah- Coverage'!D117</f>
        <v/>
      </c>
      <c r="F346" s="3">
        <f>'Zarrah- Coverage'!E117</f>
        <v/>
      </c>
      <c r="G346" s="4">
        <f>'Zarrah- Coverage'!F117</f>
        <v/>
      </c>
      <c r="H346" s="5">
        <f>'Zarrah- Coverage'!G117</f>
        <v/>
      </c>
      <c r="I346" s="5">
        <f>'Zarrah- Coverage'!H117</f>
        <v/>
      </c>
      <c r="J346" s="6">
        <f>'Zarrah- Coverage'!I117</f>
        <v/>
      </c>
      <c r="K346" s="3">
        <f>'Zarrah- Coverage'!J117</f>
        <v/>
      </c>
      <c r="L346" s="13">
        <f>'Zarrah- Coverage'!K117</f>
        <v/>
      </c>
    </row>
    <row r="347" ht="18" customHeight="1" s="96">
      <c r="A347" s="93" t="inlineStr">
        <is>
          <t>Person B</t>
        </is>
      </c>
      <c r="B347" s="8">
        <f>'Zarrah- Coverage'!A118</f>
        <v/>
      </c>
      <c r="C347" s="93">
        <f>'Zarrah- Coverage'!A118</f>
        <v/>
      </c>
      <c r="D347" s="8">
        <f>'Zarrah- Coverage'!C118</f>
        <v/>
      </c>
      <c r="E347" s="8">
        <f>'Zarrah- Coverage'!D118</f>
        <v/>
      </c>
      <c r="F347" s="8">
        <f>'Zarrah- Coverage'!E118</f>
        <v/>
      </c>
      <c r="G347" s="9">
        <f>'Zarrah- Coverage'!F118</f>
        <v/>
      </c>
      <c r="H347" s="10">
        <f>'Zarrah- Coverage'!G118</f>
        <v/>
      </c>
      <c r="I347" s="10">
        <f>'Zarrah- Coverage'!H118</f>
        <v/>
      </c>
      <c r="J347" s="11">
        <f>'Zarrah- Coverage'!I118</f>
        <v/>
      </c>
      <c r="K347" s="8">
        <f>'Zarrah- Coverage'!J118</f>
        <v/>
      </c>
      <c r="L347" s="12">
        <f>'Zarrah- Coverage'!K118</f>
        <v/>
      </c>
    </row>
    <row r="348" ht="18" customHeight="1" s="96">
      <c r="A348" s="2" t="inlineStr">
        <is>
          <t>Person B</t>
        </is>
      </c>
      <c r="B348" s="3">
        <f>'Zarrah- Coverage'!A119</f>
        <v/>
      </c>
      <c r="C348" s="2">
        <f>'Zarrah- Coverage'!A119</f>
        <v/>
      </c>
      <c r="D348" s="3">
        <f>'Zarrah- Coverage'!C119</f>
        <v/>
      </c>
      <c r="E348" s="3">
        <f>'Zarrah- Coverage'!D119</f>
        <v/>
      </c>
      <c r="F348" s="3">
        <f>'Zarrah- Coverage'!E119</f>
        <v/>
      </c>
      <c r="G348" s="4">
        <f>'Zarrah- Coverage'!F119</f>
        <v/>
      </c>
      <c r="H348" s="5">
        <f>'Zarrah- Coverage'!G119</f>
        <v/>
      </c>
      <c r="I348" s="5">
        <f>'Zarrah- Coverage'!H119</f>
        <v/>
      </c>
      <c r="J348" s="6">
        <f>'Zarrah- Coverage'!I119</f>
        <v/>
      </c>
      <c r="K348" s="3">
        <f>'Zarrah- Coverage'!J119</f>
        <v/>
      </c>
      <c r="L348" s="13">
        <f>'Zarrah- Coverage'!K119</f>
        <v/>
      </c>
    </row>
    <row r="349" ht="18" customHeight="1" s="96">
      <c r="A349" s="93" t="inlineStr">
        <is>
          <t>Person B</t>
        </is>
      </c>
      <c r="B349" s="8">
        <f>'Zarrah- Coverage'!A120</f>
        <v/>
      </c>
      <c r="C349" s="93">
        <f>'Zarrah- Coverage'!A120</f>
        <v/>
      </c>
      <c r="D349" s="8">
        <f>'Zarrah- Coverage'!C120</f>
        <v/>
      </c>
      <c r="E349" s="8">
        <f>'Zarrah- Coverage'!D120</f>
        <v/>
      </c>
      <c r="F349" s="8">
        <f>'Zarrah- Coverage'!E120</f>
        <v/>
      </c>
      <c r="G349" s="9">
        <f>'Zarrah- Coverage'!F120</f>
        <v/>
      </c>
      <c r="H349" s="10">
        <f>'Zarrah- Coverage'!G120</f>
        <v/>
      </c>
      <c r="I349" s="10">
        <f>'Zarrah- Coverage'!H120</f>
        <v/>
      </c>
      <c r="J349" s="11">
        <f>'Zarrah- Coverage'!I120</f>
        <v/>
      </c>
      <c r="K349" s="8">
        <f>'Zarrah- Coverage'!J120</f>
        <v/>
      </c>
      <c r="L349" s="12">
        <f>'Zarrah- Coverage'!K120</f>
        <v/>
      </c>
    </row>
    <row r="350" ht="18" customHeight="1" s="96">
      <c r="A350" s="2" t="inlineStr">
        <is>
          <t>Person B</t>
        </is>
      </c>
      <c r="B350" s="3">
        <f>'Zarrah- Coverage'!A121</f>
        <v/>
      </c>
      <c r="C350" s="2">
        <f>'Zarrah- Coverage'!A121</f>
        <v/>
      </c>
      <c r="D350" s="3">
        <f>'Zarrah- Coverage'!C121</f>
        <v/>
      </c>
      <c r="E350" s="3">
        <f>'Zarrah- Coverage'!D121</f>
        <v/>
      </c>
      <c r="F350" s="3">
        <f>'Zarrah- Coverage'!E121</f>
        <v/>
      </c>
      <c r="G350" s="4">
        <f>'Zarrah- Coverage'!F121</f>
        <v/>
      </c>
      <c r="H350" s="5">
        <f>'Zarrah- Coverage'!G121</f>
        <v/>
      </c>
      <c r="I350" s="5">
        <f>'Zarrah- Coverage'!H121</f>
        <v/>
      </c>
      <c r="J350" s="6">
        <f>'Zarrah- Coverage'!I121</f>
        <v/>
      </c>
      <c r="K350" s="3">
        <f>'Zarrah- Coverage'!J121</f>
        <v/>
      </c>
      <c r="L350" s="13">
        <f>'Zarrah- Coverage'!K121</f>
        <v/>
      </c>
    </row>
    <row r="351" ht="18" customHeight="1" s="96">
      <c r="A351" s="93" t="inlineStr">
        <is>
          <t>Person B</t>
        </is>
      </c>
      <c r="B351" s="8">
        <f>'Zarrah- Coverage'!A122</f>
        <v/>
      </c>
      <c r="C351" s="93">
        <f>'Zarrah- Coverage'!A122</f>
        <v/>
      </c>
      <c r="D351" s="8">
        <f>'Zarrah- Coverage'!C122</f>
        <v/>
      </c>
      <c r="E351" s="8">
        <f>'Zarrah- Coverage'!D122</f>
        <v/>
      </c>
      <c r="F351" s="8">
        <f>'Zarrah- Coverage'!E122</f>
        <v/>
      </c>
      <c r="G351" s="9">
        <f>'Zarrah- Coverage'!F122</f>
        <v/>
      </c>
      <c r="H351" s="10">
        <f>'Zarrah- Coverage'!G122</f>
        <v/>
      </c>
      <c r="I351" s="10">
        <f>'Zarrah- Coverage'!H122</f>
        <v/>
      </c>
      <c r="J351" s="11">
        <f>'Zarrah- Coverage'!I122</f>
        <v/>
      </c>
      <c r="K351" s="8">
        <f>'Zarrah- Coverage'!J122</f>
        <v/>
      </c>
      <c r="L351" s="12">
        <f>'Zarrah- Coverage'!K122</f>
        <v/>
      </c>
    </row>
    <row r="352" ht="18" customHeight="1" s="96">
      <c r="A352" s="2" t="inlineStr">
        <is>
          <t>Person B</t>
        </is>
      </c>
      <c r="B352" s="3">
        <f>'Zarrah- Coverage'!A123</f>
        <v/>
      </c>
      <c r="C352" s="2">
        <f>'Zarrah- Coverage'!A123</f>
        <v/>
      </c>
      <c r="D352" s="3">
        <f>'Zarrah- Coverage'!C123</f>
        <v/>
      </c>
      <c r="E352" s="3">
        <f>'Zarrah- Coverage'!D123</f>
        <v/>
      </c>
      <c r="F352" s="3">
        <f>'Zarrah- Coverage'!E123</f>
        <v/>
      </c>
      <c r="G352" s="4">
        <f>'Zarrah- Coverage'!F123</f>
        <v/>
      </c>
      <c r="H352" s="5">
        <f>'Zarrah- Coverage'!G123</f>
        <v/>
      </c>
      <c r="I352" s="5">
        <f>'Zarrah- Coverage'!H123</f>
        <v/>
      </c>
      <c r="J352" s="6">
        <f>'Zarrah- Coverage'!I123</f>
        <v/>
      </c>
      <c r="K352" s="3">
        <f>'Zarrah- Coverage'!J123</f>
        <v/>
      </c>
      <c r="L352" s="13">
        <f>'Zarrah- Coverage'!K123</f>
        <v/>
      </c>
    </row>
    <row r="353" ht="18" customHeight="1" s="96">
      <c r="A353" s="93" t="inlineStr">
        <is>
          <t>Person B</t>
        </is>
      </c>
      <c r="B353" s="8">
        <f>'Zarrah- Coverage'!A124</f>
        <v/>
      </c>
      <c r="C353" s="93">
        <f>'Zarrah- Coverage'!A124</f>
        <v/>
      </c>
      <c r="D353" s="8">
        <f>'Zarrah- Coverage'!C124</f>
        <v/>
      </c>
      <c r="E353" s="8">
        <f>'Zarrah- Coverage'!D124</f>
        <v/>
      </c>
      <c r="F353" s="8">
        <f>'Zarrah- Coverage'!E124</f>
        <v/>
      </c>
      <c r="G353" s="9">
        <f>'Zarrah- Coverage'!F124</f>
        <v/>
      </c>
      <c r="H353" s="10">
        <f>'Zarrah- Coverage'!G124</f>
        <v/>
      </c>
      <c r="I353" s="10">
        <f>'Zarrah- Coverage'!H124</f>
        <v/>
      </c>
      <c r="J353" s="11">
        <f>'Zarrah- Coverage'!I124</f>
        <v/>
      </c>
      <c r="K353" s="8">
        <f>'Zarrah- Coverage'!J124</f>
        <v/>
      </c>
      <c r="L353" s="12">
        <f>'Zarrah- Coverage'!K124</f>
        <v/>
      </c>
    </row>
    <row r="354" ht="18" customHeight="1" s="96">
      <c r="A354" s="2" t="inlineStr">
        <is>
          <t>Person B</t>
        </is>
      </c>
      <c r="B354" s="3">
        <f>'Zarrah- Coverage'!A125</f>
        <v/>
      </c>
      <c r="C354" s="2">
        <f>'Zarrah- Coverage'!A125</f>
        <v/>
      </c>
      <c r="D354" s="3">
        <f>'Zarrah- Coverage'!C125</f>
        <v/>
      </c>
      <c r="E354" s="3">
        <f>'Zarrah- Coverage'!D125</f>
        <v/>
      </c>
      <c r="F354" s="3">
        <f>'Zarrah- Coverage'!E125</f>
        <v/>
      </c>
      <c r="G354" s="4">
        <f>'Zarrah- Coverage'!F125</f>
        <v/>
      </c>
      <c r="H354" s="5">
        <f>'Zarrah- Coverage'!G125</f>
        <v/>
      </c>
      <c r="I354" s="5">
        <f>'Zarrah- Coverage'!H125</f>
        <v/>
      </c>
      <c r="J354" s="6">
        <f>'Zarrah- Coverage'!I125</f>
        <v/>
      </c>
      <c r="K354" s="3">
        <f>'Zarrah- Coverage'!J125</f>
        <v/>
      </c>
      <c r="L354" s="13">
        <f>'Zarrah- Coverage'!K125</f>
        <v/>
      </c>
    </row>
    <row r="355" ht="18" customHeight="1" s="96">
      <c r="A355" s="93" t="inlineStr">
        <is>
          <t>Person B</t>
        </is>
      </c>
      <c r="B355" s="8">
        <f>'Zarrah- Coverage'!A126</f>
        <v/>
      </c>
      <c r="C355" s="93">
        <f>'Zarrah- Coverage'!A126</f>
        <v/>
      </c>
      <c r="D355" s="8">
        <f>'Zarrah- Coverage'!C126</f>
        <v/>
      </c>
      <c r="E355" s="8">
        <f>'Zarrah- Coverage'!D126</f>
        <v/>
      </c>
      <c r="F355" s="8">
        <f>'Zarrah- Coverage'!E126</f>
        <v/>
      </c>
      <c r="G355" s="9">
        <f>'Zarrah- Coverage'!F126</f>
        <v/>
      </c>
      <c r="H355" s="10">
        <f>'Zarrah- Coverage'!G126</f>
        <v/>
      </c>
      <c r="I355" s="10">
        <f>'Zarrah- Coverage'!H126</f>
        <v/>
      </c>
      <c r="J355" s="11">
        <f>'Zarrah- Coverage'!I126</f>
        <v/>
      </c>
      <c r="K355" s="8">
        <f>'Zarrah- Coverage'!J126</f>
        <v/>
      </c>
      <c r="L355" s="12">
        <f>'Zarrah- Coverage'!K126</f>
        <v/>
      </c>
    </row>
    <row r="356" ht="18" customHeight="1" s="96">
      <c r="A356" s="2" t="inlineStr">
        <is>
          <t>Person B</t>
        </is>
      </c>
      <c r="B356" s="3">
        <f>'Zarrah- Coverage'!A127</f>
        <v/>
      </c>
      <c r="C356" s="2">
        <f>'Zarrah- Coverage'!A127</f>
        <v/>
      </c>
      <c r="D356" s="3">
        <f>'Zarrah- Coverage'!C127</f>
        <v/>
      </c>
      <c r="E356" s="3">
        <f>'Zarrah- Coverage'!D127</f>
        <v/>
      </c>
      <c r="F356" s="3">
        <f>'Zarrah- Coverage'!E127</f>
        <v/>
      </c>
      <c r="G356" s="4">
        <f>'Zarrah- Coverage'!F127</f>
        <v/>
      </c>
      <c r="H356" s="5">
        <f>'Zarrah- Coverage'!G127</f>
        <v/>
      </c>
      <c r="I356" s="5">
        <f>'Zarrah- Coverage'!H127</f>
        <v/>
      </c>
      <c r="J356" s="6">
        <f>'Zarrah- Coverage'!I127</f>
        <v/>
      </c>
      <c r="K356" s="3">
        <f>'Zarrah- Coverage'!J127</f>
        <v/>
      </c>
      <c r="L356" s="13">
        <f>'Zarrah- Coverage'!K127</f>
        <v/>
      </c>
    </row>
    <row r="357" ht="18" customHeight="1" s="96">
      <c r="A357" s="93" t="inlineStr">
        <is>
          <t>Person B</t>
        </is>
      </c>
      <c r="B357" s="8">
        <f>'Zarrah- Coverage'!A128</f>
        <v/>
      </c>
      <c r="C357" s="93">
        <f>'Zarrah- Coverage'!A128</f>
        <v/>
      </c>
      <c r="D357" s="8">
        <f>'Zarrah- Coverage'!C128</f>
        <v/>
      </c>
      <c r="E357" s="8">
        <f>'Zarrah- Coverage'!D128</f>
        <v/>
      </c>
      <c r="F357" s="8">
        <f>'Zarrah- Coverage'!E128</f>
        <v/>
      </c>
      <c r="G357" s="9">
        <f>'Zarrah- Coverage'!F128</f>
        <v/>
      </c>
      <c r="H357" s="10">
        <f>'Zarrah- Coverage'!G128</f>
        <v/>
      </c>
      <c r="I357" s="10">
        <f>'Zarrah- Coverage'!H128</f>
        <v/>
      </c>
      <c r="J357" s="11">
        <f>'Zarrah- Coverage'!I128</f>
        <v/>
      </c>
      <c r="K357" s="8">
        <f>'Zarrah- Coverage'!J128</f>
        <v/>
      </c>
      <c r="L357" s="12">
        <f>'Zarrah- Coverage'!K128</f>
        <v/>
      </c>
    </row>
    <row r="358" ht="18" customHeight="1" s="96">
      <c r="A358" s="2" t="inlineStr">
        <is>
          <t>Person B</t>
        </is>
      </c>
      <c r="B358" s="3">
        <f>'Zarrah- Coverage'!A129</f>
        <v/>
      </c>
      <c r="C358" s="2">
        <f>'Zarrah- Coverage'!A129</f>
        <v/>
      </c>
      <c r="D358" s="3">
        <f>'Zarrah- Coverage'!C129</f>
        <v/>
      </c>
      <c r="E358" s="3">
        <f>'Zarrah- Coverage'!D129</f>
        <v/>
      </c>
      <c r="F358" s="3">
        <f>'Zarrah- Coverage'!E129</f>
        <v/>
      </c>
      <c r="G358" s="4">
        <f>'Zarrah- Coverage'!F129</f>
        <v/>
      </c>
      <c r="H358" s="5">
        <f>'Zarrah- Coverage'!G129</f>
        <v/>
      </c>
      <c r="I358" s="5">
        <f>'Zarrah- Coverage'!H129</f>
        <v/>
      </c>
      <c r="J358" s="6">
        <f>'Zarrah- Coverage'!I129</f>
        <v/>
      </c>
      <c r="K358" s="3">
        <f>'Zarrah- Coverage'!J129</f>
        <v/>
      </c>
      <c r="L358" s="13">
        <f>'Zarrah- Coverage'!K129</f>
        <v/>
      </c>
    </row>
    <row r="359" ht="18" customHeight="1" s="96">
      <c r="A359" s="93" t="inlineStr">
        <is>
          <t>Person B</t>
        </is>
      </c>
      <c r="B359" s="8">
        <f>'Zarrah- Coverage'!A130</f>
        <v/>
      </c>
      <c r="C359" s="93">
        <f>'Zarrah- Coverage'!A130</f>
        <v/>
      </c>
      <c r="D359" s="8">
        <f>'Zarrah- Coverage'!C130</f>
        <v/>
      </c>
      <c r="E359" s="8">
        <f>'Zarrah- Coverage'!D130</f>
        <v/>
      </c>
      <c r="F359" s="8">
        <f>'Zarrah- Coverage'!E130</f>
        <v/>
      </c>
      <c r="G359" s="9">
        <f>'Zarrah- Coverage'!F130</f>
        <v/>
      </c>
      <c r="H359" s="10">
        <f>'Zarrah- Coverage'!G130</f>
        <v/>
      </c>
      <c r="I359" s="10">
        <f>'Zarrah- Coverage'!H130</f>
        <v/>
      </c>
      <c r="J359" s="11">
        <f>'Zarrah- Coverage'!I130</f>
        <v/>
      </c>
      <c r="K359" s="8">
        <f>'Zarrah- Coverage'!J130</f>
        <v/>
      </c>
      <c r="L359" s="12">
        <f>'Zarrah- Coverage'!K130</f>
        <v/>
      </c>
    </row>
    <row r="360" ht="18" customHeight="1" s="96">
      <c r="A360" s="2" t="inlineStr">
        <is>
          <t>Person B</t>
        </is>
      </c>
      <c r="B360" s="3">
        <f>'Zarrah- Coverage'!A131</f>
        <v/>
      </c>
      <c r="C360" s="2">
        <f>'Zarrah- Coverage'!A131</f>
        <v/>
      </c>
      <c r="D360" s="3">
        <f>'Zarrah- Coverage'!C131</f>
        <v/>
      </c>
      <c r="E360" s="3">
        <f>'Zarrah- Coverage'!D131</f>
        <v/>
      </c>
      <c r="F360" s="3">
        <f>'Zarrah- Coverage'!E131</f>
        <v/>
      </c>
      <c r="G360" s="4">
        <f>'Zarrah- Coverage'!F131</f>
        <v/>
      </c>
      <c r="H360" s="5">
        <f>'Zarrah- Coverage'!G131</f>
        <v/>
      </c>
      <c r="I360" s="5">
        <f>'Zarrah- Coverage'!H131</f>
        <v/>
      </c>
      <c r="J360" s="6">
        <f>'Zarrah- Coverage'!I131</f>
        <v/>
      </c>
      <c r="K360" s="3">
        <f>'Zarrah- Coverage'!J131</f>
        <v/>
      </c>
      <c r="L360" s="13">
        <f>'Zarrah- Coverage'!K131</f>
        <v/>
      </c>
    </row>
    <row r="361" ht="18" customHeight="1" s="96">
      <c r="A361" s="93" t="inlineStr">
        <is>
          <t>Person B</t>
        </is>
      </c>
      <c r="B361" s="8">
        <f>'Zarrah- Coverage'!A132</f>
        <v/>
      </c>
      <c r="C361" s="93">
        <f>'Zarrah- Coverage'!A132</f>
        <v/>
      </c>
      <c r="D361" s="8">
        <f>'Zarrah- Coverage'!C132</f>
        <v/>
      </c>
      <c r="E361" s="8">
        <f>'Zarrah- Coverage'!D132</f>
        <v/>
      </c>
      <c r="F361" s="8">
        <f>'Zarrah- Coverage'!E132</f>
        <v/>
      </c>
      <c r="G361" s="9">
        <f>'Zarrah- Coverage'!F132</f>
        <v/>
      </c>
      <c r="H361" s="10">
        <f>'Zarrah- Coverage'!G132</f>
        <v/>
      </c>
      <c r="I361" s="10">
        <f>'Zarrah- Coverage'!H132</f>
        <v/>
      </c>
      <c r="J361" s="11">
        <f>'Zarrah- Coverage'!I132</f>
        <v/>
      </c>
      <c r="K361" s="8">
        <f>'Zarrah- Coverage'!J132</f>
        <v/>
      </c>
      <c r="L361" s="12">
        <f>'Zarrah- Coverage'!K132</f>
        <v/>
      </c>
    </row>
    <row r="362" ht="18" customHeight="1" s="96">
      <c r="A362" s="2" t="inlineStr">
        <is>
          <t>Person B</t>
        </is>
      </c>
      <c r="B362" s="3">
        <f>'Zarrah- Coverage'!A133</f>
        <v/>
      </c>
      <c r="C362" s="2">
        <f>'Zarrah- Coverage'!A133</f>
        <v/>
      </c>
      <c r="D362" s="3">
        <f>'Zarrah- Coverage'!C133</f>
        <v/>
      </c>
      <c r="E362" s="3">
        <f>'Zarrah- Coverage'!D133</f>
        <v/>
      </c>
      <c r="F362" s="3">
        <f>'Zarrah- Coverage'!E133</f>
        <v/>
      </c>
      <c r="G362" s="4">
        <f>'Zarrah- Coverage'!F133</f>
        <v/>
      </c>
      <c r="H362" s="5">
        <f>'Zarrah- Coverage'!G133</f>
        <v/>
      </c>
      <c r="I362" s="5">
        <f>'Zarrah- Coverage'!H133</f>
        <v/>
      </c>
      <c r="J362" s="6">
        <f>'Zarrah- Coverage'!I133</f>
        <v/>
      </c>
      <c r="K362" s="3">
        <f>'Zarrah- Coverage'!J133</f>
        <v/>
      </c>
      <c r="L362" s="13">
        <f>'Zarrah- Coverage'!K133</f>
        <v/>
      </c>
    </row>
    <row r="363" ht="18" customHeight="1" s="96">
      <c r="A363" s="93" t="inlineStr">
        <is>
          <t>Person B</t>
        </is>
      </c>
      <c r="B363" s="8">
        <f>'Zarrah- Coverage'!A134</f>
        <v/>
      </c>
      <c r="C363" s="93">
        <f>'Zarrah- Coverage'!A134</f>
        <v/>
      </c>
      <c r="D363" s="8">
        <f>'Zarrah- Coverage'!C134</f>
        <v/>
      </c>
      <c r="E363" s="8">
        <f>'Zarrah- Coverage'!D134</f>
        <v/>
      </c>
      <c r="F363" s="8">
        <f>'Zarrah- Coverage'!E134</f>
        <v/>
      </c>
      <c r="G363" s="9">
        <f>'Zarrah- Coverage'!F134</f>
        <v/>
      </c>
      <c r="H363" s="10">
        <f>'Zarrah- Coverage'!G134</f>
        <v/>
      </c>
      <c r="I363" s="10">
        <f>'Zarrah- Coverage'!H134</f>
        <v/>
      </c>
      <c r="J363" s="11">
        <f>'Zarrah- Coverage'!I134</f>
        <v/>
      </c>
      <c r="K363" s="8">
        <f>'Zarrah- Coverage'!J134</f>
        <v/>
      </c>
      <c r="L363" s="12">
        <f>'Zarrah- Coverage'!K134</f>
        <v/>
      </c>
    </row>
    <row r="364" ht="18" customHeight="1" s="96">
      <c r="A364" s="2" t="inlineStr">
        <is>
          <t>Person B</t>
        </is>
      </c>
      <c r="B364" s="3">
        <f>'Zarrah- Coverage'!A135</f>
        <v/>
      </c>
      <c r="C364" s="2">
        <f>'Zarrah- Coverage'!A135</f>
        <v/>
      </c>
      <c r="D364" s="3">
        <f>'Zarrah- Coverage'!C135</f>
        <v/>
      </c>
      <c r="E364" s="3">
        <f>'Zarrah- Coverage'!D135</f>
        <v/>
      </c>
      <c r="F364" s="3">
        <f>'Zarrah- Coverage'!E135</f>
        <v/>
      </c>
      <c r="G364" s="4">
        <f>'Zarrah- Coverage'!F135</f>
        <v/>
      </c>
      <c r="H364" s="5">
        <f>'Zarrah- Coverage'!G135</f>
        <v/>
      </c>
      <c r="I364" s="5">
        <f>'Zarrah- Coverage'!H135</f>
        <v/>
      </c>
      <c r="J364" s="6">
        <f>'Zarrah- Coverage'!I135</f>
        <v/>
      </c>
      <c r="K364" s="3">
        <f>'Zarrah- Coverage'!J135</f>
        <v/>
      </c>
      <c r="L364" s="13">
        <f>'Zarrah- Coverage'!K135</f>
        <v/>
      </c>
    </row>
    <row r="365" ht="18" customHeight="1" s="96">
      <c r="A365" s="93" t="inlineStr">
        <is>
          <t>Person B</t>
        </is>
      </c>
      <c r="B365" s="8">
        <f>'Zarrah- Coverage'!A136</f>
        <v/>
      </c>
      <c r="C365" s="93">
        <f>'Zarrah- Coverage'!A136</f>
        <v/>
      </c>
      <c r="D365" s="8">
        <f>'Zarrah- Coverage'!C136</f>
        <v/>
      </c>
      <c r="E365" s="8">
        <f>'Zarrah- Coverage'!D136</f>
        <v/>
      </c>
      <c r="F365" s="8">
        <f>'Zarrah- Coverage'!E136</f>
        <v/>
      </c>
      <c r="G365" s="9">
        <f>'Zarrah- Coverage'!F136</f>
        <v/>
      </c>
      <c r="H365" s="10">
        <f>'Zarrah- Coverage'!G136</f>
        <v/>
      </c>
      <c r="I365" s="10">
        <f>'Zarrah- Coverage'!H136</f>
        <v/>
      </c>
      <c r="J365" s="11">
        <f>'Zarrah- Coverage'!I136</f>
        <v/>
      </c>
      <c r="K365" s="8">
        <f>'Zarrah- Coverage'!J136</f>
        <v/>
      </c>
      <c r="L365" s="12">
        <f>'Zarrah- Coverage'!K136</f>
        <v/>
      </c>
    </row>
    <row r="366" ht="18" customHeight="1" s="96">
      <c r="A366" s="2" t="inlineStr">
        <is>
          <t>Person B</t>
        </is>
      </c>
      <c r="B366" s="3">
        <f>'Zarrah- Coverage'!A137</f>
        <v/>
      </c>
      <c r="C366" s="2">
        <f>'Zarrah- Coverage'!A137</f>
        <v/>
      </c>
      <c r="D366" s="3">
        <f>'Zarrah- Coverage'!C137</f>
        <v/>
      </c>
      <c r="E366" s="3">
        <f>'Zarrah- Coverage'!D137</f>
        <v/>
      </c>
      <c r="F366" s="3">
        <f>'Zarrah- Coverage'!E137</f>
        <v/>
      </c>
      <c r="G366" s="4">
        <f>'Zarrah- Coverage'!F137</f>
        <v/>
      </c>
      <c r="H366" s="5">
        <f>'Zarrah- Coverage'!G137</f>
        <v/>
      </c>
      <c r="I366" s="5">
        <f>'Zarrah- Coverage'!H137</f>
        <v/>
      </c>
      <c r="J366" s="6">
        <f>'Zarrah- Coverage'!I137</f>
        <v/>
      </c>
      <c r="K366" s="3">
        <f>'Zarrah- Coverage'!J137</f>
        <v/>
      </c>
      <c r="L366" s="13">
        <f>'Zarrah- Coverage'!K137</f>
        <v/>
      </c>
    </row>
    <row r="367" ht="18" customHeight="1" s="96">
      <c r="A367" s="93" t="inlineStr">
        <is>
          <t>Person B</t>
        </is>
      </c>
      <c r="B367" s="8">
        <f>'Zarrah- Coverage'!A138</f>
        <v/>
      </c>
      <c r="C367" s="93">
        <f>'Zarrah- Coverage'!A138</f>
        <v/>
      </c>
      <c r="D367" s="8">
        <f>'Zarrah- Coverage'!C138</f>
        <v/>
      </c>
      <c r="E367" s="8">
        <f>'Zarrah- Coverage'!D138</f>
        <v/>
      </c>
      <c r="F367" s="8">
        <f>'Zarrah- Coverage'!E138</f>
        <v/>
      </c>
      <c r="G367" s="9">
        <f>'Zarrah- Coverage'!F138</f>
        <v/>
      </c>
      <c r="H367" s="10">
        <f>'Zarrah- Coverage'!G138</f>
        <v/>
      </c>
      <c r="I367" s="10">
        <f>'Zarrah- Coverage'!H138</f>
        <v/>
      </c>
      <c r="J367" s="11">
        <f>'Zarrah- Coverage'!I138</f>
        <v/>
      </c>
      <c r="K367" s="8">
        <f>'Zarrah- Coverage'!J138</f>
        <v/>
      </c>
      <c r="L367" s="12">
        <f>'Zarrah- Coverage'!K138</f>
        <v/>
      </c>
    </row>
    <row r="368" ht="18" customHeight="1" s="96">
      <c r="A368" s="2" t="inlineStr">
        <is>
          <t>Person B</t>
        </is>
      </c>
      <c r="B368" s="3">
        <f>'Zarrah- Coverage'!A139</f>
        <v/>
      </c>
      <c r="C368" s="2">
        <f>'Zarrah- Coverage'!A139</f>
        <v/>
      </c>
      <c r="D368" s="3">
        <f>'Zarrah- Coverage'!C139</f>
        <v/>
      </c>
      <c r="E368" s="3">
        <f>'Zarrah- Coverage'!D139</f>
        <v/>
      </c>
      <c r="F368" s="3">
        <f>'Zarrah- Coverage'!E139</f>
        <v/>
      </c>
      <c r="G368" s="4">
        <f>'Zarrah- Coverage'!F139</f>
        <v/>
      </c>
      <c r="H368" s="5">
        <f>'Zarrah- Coverage'!G139</f>
        <v/>
      </c>
      <c r="I368" s="5">
        <f>'Zarrah- Coverage'!H139</f>
        <v/>
      </c>
      <c r="J368" s="6">
        <f>'Zarrah- Coverage'!I139</f>
        <v/>
      </c>
      <c r="K368" s="3">
        <f>'Zarrah- Coverage'!J139</f>
        <v/>
      </c>
      <c r="L368" s="13">
        <f>'Zarrah- Coverage'!K139</f>
        <v/>
      </c>
    </row>
    <row r="369" ht="18" customHeight="1" s="96">
      <c r="A369" s="93" t="inlineStr">
        <is>
          <t>Person B</t>
        </is>
      </c>
      <c r="B369" s="8">
        <f>'Zarrah- Coverage'!A140</f>
        <v/>
      </c>
      <c r="C369" s="93">
        <f>'Zarrah- Coverage'!A140</f>
        <v/>
      </c>
      <c r="D369" s="8">
        <f>'Zarrah- Coverage'!C140</f>
        <v/>
      </c>
      <c r="E369" s="8">
        <f>'Zarrah- Coverage'!D140</f>
        <v/>
      </c>
      <c r="F369" s="8">
        <f>'Zarrah- Coverage'!E140</f>
        <v/>
      </c>
      <c r="G369" s="9">
        <f>'Zarrah- Coverage'!F140</f>
        <v/>
      </c>
      <c r="H369" s="10">
        <f>'Zarrah- Coverage'!G140</f>
        <v/>
      </c>
      <c r="I369" s="10">
        <f>'Zarrah- Coverage'!H140</f>
        <v/>
      </c>
      <c r="J369" s="11">
        <f>'Zarrah- Coverage'!I140</f>
        <v/>
      </c>
      <c r="K369" s="8">
        <f>'Zarrah- Coverage'!J140</f>
        <v/>
      </c>
      <c r="L369" s="12">
        <f>'Zarrah- Coverage'!K140</f>
        <v/>
      </c>
    </row>
    <row r="370" ht="18" customHeight="1" s="96">
      <c r="A370" s="2" t="inlineStr">
        <is>
          <t>Person B</t>
        </is>
      </c>
      <c r="B370" s="3">
        <f>'Zarrah- Coverage'!A141</f>
        <v/>
      </c>
      <c r="C370" s="2">
        <f>'Zarrah- Coverage'!A141</f>
        <v/>
      </c>
      <c r="D370" s="3">
        <f>'Zarrah- Coverage'!C141</f>
        <v/>
      </c>
      <c r="E370" s="3">
        <f>'Zarrah- Coverage'!D141</f>
        <v/>
      </c>
      <c r="F370" s="3">
        <f>'Zarrah- Coverage'!E141</f>
        <v/>
      </c>
      <c r="G370" s="4">
        <f>'Zarrah- Coverage'!F141</f>
        <v/>
      </c>
      <c r="H370" s="5">
        <f>'Zarrah- Coverage'!G141</f>
        <v/>
      </c>
      <c r="I370" s="5">
        <f>'Zarrah- Coverage'!H141</f>
        <v/>
      </c>
      <c r="J370" s="6">
        <f>'Zarrah- Coverage'!I141</f>
        <v/>
      </c>
      <c r="K370" s="3">
        <f>'Zarrah- Coverage'!J141</f>
        <v/>
      </c>
      <c r="L370" s="13">
        <f>'Zarrah- Coverage'!K141</f>
        <v/>
      </c>
    </row>
    <row r="371" ht="18" customHeight="1" s="96">
      <c r="A371" s="93" t="inlineStr">
        <is>
          <t>Person B</t>
        </is>
      </c>
      <c r="B371" s="8">
        <f>'Zarrah- Coverage'!A142</f>
        <v/>
      </c>
      <c r="C371" s="93">
        <f>'Zarrah- Coverage'!A142</f>
        <v/>
      </c>
      <c r="D371" s="8">
        <f>'Zarrah- Coverage'!C142</f>
        <v/>
      </c>
      <c r="E371" s="8">
        <f>'Zarrah- Coverage'!D142</f>
        <v/>
      </c>
      <c r="F371" s="8">
        <f>'Zarrah- Coverage'!E142</f>
        <v/>
      </c>
      <c r="G371" s="9">
        <f>'Zarrah- Coverage'!F142</f>
        <v/>
      </c>
      <c r="H371" s="10">
        <f>'Zarrah- Coverage'!G142</f>
        <v/>
      </c>
      <c r="I371" s="10">
        <f>'Zarrah- Coverage'!H142</f>
        <v/>
      </c>
      <c r="J371" s="11">
        <f>'Zarrah- Coverage'!I142</f>
        <v/>
      </c>
      <c r="K371" s="8">
        <f>'Zarrah- Coverage'!J142</f>
        <v/>
      </c>
      <c r="L371" s="12">
        <f>'Zarrah- Coverage'!K142</f>
        <v/>
      </c>
    </row>
    <row r="372" ht="18" customHeight="1" s="96">
      <c r="A372" s="2" t="inlineStr">
        <is>
          <t>Person B</t>
        </is>
      </c>
      <c r="B372" s="3">
        <f>'Zarrah- Coverage'!A143</f>
        <v/>
      </c>
      <c r="C372" s="2">
        <f>'Zarrah- Coverage'!A143</f>
        <v/>
      </c>
      <c r="D372" s="3">
        <f>'Zarrah- Coverage'!C143</f>
        <v/>
      </c>
      <c r="E372" s="3">
        <f>'Zarrah- Coverage'!D143</f>
        <v/>
      </c>
      <c r="F372" s="3">
        <f>'Zarrah- Coverage'!E143</f>
        <v/>
      </c>
      <c r="G372" s="4">
        <f>'Zarrah- Coverage'!F143</f>
        <v/>
      </c>
      <c r="H372" s="5">
        <f>'Zarrah- Coverage'!G143</f>
        <v/>
      </c>
      <c r="I372" s="5">
        <f>'Zarrah- Coverage'!H143</f>
        <v/>
      </c>
      <c r="J372" s="6">
        <f>'Zarrah- Coverage'!I143</f>
        <v/>
      </c>
      <c r="K372" s="3">
        <f>'Zarrah- Coverage'!J143</f>
        <v/>
      </c>
      <c r="L372" s="13">
        <f>'Zarrah- Coverage'!K143</f>
        <v/>
      </c>
    </row>
    <row r="373" ht="18" customHeight="1" s="96">
      <c r="A373" s="93" t="inlineStr">
        <is>
          <t>Person B</t>
        </is>
      </c>
      <c r="B373" s="8">
        <f>'Zarrah- Coverage'!A144</f>
        <v/>
      </c>
      <c r="C373" s="93">
        <f>'Zarrah- Coverage'!A144</f>
        <v/>
      </c>
      <c r="D373" s="8">
        <f>'Zarrah- Coverage'!C144</f>
        <v/>
      </c>
      <c r="E373" s="8">
        <f>'Zarrah- Coverage'!D144</f>
        <v/>
      </c>
      <c r="F373" s="8">
        <f>'Zarrah- Coverage'!E144</f>
        <v/>
      </c>
      <c r="G373" s="9">
        <f>'Zarrah- Coverage'!F144</f>
        <v/>
      </c>
      <c r="H373" s="10">
        <f>'Zarrah- Coverage'!G144</f>
        <v/>
      </c>
      <c r="I373" s="10">
        <f>'Zarrah- Coverage'!H144</f>
        <v/>
      </c>
      <c r="J373" s="11">
        <f>'Zarrah- Coverage'!I144</f>
        <v/>
      </c>
      <c r="K373" s="8">
        <f>'Zarrah- Coverage'!J144</f>
        <v/>
      </c>
      <c r="L373" s="12">
        <f>'Zarrah- Coverage'!K144</f>
        <v/>
      </c>
    </row>
    <row r="374" ht="18" customHeight="1" s="96">
      <c r="A374" s="2" t="inlineStr">
        <is>
          <t>Person B</t>
        </is>
      </c>
      <c r="B374" s="3">
        <f>'Zarrah- Coverage'!A145</f>
        <v/>
      </c>
      <c r="C374" s="2">
        <f>'Zarrah- Coverage'!A145</f>
        <v/>
      </c>
      <c r="D374" s="3">
        <f>'Zarrah- Coverage'!C145</f>
        <v/>
      </c>
      <c r="E374" s="3">
        <f>'Zarrah- Coverage'!D145</f>
        <v/>
      </c>
      <c r="F374" s="3">
        <f>'Zarrah- Coverage'!E145</f>
        <v/>
      </c>
      <c r="G374" s="4">
        <f>'Zarrah- Coverage'!F145</f>
        <v/>
      </c>
      <c r="H374" s="5">
        <f>'Zarrah- Coverage'!G145</f>
        <v/>
      </c>
      <c r="I374" s="5">
        <f>'Zarrah- Coverage'!H145</f>
        <v/>
      </c>
      <c r="J374" s="6">
        <f>'Zarrah- Coverage'!I145</f>
        <v/>
      </c>
      <c r="K374" s="3">
        <f>'Zarrah- Coverage'!J145</f>
        <v/>
      </c>
      <c r="L374" s="13">
        <f>'Zarrah- Coverage'!K145</f>
        <v/>
      </c>
    </row>
    <row r="375" ht="18" customHeight="1" s="96">
      <c r="A375" s="93" t="inlineStr">
        <is>
          <t>Person B</t>
        </is>
      </c>
      <c r="B375" s="8">
        <f>'Zarrah- Coverage'!A146</f>
        <v/>
      </c>
      <c r="C375" s="93">
        <f>'Zarrah- Coverage'!A146</f>
        <v/>
      </c>
      <c r="D375" s="8">
        <f>'Zarrah- Coverage'!C146</f>
        <v/>
      </c>
      <c r="E375" s="8">
        <f>'Zarrah- Coverage'!D146</f>
        <v/>
      </c>
      <c r="F375" s="8">
        <f>'Zarrah- Coverage'!E146</f>
        <v/>
      </c>
      <c r="G375" s="9">
        <f>'Zarrah- Coverage'!F146</f>
        <v/>
      </c>
      <c r="H375" s="10">
        <f>'Zarrah- Coverage'!G146</f>
        <v/>
      </c>
      <c r="I375" s="10">
        <f>'Zarrah- Coverage'!H146</f>
        <v/>
      </c>
      <c r="J375" s="11">
        <f>'Zarrah- Coverage'!I146</f>
        <v/>
      </c>
      <c r="K375" s="8">
        <f>'Zarrah- Coverage'!J146</f>
        <v/>
      </c>
      <c r="L375" s="12">
        <f>'Zarrah- Coverage'!K146</f>
        <v/>
      </c>
    </row>
    <row r="376" ht="18" customHeight="1" s="96">
      <c r="A376" s="2" t="inlineStr">
        <is>
          <t>Person B</t>
        </is>
      </c>
      <c r="B376" s="3">
        <f>'Zarrah- Coverage'!A147</f>
        <v/>
      </c>
      <c r="C376" s="2">
        <f>'Zarrah- Coverage'!A147</f>
        <v/>
      </c>
      <c r="D376" s="3">
        <f>'Zarrah- Coverage'!C147</f>
        <v/>
      </c>
      <c r="E376" s="3">
        <f>'Zarrah- Coverage'!D147</f>
        <v/>
      </c>
      <c r="F376" s="3">
        <f>'Zarrah- Coverage'!E147</f>
        <v/>
      </c>
      <c r="G376" s="4">
        <f>'Zarrah- Coverage'!F147</f>
        <v/>
      </c>
      <c r="H376" s="5">
        <f>'Zarrah- Coverage'!G147</f>
        <v/>
      </c>
      <c r="I376" s="5">
        <f>'Zarrah- Coverage'!H147</f>
        <v/>
      </c>
      <c r="J376" s="6">
        <f>'Zarrah- Coverage'!I147</f>
        <v/>
      </c>
      <c r="K376" s="3">
        <f>'Zarrah- Coverage'!J147</f>
        <v/>
      </c>
      <c r="L376" s="13">
        <f>'Zarrah- Coverage'!K147</f>
        <v/>
      </c>
    </row>
    <row r="377" ht="18" customHeight="1" s="96">
      <c r="A377" s="93" t="inlineStr">
        <is>
          <t>Person B</t>
        </is>
      </c>
      <c r="B377" s="8">
        <f>'Zarrah- Coverage'!A148</f>
        <v/>
      </c>
      <c r="C377" s="93">
        <f>'Zarrah- Coverage'!A148</f>
        <v/>
      </c>
      <c r="D377" s="8">
        <f>'Zarrah- Coverage'!C148</f>
        <v/>
      </c>
      <c r="E377" s="8">
        <f>'Zarrah- Coverage'!D148</f>
        <v/>
      </c>
      <c r="F377" s="8">
        <f>'Zarrah- Coverage'!E148</f>
        <v/>
      </c>
      <c r="G377" s="9">
        <f>'Zarrah- Coverage'!F148</f>
        <v/>
      </c>
      <c r="H377" s="10">
        <f>'Zarrah- Coverage'!G148</f>
        <v/>
      </c>
      <c r="I377" s="10">
        <f>'Zarrah- Coverage'!H148</f>
        <v/>
      </c>
      <c r="J377" s="11">
        <f>'Zarrah- Coverage'!I148</f>
        <v/>
      </c>
      <c r="K377" s="8">
        <f>'Zarrah- Coverage'!J148</f>
        <v/>
      </c>
      <c r="L377" s="12">
        <f>'Zarrah- Coverage'!K148</f>
        <v/>
      </c>
    </row>
    <row r="378" ht="18" customHeight="1" s="96">
      <c r="A378" s="2" t="inlineStr">
        <is>
          <t>Person B</t>
        </is>
      </c>
      <c r="B378" s="3">
        <f>'Zarrah- Coverage'!A149</f>
        <v/>
      </c>
      <c r="C378" s="2">
        <f>'Zarrah- Coverage'!A149</f>
        <v/>
      </c>
      <c r="D378" s="3">
        <f>'Zarrah- Coverage'!C149</f>
        <v/>
      </c>
      <c r="E378" s="3">
        <f>'Zarrah- Coverage'!D149</f>
        <v/>
      </c>
      <c r="F378" s="3">
        <f>'Zarrah- Coverage'!E149</f>
        <v/>
      </c>
      <c r="G378" s="4">
        <f>'Zarrah- Coverage'!F149</f>
        <v/>
      </c>
      <c r="H378" s="5">
        <f>'Zarrah- Coverage'!G149</f>
        <v/>
      </c>
      <c r="I378" s="5">
        <f>'Zarrah- Coverage'!H149</f>
        <v/>
      </c>
      <c r="J378" s="6">
        <f>'Zarrah- Coverage'!I149</f>
        <v/>
      </c>
      <c r="K378" s="3">
        <f>'Zarrah- Coverage'!J149</f>
        <v/>
      </c>
      <c r="L378" s="13">
        <f>'Zarrah- Coverage'!K149</f>
        <v/>
      </c>
    </row>
    <row r="379" ht="18" customHeight="1" s="96">
      <c r="A379" s="93" t="inlineStr">
        <is>
          <t>Person B</t>
        </is>
      </c>
      <c r="B379" s="8">
        <f>'Zarrah- Coverage'!A150</f>
        <v/>
      </c>
      <c r="C379" s="93">
        <f>'Zarrah- Coverage'!A150</f>
        <v/>
      </c>
      <c r="D379" s="8">
        <f>'Zarrah- Coverage'!C150</f>
        <v/>
      </c>
      <c r="E379" s="8">
        <f>'Zarrah- Coverage'!D150</f>
        <v/>
      </c>
      <c r="F379" s="8">
        <f>'Zarrah- Coverage'!E150</f>
        <v/>
      </c>
      <c r="G379" s="9">
        <f>'Zarrah- Coverage'!F150</f>
        <v/>
      </c>
      <c r="H379" s="10">
        <f>'Zarrah- Coverage'!G150</f>
        <v/>
      </c>
      <c r="I379" s="10">
        <f>'Zarrah- Coverage'!H150</f>
        <v/>
      </c>
      <c r="J379" s="11">
        <f>'Zarrah- Coverage'!I150</f>
        <v/>
      </c>
      <c r="K379" s="8">
        <f>'Zarrah- Coverage'!J150</f>
        <v/>
      </c>
      <c r="L379" s="12">
        <f>'Zarrah- Coverage'!K150</f>
        <v/>
      </c>
    </row>
    <row r="380" ht="18" customHeight="1" s="96">
      <c r="A380" s="2" t="inlineStr">
        <is>
          <t>Person B</t>
        </is>
      </c>
      <c r="B380" s="3">
        <f>'Zarrah- Coverage'!A151</f>
        <v/>
      </c>
      <c r="C380" s="2">
        <f>'Zarrah- Coverage'!A151</f>
        <v/>
      </c>
      <c r="D380" s="3">
        <f>'Zarrah- Coverage'!C151</f>
        <v/>
      </c>
      <c r="E380" s="3">
        <f>'Zarrah- Coverage'!D151</f>
        <v/>
      </c>
      <c r="F380" s="3">
        <f>'Zarrah- Coverage'!E151</f>
        <v/>
      </c>
      <c r="G380" s="4">
        <f>'Zarrah- Coverage'!F151</f>
        <v/>
      </c>
      <c r="H380" s="5">
        <f>'Zarrah- Coverage'!G151</f>
        <v/>
      </c>
      <c r="I380" s="5">
        <f>'Zarrah- Coverage'!H151</f>
        <v/>
      </c>
      <c r="J380" s="6">
        <f>'Zarrah- Coverage'!I151</f>
        <v/>
      </c>
      <c r="K380" s="3">
        <f>'Zarrah- Coverage'!J151</f>
        <v/>
      </c>
      <c r="L380" s="13">
        <f>'Zarrah- Coverage'!K151</f>
        <v/>
      </c>
    </row>
    <row r="381" ht="18" customHeight="1" s="96">
      <c r="A381" s="93" t="inlineStr">
        <is>
          <t>Person B</t>
        </is>
      </c>
      <c r="B381" s="8">
        <f>'Zarrah- Coverage'!A152</f>
        <v/>
      </c>
      <c r="C381" s="93">
        <f>'Zarrah- Coverage'!A152</f>
        <v/>
      </c>
      <c r="D381" s="8">
        <f>'Zarrah- Coverage'!C152</f>
        <v/>
      </c>
      <c r="E381" s="8">
        <f>'Zarrah- Coverage'!D152</f>
        <v/>
      </c>
      <c r="F381" s="8">
        <f>'Zarrah- Coverage'!E152</f>
        <v/>
      </c>
      <c r="G381" s="9">
        <f>'Zarrah- Coverage'!F152</f>
        <v/>
      </c>
      <c r="H381" s="10">
        <f>'Zarrah- Coverage'!G152</f>
        <v/>
      </c>
      <c r="I381" s="10">
        <f>'Zarrah- Coverage'!H152</f>
        <v/>
      </c>
      <c r="J381" s="11">
        <f>'Zarrah- Coverage'!I152</f>
        <v/>
      </c>
      <c r="K381" s="8">
        <f>'Zarrah- Coverage'!J152</f>
        <v/>
      </c>
      <c r="L381" s="12">
        <f>'Zarrah- Coverage'!K152</f>
        <v/>
      </c>
    </row>
    <row r="382" ht="18" customHeight="1" s="96">
      <c r="A382" s="2" t="inlineStr">
        <is>
          <t>Person B</t>
        </is>
      </c>
      <c r="B382" s="3">
        <f>'Zarrah- Coverage'!A153</f>
        <v/>
      </c>
      <c r="C382" s="2">
        <f>'Zarrah- Coverage'!A153</f>
        <v/>
      </c>
      <c r="D382" s="3">
        <f>'Zarrah- Coverage'!C153</f>
        <v/>
      </c>
      <c r="E382" s="3">
        <f>'Zarrah- Coverage'!D153</f>
        <v/>
      </c>
      <c r="F382" s="3">
        <f>'Zarrah- Coverage'!E153</f>
        <v/>
      </c>
      <c r="G382" s="4">
        <f>'Zarrah- Coverage'!F153</f>
        <v/>
      </c>
      <c r="H382" s="5">
        <f>'Zarrah- Coverage'!G153</f>
        <v/>
      </c>
      <c r="I382" s="5">
        <f>'Zarrah- Coverage'!H153</f>
        <v/>
      </c>
      <c r="J382" s="6">
        <f>'Zarrah- Coverage'!I153</f>
        <v/>
      </c>
      <c r="K382" s="3">
        <f>'Zarrah- Coverage'!J153</f>
        <v/>
      </c>
      <c r="L382" s="13">
        <f>'Zarrah- Coverage'!K153</f>
        <v/>
      </c>
    </row>
    <row r="383" ht="18" customHeight="1" s="96">
      <c r="A383" s="93" t="inlineStr">
        <is>
          <t>Person B</t>
        </is>
      </c>
      <c r="B383" s="8">
        <f>'Zarrah- Coverage'!A154</f>
        <v/>
      </c>
      <c r="C383" s="93">
        <f>'Zarrah- Coverage'!A154</f>
        <v/>
      </c>
      <c r="D383" s="8">
        <f>'Zarrah- Coverage'!C154</f>
        <v/>
      </c>
      <c r="E383" s="8">
        <f>'Zarrah- Coverage'!D154</f>
        <v/>
      </c>
      <c r="F383" s="8">
        <f>'Zarrah- Coverage'!E154</f>
        <v/>
      </c>
      <c r="G383" s="9">
        <f>'Zarrah- Coverage'!F154</f>
        <v/>
      </c>
      <c r="H383" s="10">
        <f>'Zarrah- Coverage'!G154</f>
        <v/>
      </c>
      <c r="I383" s="10">
        <f>'Zarrah- Coverage'!H154</f>
        <v/>
      </c>
      <c r="J383" s="11">
        <f>'Zarrah- Coverage'!I154</f>
        <v/>
      </c>
      <c r="K383" s="8">
        <f>'Zarrah- Coverage'!J154</f>
        <v/>
      </c>
      <c r="L383" s="12">
        <f>'Zarrah- Coverage'!K154</f>
        <v/>
      </c>
    </row>
    <row r="384" ht="18" customHeight="1" s="96">
      <c r="A384" s="2" t="inlineStr">
        <is>
          <t>Person B</t>
        </is>
      </c>
      <c r="B384" s="3">
        <f>'Zarrah- Coverage'!A155</f>
        <v/>
      </c>
      <c r="C384" s="2">
        <f>'Zarrah- Coverage'!A155</f>
        <v/>
      </c>
      <c r="D384" s="3">
        <f>'Zarrah- Coverage'!C155</f>
        <v/>
      </c>
      <c r="E384" s="3">
        <f>'Zarrah- Coverage'!D155</f>
        <v/>
      </c>
      <c r="F384" s="3">
        <f>'Zarrah- Coverage'!E155</f>
        <v/>
      </c>
      <c r="G384" s="4">
        <f>'Zarrah- Coverage'!F155</f>
        <v/>
      </c>
      <c r="H384" s="5">
        <f>'Zarrah- Coverage'!G155</f>
        <v/>
      </c>
      <c r="I384" s="5">
        <f>'Zarrah- Coverage'!H155</f>
        <v/>
      </c>
      <c r="J384" s="6">
        <f>'Zarrah- Coverage'!I155</f>
        <v/>
      </c>
      <c r="K384" s="3">
        <f>'Zarrah- Coverage'!J155</f>
        <v/>
      </c>
      <c r="L384" s="13">
        <f>'Zarrah- Coverage'!K155</f>
        <v/>
      </c>
    </row>
    <row r="385" ht="18" customHeight="1" s="96">
      <c r="A385" s="93" t="inlineStr">
        <is>
          <t>Person B</t>
        </is>
      </c>
      <c r="B385" s="8">
        <f>'Zarrah- Coverage'!A156</f>
        <v/>
      </c>
      <c r="C385" s="93">
        <f>'Zarrah- Coverage'!A156</f>
        <v/>
      </c>
      <c r="D385" s="8">
        <f>'Zarrah- Coverage'!C156</f>
        <v/>
      </c>
      <c r="E385" s="8">
        <f>'Zarrah- Coverage'!D156</f>
        <v/>
      </c>
      <c r="F385" s="8">
        <f>'Zarrah- Coverage'!E156</f>
        <v/>
      </c>
      <c r="G385" s="9">
        <f>'Zarrah- Coverage'!F156</f>
        <v/>
      </c>
      <c r="H385" s="10">
        <f>'Zarrah- Coverage'!G156</f>
        <v/>
      </c>
      <c r="I385" s="10">
        <f>'Zarrah- Coverage'!H156</f>
        <v/>
      </c>
      <c r="J385" s="11">
        <f>'Zarrah- Coverage'!I156</f>
        <v/>
      </c>
      <c r="K385" s="8">
        <f>'Zarrah- Coverage'!J156</f>
        <v/>
      </c>
      <c r="L385" s="12">
        <f>'Zarrah- Coverage'!K156</f>
        <v/>
      </c>
    </row>
    <row r="386" ht="18" customHeight="1" s="96">
      <c r="A386" s="2" t="inlineStr">
        <is>
          <t>Person B</t>
        </is>
      </c>
      <c r="B386" s="3">
        <f>'Zarrah- Coverage'!A157</f>
        <v/>
      </c>
      <c r="C386" s="2">
        <f>'Zarrah- Coverage'!A157</f>
        <v/>
      </c>
      <c r="D386" s="3">
        <f>'Zarrah- Coverage'!C157</f>
        <v/>
      </c>
      <c r="E386" s="3">
        <f>'Zarrah- Coverage'!D157</f>
        <v/>
      </c>
      <c r="F386" s="3">
        <f>'Zarrah- Coverage'!E157</f>
        <v/>
      </c>
      <c r="G386" s="4">
        <f>'Zarrah- Coverage'!F157</f>
        <v/>
      </c>
      <c r="H386" s="5">
        <f>'Zarrah- Coverage'!G157</f>
        <v/>
      </c>
      <c r="I386" s="5">
        <f>'Zarrah- Coverage'!H157</f>
        <v/>
      </c>
      <c r="J386" s="6">
        <f>'Zarrah- Coverage'!I157</f>
        <v/>
      </c>
      <c r="K386" s="3">
        <f>'Zarrah- Coverage'!J157</f>
        <v/>
      </c>
      <c r="L386" s="13">
        <f>'Zarrah- Coverage'!K157</f>
        <v/>
      </c>
    </row>
    <row r="387" ht="18" customHeight="1" s="96">
      <c r="A387" s="93" t="inlineStr">
        <is>
          <t>Person B</t>
        </is>
      </c>
      <c r="B387" s="8">
        <f>'Zarrah- Coverage'!A158</f>
        <v/>
      </c>
      <c r="C387" s="93">
        <f>'Zarrah- Coverage'!A158</f>
        <v/>
      </c>
      <c r="D387" s="8">
        <f>'Zarrah- Coverage'!C158</f>
        <v/>
      </c>
      <c r="E387" s="8">
        <f>'Zarrah- Coverage'!D158</f>
        <v/>
      </c>
      <c r="F387" s="8">
        <f>'Zarrah- Coverage'!E158</f>
        <v/>
      </c>
      <c r="G387" s="9">
        <f>'Zarrah- Coverage'!F158</f>
        <v/>
      </c>
      <c r="H387" s="10">
        <f>'Zarrah- Coverage'!G158</f>
        <v/>
      </c>
      <c r="I387" s="10">
        <f>'Zarrah- Coverage'!H158</f>
        <v/>
      </c>
      <c r="J387" s="11">
        <f>'Zarrah- Coverage'!I158</f>
        <v/>
      </c>
      <c r="K387" s="8">
        <f>'Zarrah- Coverage'!J158</f>
        <v/>
      </c>
      <c r="L387" s="12">
        <f>'Zarrah- Coverage'!K158</f>
        <v/>
      </c>
    </row>
    <row r="388" ht="18" customHeight="1" s="96">
      <c r="A388" s="2" t="inlineStr">
        <is>
          <t>Person B</t>
        </is>
      </c>
      <c r="B388" s="3">
        <f>'Zarrah- Coverage'!A159</f>
        <v/>
      </c>
      <c r="C388" s="2">
        <f>'Zarrah- Coverage'!A159</f>
        <v/>
      </c>
      <c r="D388" s="3">
        <f>'Zarrah- Coverage'!C159</f>
        <v/>
      </c>
      <c r="E388" s="3">
        <f>'Zarrah- Coverage'!D159</f>
        <v/>
      </c>
      <c r="F388" s="3">
        <f>'Zarrah- Coverage'!E159</f>
        <v/>
      </c>
      <c r="G388" s="4">
        <f>'Zarrah- Coverage'!F159</f>
        <v/>
      </c>
      <c r="H388" s="5">
        <f>'Zarrah- Coverage'!G159</f>
        <v/>
      </c>
      <c r="I388" s="5">
        <f>'Zarrah- Coverage'!H159</f>
        <v/>
      </c>
      <c r="J388" s="6">
        <f>'Zarrah- Coverage'!I159</f>
        <v/>
      </c>
      <c r="K388" s="3">
        <f>'Zarrah- Coverage'!J159</f>
        <v/>
      </c>
      <c r="L388" s="13">
        <f>'Zarrah- Coverage'!K159</f>
        <v/>
      </c>
    </row>
    <row r="389" ht="18" customHeight="1" s="96">
      <c r="A389" s="93" t="inlineStr">
        <is>
          <t>Person B</t>
        </is>
      </c>
      <c r="B389" s="8">
        <f>'Zarrah- Coverage'!A160</f>
        <v/>
      </c>
      <c r="C389" s="93">
        <f>'Zarrah- Coverage'!A160</f>
        <v/>
      </c>
      <c r="D389" s="8">
        <f>'Zarrah- Coverage'!C160</f>
        <v/>
      </c>
      <c r="E389" s="8">
        <f>'Zarrah- Coverage'!D160</f>
        <v/>
      </c>
      <c r="F389" s="8">
        <f>'Zarrah- Coverage'!E160</f>
        <v/>
      </c>
      <c r="G389" s="9">
        <f>'Zarrah- Coverage'!F160</f>
        <v/>
      </c>
      <c r="H389" s="10">
        <f>'Zarrah- Coverage'!G160</f>
        <v/>
      </c>
      <c r="I389" s="10">
        <f>'Zarrah- Coverage'!H160</f>
        <v/>
      </c>
      <c r="J389" s="11">
        <f>'Zarrah- Coverage'!I160</f>
        <v/>
      </c>
      <c r="K389" s="8">
        <f>'Zarrah- Coverage'!J160</f>
        <v/>
      </c>
      <c r="L389" s="12">
        <f>'Zarrah- Coverage'!K160</f>
        <v/>
      </c>
    </row>
    <row r="390" ht="18" customHeight="1" s="96">
      <c r="A390" s="2" t="inlineStr">
        <is>
          <t>Person B</t>
        </is>
      </c>
      <c r="B390" s="3">
        <f>'Zarrah- Coverage'!A161</f>
        <v/>
      </c>
      <c r="C390" s="2">
        <f>'Zarrah- Coverage'!A161</f>
        <v/>
      </c>
      <c r="D390" s="3">
        <f>'Zarrah- Coverage'!C161</f>
        <v/>
      </c>
      <c r="E390" s="3">
        <f>'Zarrah- Coverage'!D161</f>
        <v/>
      </c>
      <c r="F390" s="3">
        <f>'Zarrah- Coverage'!E161</f>
        <v/>
      </c>
      <c r="G390" s="4">
        <f>'Zarrah- Coverage'!F161</f>
        <v/>
      </c>
      <c r="H390" s="5">
        <f>'Zarrah- Coverage'!G161</f>
        <v/>
      </c>
      <c r="I390" s="5">
        <f>'Zarrah- Coverage'!H161</f>
        <v/>
      </c>
      <c r="J390" s="6">
        <f>'Zarrah- Coverage'!I161</f>
        <v/>
      </c>
      <c r="K390" s="3">
        <f>'Zarrah- Coverage'!J161</f>
        <v/>
      </c>
      <c r="L390" s="13">
        <f>'Zarrah- Coverage'!K161</f>
        <v/>
      </c>
    </row>
    <row r="391" ht="18" customHeight="1" s="96">
      <c r="A391" s="93" t="inlineStr">
        <is>
          <t>Person B</t>
        </is>
      </c>
      <c r="B391" s="8">
        <f>'Zarrah- Coverage'!A162</f>
        <v/>
      </c>
      <c r="C391" s="93">
        <f>'Zarrah- Coverage'!A162</f>
        <v/>
      </c>
      <c r="D391" s="8">
        <f>'Zarrah- Coverage'!C162</f>
        <v/>
      </c>
      <c r="E391" s="8">
        <f>'Zarrah- Coverage'!D162</f>
        <v/>
      </c>
      <c r="F391" s="8">
        <f>'Zarrah- Coverage'!E162</f>
        <v/>
      </c>
      <c r="G391" s="9">
        <f>'Zarrah- Coverage'!F162</f>
        <v/>
      </c>
      <c r="H391" s="10">
        <f>'Zarrah- Coverage'!G162</f>
        <v/>
      </c>
      <c r="I391" s="10">
        <f>'Zarrah- Coverage'!H162</f>
        <v/>
      </c>
      <c r="J391" s="11">
        <f>'Zarrah- Coverage'!I162</f>
        <v/>
      </c>
      <c r="K391" s="8">
        <f>'Zarrah- Coverage'!J162</f>
        <v/>
      </c>
      <c r="L391" s="12">
        <f>'Zarrah- Coverage'!K162</f>
        <v/>
      </c>
    </row>
    <row r="392" ht="18" customHeight="1" s="96">
      <c r="A392" s="2" t="inlineStr">
        <is>
          <t>Person B</t>
        </is>
      </c>
      <c r="B392" s="3">
        <f>'Zarrah- Coverage'!A163</f>
        <v/>
      </c>
      <c r="C392" s="2">
        <f>'Zarrah- Coverage'!A163</f>
        <v/>
      </c>
      <c r="D392" s="3">
        <f>'Zarrah- Coverage'!C163</f>
        <v/>
      </c>
      <c r="E392" s="3">
        <f>'Zarrah- Coverage'!D163</f>
        <v/>
      </c>
      <c r="F392" s="3">
        <f>'Zarrah- Coverage'!E163</f>
        <v/>
      </c>
      <c r="G392" s="4">
        <f>'Zarrah- Coverage'!F163</f>
        <v/>
      </c>
      <c r="H392" s="5">
        <f>'Zarrah- Coverage'!G163</f>
        <v/>
      </c>
      <c r="I392" s="5">
        <f>'Zarrah- Coverage'!H163</f>
        <v/>
      </c>
      <c r="J392" s="6">
        <f>'Zarrah- Coverage'!I163</f>
        <v/>
      </c>
      <c r="K392" s="3">
        <f>'Zarrah- Coverage'!J163</f>
        <v/>
      </c>
      <c r="L392" s="13">
        <f>'Zarrah- Coverage'!K163</f>
        <v/>
      </c>
    </row>
    <row r="393" ht="18" customHeight="1" s="96">
      <c r="A393" s="93" t="inlineStr">
        <is>
          <t>Person B</t>
        </is>
      </c>
      <c r="B393" s="8">
        <f>'Zarrah- Coverage'!A164</f>
        <v/>
      </c>
      <c r="C393" s="93">
        <f>'Zarrah- Coverage'!A164</f>
        <v/>
      </c>
      <c r="D393" s="8">
        <f>'Zarrah- Coverage'!C164</f>
        <v/>
      </c>
      <c r="E393" s="8">
        <f>'Zarrah- Coverage'!D164</f>
        <v/>
      </c>
      <c r="F393" s="8">
        <f>'Zarrah- Coverage'!E164</f>
        <v/>
      </c>
      <c r="G393" s="9">
        <f>'Zarrah- Coverage'!F164</f>
        <v/>
      </c>
      <c r="H393" s="10">
        <f>'Zarrah- Coverage'!G164</f>
        <v/>
      </c>
      <c r="I393" s="10">
        <f>'Zarrah- Coverage'!H164</f>
        <v/>
      </c>
      <c r="J393" s="11">
        <f>'Zarrah- Coverage'!I164</f>
        <v/>
      </c>
      <c r="K393" s="8">
        <f>'Zarrah- Coverage'!J164</f>
        <v/>
      </c>
      <c r="L393" s="12">
        <f>'Zarrah- Coverage'!K164</f>
        <v/>
      </c>
    </row>
    <row r="394" ht="18" customHeight="1" s="96">
      <c r="A394" s="2" t="inlineStr">
        <is>
          <t>Person B</t>
        </is>
      </c>
      <c r="B394" s="3">
        <f>'Zarrah- Coverage'!A165</f>
        <v/>
      </c>
      <c r="C394" s="2">
        <f>'Zarrah- Coverage'!A165</f>
        <v/>
      </c>
      <c r="D394" s="3">
        <f>'Zarrah- Coverage'!C165</f>
        <v/>
      </c>
      <c r="E394" s="3">
        <f>'Zarrah- Coverage'!D165</f>
        <v/>
      </c>
      <c r="F394" s="3">
        <f>'Zarrah- Coverage'!E165</f>
        <v/>
      </c>
      <c r="G394" s="4">
        <f>'Zarrah- Coverage'!F165</f>
        <v/>
      </c>
      <c r="H394" s="5">
        <f>'Zarrah- Coverage'!G165</f>
        <v/>
      </c>
      <c r="I394" s="5">
        <f>'Zarrah- Coverage'!H165</f>
        <v/>
      </c>
      <c r="J394" s="6">
        <f>'Zarrah- Coverage'!I165</f>
        <v/>
      </c>
      <c r="K394" s="3">
        <f>'Zarrah- Coverage'!J165</f>
        <v/>
      </c>
      <c r="L394" s="13">
        <f>'Zarrah- Coverage'!K165</f>
        <v/>
      </c>
    </row>
    <row r="395" ht="18" customHeight="1" s="96">
      <c r="A395" s="93" t="inlineStr">
        <is>
          <t>Person B</t>
        </is>
      </c>
      <c r="B395" s="8">
        <f>'Zarrah- Coverage'!A166</f>
        <v/>
      </c>
      <c r="C395" s="93">
        <f>'Zarrah- Coverage'!A166</f>
        <v/>
      </c>
      <c r="D395" s="8">
        <f>'Zarrah- Coverage'!C166</f>
        <v/>
      </c>
      <c r="E395" s="8">
        <f>'Zarrah- Coverage'!D166</f>
        <v/>
      </c>
      <c r="F395" s="8">
        <f>'Zarrah- Coverage'!E166</f>
        <v/>
      </c>
      <c r="G395" s="9">
        <f>'Zarrah- Coverage'!F166</f>
        <v/>
      </c>
      <c r="H395" s="10">
        <f>'Zarrah- Coverage'!G166</f>
        <v/>
      </c>
      <c r="I395" s="10">
        <f>'Zarrah- Coverage'!H166</f>
        <v/>
      </c>
      <c r="J395" s="11">
        <f>'Zarrah- Coverage'!I166</f>
        <v/>
      </c>
      <c r="K395" s="8">
        <f>'Zarrah- Coverage'!J166</f>
        <v/>
      </c>
      <c r="L395" s="12">
        <f>'Zarrah- Coverage'!K166</f>
        <v/>
      </c>
    </row>
    <row r="396" ht="18" customHeight="1" s="96">
      <c r="A396" s="2" t="inlineStr">
        <is>
          <t>Person B</t>
        </is>
      </c>
      <c r="B396" s="3">
        <f>'Zarrah- Coverage'!A167</f>
        <v/>
      </c>
      <c r="C396" s="2">
        <f>'Zarrah- Coverage'!A167</f>
        <v/>
      </c>
      <c r="D396" s="3">
        <f>'Zarrah- Coverage'!C167</f>
        <v/>
      </c>
      <c r="E396" s="3">
        <f>'Zarrah- Coverage'!D167</f>
        <v/>
      </c>
      <c r="F396" s="3">
        <f>'Zarrah- Coverage'!E167</f>
        <v/>
      </c>
      <c r="G396" s="4">
        <f>'Zarrah- Coverage'!F167</f>
        <v/>
      </c>
      <c r="H396" s="5">
        <f>'Zarrah- Coverage'!G167</f>
        <v/>
      </c>
      <c r="I396" s="5">
        <f>'Zarrah- Coverage'!H167</f>
        <v/>
      </c>
      <c r="J396" s="6">
        <f>'Zarrah- Coverage'!I167</f>
        <v/>
      </c>
      <c r="K396" s="3">
        <f>'Zarrah- Coverage'!J167</f>
        <v/>
      </c>
      <c r="L396" s="13">
        <f>'Zarrah- Coverage'!K167</f>
        <v/>
      </c>
    </row>
    <row r="397" ht="18" customHeight="1" s="96">
      <c r="A397" s="93" t="inlineStr">
        <is>
          <t>Person B</t>
        </is>
      </c>
      <c r="B397" s="8">
        <f>'Zarrah- Coverage'!A168</f>
        <v/>
      </c>
      <c r="C397" s="93">
        <f>'Zarrah- Coverage'!A168</f>
        <v/>
      </c>
      <c r="D397" s="8">
        <f>'Zarrah- Coverage'!C168</f>
        <v/>
      </c>
      <c r="E397" s="8">
        <f>'Zarrah- Coverage'!D168</f>
        <v/>
      </c>
      <c r="F397" s="8">
        <f>'Zarrah- Coverage'!E168</f>
        <v/>
      </c>
      <c r="G397" s="9">
        <f>'Zarrah- Coverage'!F168</f>
        <v/>
      </c>
      <c r="H397" s="10">
        <f>'Zarrah- Coverage'!G168</f>
        <v/>
      </c>
      <c r="I397" s="10">
        <f>'Zarrah- Coverage'!H168</f>
        <v/>
      </c>
      <c r="J397" s="11">
        <f>'Zarrah- Coverage'!I168</f>
        <v/>
      </c>
      <c r="K397" s="8">
        <f>'Zarrah- Coverage'!J168</f>
        <v/>
      </c>
      <c r="L397" s="12">
        <f>'Zarrah- Coverage'!K168</f>
        <v/>
      </c>
    </row>
    <row r="398" ht="18" customHeight="1" s="96">
      <c r="A398" s="2" t="inlineStr">
        <is>
          <t>Person B</t>
        </is>
      </c>
      <c r="B398" s="3">
        <f>'Zarrah- Coverage'!A169</f>
        <v/>
      </c>
      <c r="C398" s="2">
        <f>'Zarrah- Coverage'!A169</f>
        <v/>
      </c>
      <c r="D398" s="3">
        <f>'Zarrah- Coverage'!C169</f>
        <v/>
      </c>
      <c r="E398" s="3">
        <f>'Zarrah- Coverage'!D169</f>
        <v/>
      </c>
      <c r="F398" s="3">
        <f>'Zarrah- Coverage'!E169</f>
        <v/>
      </c>
      <c r="G398" s="4">
        <f>'Zarrah- Coverage'!F169</f>
        <v/>
      </c>
      <c r="H398" s="5">
        <f>'Zarrah- Coverage'!G169</f>
        <v/>
      </c>
      <c r="I398" s="5">
        <f>'Zarrah- Coverage'!H169</f>
        <v/>
      </c>
      <c r="J398" s="6">
        <f>'Zarrah- Coverage'!I169</f>
        <v/>
      </c>
      <c r="K398" s="3">
        <f>'Zarrah- Coverage'!J169</f>
        <v/>
      </c>
      <c r="L398" s="13">
        <f>'Zarrah- Coverage'!K169</f>
        <v/>
      </c>
    </row>
    <row r="399" ht="18" customHeight="1" s="96">
      <c r="A399" s="93" t="inlineStr">
        <is>
          <t>Person B</t>
        </is>
      </c>
      <c r="B399" s="8">
        <f>'Zarrah- Coverage'!A170</f>
        <v/>
      </c>
      <c r="C399" s="93">
        <f>'Zarrah- Coverage'!A170</f>
        <v/>
      </c>
      <c r="D399" s="8">
        <f>'Zarrah- Coverage'!C170</f>
        <v/>
      </c>
      <c r="E399" s="8">
        <f>'Zarrah- Coverage'!D170</f>
        <v/>
      </c>
      <c r="F399" s="8">
        <f>'Zarrah- Coverage'!E170</f>
        <v/>
      </c>
      <c r="G399" s="9">
        <f>'Zarrah- Coverage'!F170</f>
        <v/>
      </c>
      <c r="H399" s="10">
        <f>'Zarrah- Coverage'!G170</f>
        <v/>
      </c>
      <c r="I399" s="10">
        <f>'Zarrah- Coverage'!H170</f>
        <v/>
      </c>
      <c r="J399" s="11">
        <f>'Zarrah- Coverage'!I170</f>
        <v/>
      </c>
      <c r="K399" s="8">
        <f>'Zarrah- Coverage'!J170</f>
        <v/>
      </c>
      <c r="L399" s="12">
        <f>'Zarrah- Coverage'!K170</f>
        <v/>
      </c>
    </row>
    <row r="400" ht="18" customHeight="1" s="96">
      <c r="A400" s="2" t="inlineStr">
        <is>
          <t>Person B</t>
        </is>
      </c>
      <c r="B400" s="3">
        <f>'Zarrah- Coverage'!A171</f>
        <v/>
      </c>
      <c r="C400" s="2">
        <f>'Zarrah- Coverage'!A171</f>
        <v/>
      </c>
      <c r="D400" s="3">
        <f>'Zarrah- Coverage'!C171</f>
        <v/>
      </c>
      <c r="E400" s="3">
        <f>'Zarrah- Coverage'!D171</f>
        <v/>
      </c>
      <c r="F400" s="3">
        <f>'Zarrah- Coverage'!E171</f>
        <v/>
      </c>
      <c r="G400" s="4">
        <f>'Zarrah- Coverage'!F171</f>
        <v/>
      </c>
      <c r="H400" s="5">
        <f>'Zarrah- Coverage'!G171</f>
        <v/>
      </c>
      <c r="I400" s="5">
        <f>'Zarrah- Coverage'!H171</f>
        <v/>
      </c>
      <c r="J400" s="6">
        <f>'Zarrah- Coverage'!I171</f>
        <v/>
      </c>
      <c r="K400" s="3">
        <f>'Zarrah- Coverage'!J171</f>
        <v/>
      </c>
      <c r="L400" s="13">
        <f>'Zarrah- Coverage'!K171</f>
        <v/>
      </c>
    </row>
    <row r="401" ht="18" customHeight="1" s="96">
      <c r="A401" s="93" t="inlineStr">
        <is>
          <t>Person B</t>
        </is>
      </c>
      <c r="B401" s="8">
        <f>'Zarrah- Coverage'!A172</f>
        <v/>
      </c>
      <c r="C401" s="93">
        <f>'Zarrah- Coverage'!A172</f>
        <v/>
      </c>
      <c r="D401" s="8">
        <f>'Zarrah- Coverage'!C172</f>
        <v/>
      </c>
      <c r="E401" s="8">
        <f>'Zarrah- Coverage'!D172</f>
        <v/>
      </c>
      <c r="F401" s="8">
        <f>'Zarrah- Coverage'!E172</f>
        <v/>
      </c>
      <c r="G401" s="9">
        <f>'Zarrah- Coverage'!F172</f>
        <v/>
      </c>
      <c r="H401" s="10">
        <f>'Zarrah- Coverage'!G172</f>
        <v/>
      </c>
      <c r="I401" s="10">
        <f>'Zarrah- Coverage'!H172</f>
        <v/>
      </c>
      <c r="J401" s="11">
        <f>'Zarrah- Coverage'!I172</f>
        <v/>
      </c>
      <c r="K401" s="8">
        <f>'Zarrah- Coverage'!J172</f>
        <v/>
      </c>
      <c r="L401" s="12">
        <f>'Zarrah- Coverage'!K172</f>
        <v/>
      </c>
    </row>
    <row r="402" ht="18" customHeight="1" s="96">
      <c r="A402" s="2" t="inlineStr">
        <is>
          <t>Person B</t>
        </is>
      </c>
      <c r="B402" s="3">
        <f>'Zarrah- Coverage'!A173</f>
        <v/>
      </c>
      <c r="C402" s="2">
        <f>'Zarrah- Coverage'!A173</f>
        <v/>
      </c>
      <c r="D402" s="3">
        <f>'Zarrah- Coverage'!C173</f>
        <v/>
      </c>
      <c r="E402" s="3">
        <f>'Zarrah- Coverage'!D173</f>
        <v/>
      </c>
      <c r="F402" s="3">
        <f>'Zarrah- Coverage'!E173</f>
        <v/>
      </c>
      <c r="G402" s="4">
        <f>'Zarrah- Coverage'!F173</f>
        <v/>
      </c>
      <c r="H402" s="5">
        <f>'Zarrah- Coverage'!G173</f>
        <v/>
      </c>
      <c r="I402" s="5">
        <f>'Zarrah- Coverage'!H173</f>
        <v/>
      </c>
      <c r="J402" s="6">
        <f>'Zarrah- Coverage'!I173</f>
        <v/>
      </c>
      <c r="K402" s="3">
        <f>'Zarrah- Coverage'!J173</f>
        <v/>
      </c>
      <c r="L402" s="13">
        <f>'Zarrah- Coverage'!K173</f>
        <v/>
      </c>
    </row>
    <row r="403" ht="18" customHeight="1" s="96">
      <c r="A403" s="93" t="inlineStr">
        <is>
          <t>Person B</t>
        </is>
      </c>
      <c r="B403" s="8">
        <f>'Zarrah- Coverage'!A174</f>
        <v/>
      </c>
      <c r="C403" s="93">
        <f>'Zarrah- Coverage'!A174</f>
        <v/>
      </c>
      <c r="D403" s="8">
        <f>'Zarrah- Coverage'!C174</f>
        <v/>
      </c>
      <c r="E403" s="8">
        <f>'Zarrah- Coverage'!D174</f>
        <v/>
      </c>
      <c r="F403" s="8">
        <f>'Zarrah- Coverage'!E174</f>
        <v/>
      </c>
      <c r="G403" s="9">
        <f>'Zarrah- Coverage'!F174</f>
        <v/>
      </c>
      <c r="H403" s="10">
        <f>'Zarrah- Coverage'!G174</f>
        <v/>
      </c>
      <c r="I403" s="10">
        <f>'Zarrah- Coverage'!H174</f>
        <v/>
      </c>
      <c r="J403" s="11">
        <f>'Zarrah- Coverage'!I174</f>
        <v/>
      </c>
      <c r="K403" s="8">
        <f>'Zarrah- Coverage'!J174</f>
        <v/>
      </c>
      <c r="L403" s="12">
        <f>'Zarrah- Coverage'!K174</f>
        <v/>
      </c>
    </row>
    <row r="404" ht="18" customHeight="1" s="96">
      <c r="A404" s="2" t="inlineStr">
        <is>
          <t>Person B</t>
        </is>
      </c>
      <c r="B404" s="3">
        <f>'Zarrah- Coverage'!A175</f>
        <v/>
      </c>
      <c r="C404" s="2">
        <f>'Zarrah- Coverage'!A175</f>
        <v/>
      </c>
      <c r="D404" s="3">
        <f>'Zarrah- Coverage'!C175</f>
        <v/>
      </c>
      <c r="E404" s="3">
        <f>'Zarrah- Coverage'!D175</f>
        <v/>
      </c>
      <c r="F404" s="3">
        <f>'Zarrah- Coverage'!E175</f>
        <v/>
      </c>
      <c r="G404" s="4">
        <f>'Zarrah- Coverage'!F175</f>
        <v/>
      </c>
      <c r="H404" s="5">
        <f>'Zarrah- Coverage'!G175</f>
        <v/>
      </c>
      <c r="I404" s="5">
        <f>'Zarrah- Coverage'!H175</f>
        <v/>
      </c>
      <c r="J404" s="6">
        <f>'Zarrah- Coverage'!I175</f>
        <v/>
      </c>
      <c r="K404" s="3">
        <f>'Zarrah- Coverage'!J175</f>
        <v/>
      </c>
      <c r="L404" s="13">
        <f>'Zarrah- Coverage'!K175</f>
        <v/>
      </c>
    </row>
    <row r="405" ht="18" customHeight="1" s="96">
      <c r="A405" s="93" t="inlineStr">
        <is>
          <t>Person B</t>
        </is>
      </c>
      <c r="B405" s="8">
        <f>'Zarrah- Coverage'!A176</f>
        <v/>
      </c>
      <c r="C405" s="93">
        <f>'Zarrah- Coverage'!A176</f>
        <v/>
      </c>
      <c r="D405" s="8">
        <f>'Zarrah- Coverage'!C176</f>
        <v/>
      </c>
      <c r="E405" s="8">
        <f>'Zarrah- Coverage'!D176</f>
        <v/>
      </c>
      <c r="F405" s="8">
        <f>'Zarrah- Coverage'!E176</f>
        <v/>
      </c>
      <c r="G405" s="9">
        <f>'Zarrah- Coverage'!F176</f>
        <v/>
      </c>
      <c r="H405" s="10">
        <f>'Zarrah- Coverage'!G176</f>
        <v/>
      </c>
      <c r="I405" s="10">
        <f>'Zarrah- Coverage'!H176</f>
        <v/>
      </c>
      <c r="J405" s="11">
        <f>'Zarrah- Coverage'!I176</f>
        <v/>
      </c>
      <c r="K405" s="8">
        <f>'Zarrah- Coverage'!J176</f>
        <v/>
      </c>
      <c r="L405" s="12">
        <f>'Zarrah- Coverage'!K176</f>
        <v/>
      </c>
    </row>
    <row r="406" ht="18" customHeight="1" s="96">
      <c r="A406" s="2" t="inlineStr">
        <is>
          <t>Person B</t>
        </is>
      </c>
      <c r="B406" s="3">
        <f>'Zarrah- Coverage'!A177</f>
        <v/>
      </c>
      <c r="C406" s="2">
        <f>'Zarrah- Coverage'!A177</f>
        <v/>
      </c>
      <c r="D406" s="3">
        <f>'Zarrah- Coverage'!C177</f>
        <v/>
      </c>
      <c r="E406" s="3">
        <f>'Zarrah- Coverage'!D177</f>
        <v/>
      </c>
      <c r="F406" s="3">
        <f>'Zarrah- Coverage'!E177</f>
        <v/>
      </c>
      <c r="G406" s="4">
        <f>'Zarrah- Coverage'!F177</f>
        <v/>
      </c>
      <c r="H406" s="5">
        <f>'Zarrah- Coverage'!G177</f>
        <v/>
      </c>
      <c r="I406" s="5">
        <f>'Zarrah- Coverage'!H177</f>
        <v/>
      </c>
      <c r="J406" s="6">
        <f>'Zarrah- Coverage'!I177</f>
        <v/>
      </c>
      <c r="K406" s="3">
        <f>'Zarrah- Coverage'!J177</f>
        <v/>
      </c>
      <c r="L406" s="13">
        <f>'Zarrah- Coverage'!K177</f>
        <v/>
      </c>
    </row>
    <row r="407" ht="18" customHeight="1" s="96">
      <c r="A407" s="93" t="inlineStr">
        <is>
          <t>Person B</t>
        </is>
      </c>
      <c r="B407" s="8">
        <f>'Zarrah- Coverage'!A178</f>
        <v/>
      </c>
      <c r="C407" s="93">
        <f>'Zarrah- Coverage'!A178</f>
        <v/>
      </c>
      <c r="D407" s="8">
        <f>'Zarrah- Coverage'!C178</f>
        <v/>
      </c>
      <c r="E407" s="8">
        <f>'Zarrah- Coverage'!D178</f>
        <v/>
      </c>
      <c r="F407" s="8">
        <f>'Zarrah- Coverage'!E178</f>
        <v/>
      </c>
      <c r="G407" s="9">
        <f>'Zarrah- Coverage'!F178</f>
        <v/>
      </c>
      <c r="H407" s="10">
        <f>'Zarrah- Coverage'!G178</f>
        <v/>
      </c>
      <c r="I407" s="10">
        <f>'Zarrah- Coverage'!H178</f>
        <v/>
      </c>
      <c r="J407" s="11">
        <f>'Zarrah- Coverage'!I178</f>
        <v/>
      </c>
      <c r="K407" s="8">
        <f>'Zarrah- Coverage'!J178</f>
        <v/>
      </c>
      <c r="L407" s="12">
        <f>'Zarrah- Coverage'!K178</f>
        <v/>
      </c>
    </row>
    <row r="408" ht="18" customHeight="1" s="96">
      <c r="A408" s="2" t="inlineStr">
        <is>
          <t>Person B</t>
        </is>
      </c>
      <c r="B408" s="3">
        <f>'Zarrah- Coverage'!A179</f>
        <v/>
      </c>
      <c r="C408" s="2">
        <f>'Zarrah- Coverage'!A179</f>
        <v/>
      </c>
      <c r="D408" s="3">
        <f>'Zarrah- Coverage'!C179</f>
        <v/>
      </c>
      <c r="E408" s="3">
        <f>'Zarrah- Coverage'!D179</f>
        <v/>
      </c>
      <c r="F408" s="3">
        <f>'Zarrah- Coverage'!E179</f>
        <v/>
      </c>
      <c r="G408" s="4">
        <f>'Zarrah- Coverage'!F179</f>
        <v/>
      </c>
      <c r="H408" s="5">
        <f>'Zarrah- Coverage'!G179</f>
        <v/>
      </c>
      <c r="I408" s="5">
        <f>'Zarrah- Coverage'!H179</f>
        <v/>
      </c>
      <c r="J408" s="6">
        <f>'Zarrah- Coverage'!I179</f>
        <v/>
      </c>
      <c r="K408" s="3">
        <f>'Zarrah- Coverage'!J179</f>
        <v/>
      </c>
      <c r="L408" s="13">
        <f>'Zarrah- Coverage'!K179</f>
        <v/>
      </c>
    </row>
    <row r="409" ht="18" customHeight="1" s="96">
      <c r="A409" s="93" t="inlineStr">
        <is>
          <t>Person B</t>
        </is>
      </c>
      <c r="B409" s="8">
        <f>'Zarrah- Coverage'!A180</f>
        <v/>
      </c>
      <c r="C409" s="93">
        <f>'Zarrah- Coverage'!A180</f>
        <v/>
      </c>
      <c r="D409" s="8">
        <f>'Zarrah- Coverage'!C180</f>
        <v/>
      </c>
      <c r="E409" s="8">
        <f>'Zarrah- Coverage'!D180</f>
        <v/>
      </c>
      <c r="F409" s="8">
        <f>'Zarrah- Coverage'!E180</f>
        <v/>
      </c>
      <c r="G409" s="9">
        <f>'Zarrah- Coverage'!F180</f>
        <v/>
      </c>
      <c r="H409" s="10">
        <f>'Zarrah- Coverage'!G180</f>
        <v/>
      </c>
      <c r="I409" s="10">
        <f>'Zarrah- Coverage'!H180</f>
        <v/>
      </c>
      <c r="J409" s="11">
        <f>'Zarrah- Coverage'!I180</f>
        <v/>
      </c>
      <c r="K409" s="8">
        <f>'Zarrah- Coverage'!J180</f>
        <v/>
      </c>
      <c r="L409" s="12">
        <f>'Zarrah- Coverage'!K180</f>
        <v/>
      </c>
    </row>
    <row r="410" ht="18" customHeight="1" s="96">
      <c r="A410" s="2" t="inlineStr">
        <is>
          <t>Person B</t>
        </is>
      </c>
      <c r="B410" s="3">
        <f>'Zarrah- Coverage'!A181</f>
        <v/>
      </c>
      <c r="C410" s="2">
        <f>'Zarrah- Coverage'!A181</f>
        <v/>
      </c>
      <c r="D410" s="3">
        <f>'Zarrah- Coverage'!C181</f>
        <v/>
      </c>
      <c r="E410" s="3">
        <f>'Zarrah- Coverage'!D181</f>
        <v/>
      </c>
      <c r="F410" s="3">
        <f>'Zarrah- Coverage'!E181</f>
        <v/>
      </c>
      <c r="G410" s="4">
        <f>'Zarrah- Coverage'!F181</f>
        <v/>
      </c>
      <c r="H410" s="5">
        <f>'Zarrah- Coverage'!G181</f>
        <v/>
      </c>
      <c r="I410" s="5">
        <f>'Zarrah- Coverage'!H181</f>
        <v/>
      </c>
      <c r="J410" s="6">
        <f>'Zarrah- Coverage'!I181</f>
        <v/>
      </c>
      <c r="K410" s="3">
        <f>'Zarrah- Coverage'!J181</f>
        <v/>
      </c>
      <c r="L410" s="13">
        <f>'Zarrah- Coverage'!K181</f>
        <v/>
      </c>
    </row>
    <row r="411" ht="18" customHeight="1" s="96">
      <c r="A411" s="93" t="inlineStr">
        <is>
          <t>Person B</t>
        </is>
      </c>
      <c r="B411" s="8">
        <f>'Zarrah- Coverage'!A182</f>
        <v/>
      </c>
      <c r="C411" s="93">
        <f>'Zarrah- Coverage'!A182</f>
        <v/>
      </c>
      <c r="D411" s="8">
        <f>'Zarrah- Coverage'!C182</f>
        <v/>
      </c>
      <c r="E411" s="8">
        <f>'Zarrah- Coverage'!D182</f>
        <v/>
      </c>
      <c r="F411" s="8">
        <f>'Zarrah- Coverage'!E182</f>
        <v/>
      </c>
      <c r="G411" s="9">
        <f>'Zarrah- Coverage'!F182</f>
        <v/>
      </c>
      <c r="H411" s="10">
        <f>'Zarrah- Coverage'!G182</f>
        <v/>
      </c>
      <c r="I411" s="10">
        <f>'Zarrah- Coverage'!H182</f>
        <v/>
      </c>
      <c r="J411" s="11">
        <f>'Zarrah- Coverage'!I182</f>
        <v/>
      </c>
      <c r="K411" s="8">
        <f>'Zarrah- Coverage'!J182</f>
        <v/>
      </c>
      <c r="L411" s="12">
        <f>'Zarrah- Coverage'!K182</f>
        <v/>
      </c>
    </row>
    <row r="412" ht="18" customHeight="1" s="96">
      <c r="A412" s="2" t="inlineStr">
        <is>
          <t>Person B</t>
        </is>
      </c>
      <c r="B412" s="3">
        <f>'Zarrah- Coverage'!A183</f>
        <v/>
      </c>
      <c r="C412" s="2">
        <f>'Zarrah- Coverage'!A183</f>
        <v/>
      </c>
      <c r="D412" s="3">
        <f>'Zarrah- Coverage'!C183</f>
        <v/>
      </c>
      <c r="E412" s="3">
        <f>'Zarrah- Coverage'!D183</f>
        <v/>
      </c>
      <c r="F412" s="3">
        <f>'Zarrah- Coverage'!E183</f>
        <v/>
      </c>
      <c r="G412" s="4">
        <f>'Zarrah- Coverage'!F183</f>
        <v/>
      </c>
      <c r="H412" s="5">
        <f>'Zarrah- Coverage'!G183</f>
        <v/>
      </c>
      <c r="I412" s="5">
        <f>'Zarrah- Coverage'!H183</f>
        <v/>
      </c>
      <c r="J412" s="6">
        <f>'Zarrah- Coverage'!I183</f>
        <v/>
      </c>
      <c r="K412" s="3">
        <f>'Zarrah- Coverage'!J183</f>
        <v/>
      </c>
      <c r="L412" s="13">
        <f>'Zarrah- Coverage'!K183</f>
        <v/>
      </c>
    </row>
    <row r="413" ht="18" customHeight="1" s="96">
      <c r="A413" s="93" t="inlineStr">
        <is>
          <t>Person B</t>
        </is>
      </c>
      <c r="B413" s="8">
        <f>'Zarrah- Coverage'!A184</f>
        <v/>
      </c>
      <c r="C413" s="93">
        <f>'Zarrah- Coverage'!A184</f>
        <v/>
      </c>
      <c r="D413" s="8">
        <f>'Zarrah- Coverage'!C184</f>
        <v/>
      </c>
      <c r="E413" s="8">
        <f>'Zarrah- Coverage'!D184</f>
        <v/>
      </c>
      <c r="F413" s="8">
        <f>'Zarrah- Coverage'!E184</f>
        <v/>
      </c>
      <c r="G413" s="9">
        <f>'Zarrah- Coverage'!F184</f>
        <v/>
      </c>
      <c r="H413" s="10">
        <f>'Zarrah- Coverage'!G184</f>
        <v/>
      </c>
      <c r="I413" s="10">
        <f>'Zarrah- Coverage'!H184</f>
        <v/>
      </c>
      <c r="J413" s="11">
        <f>'Zarrah- Coverage'!I184</f>
        <v/>
      </c>
      <c r="K413" s="8">
        <f>'Zarrah- Coverage'!J184</f>
        <v/>
      </c>
      <c r="L413" s="12">
        <f>'Zarrah- Coverage'!K184</f>
        <v/>
      </c>
    </row>
    <row r="414" ht="18" customHeight="1" s="96">
      <c r="A414" s="2" t="inlineStr">
        <is>
          <t>Person B</t>
        </is>
      </c>
      <c r="B414" s="3">
        <f>'Zarrah- Coverage'!A185</f>
        <v/>
      </c>
      <c r="C414" s="2">
        <f>'Zarrah- Coverage'!A185</f>
        <v/>
      </c>
      <c r="D414" s="3">
        <f>'Zarrah- Coverage'!C185</f>
        <v/>
      </c>
      <c r="E414" s="3">
        <f>'Zarrah- Coverage'!D185</f>
        <v/>
      </c>
      <c r="F414" s="3">
        <f>'Zarrah- Coverage'!E185</f>
        <v/>
      </c>
      <c r="G414" s="4">
        <f>'Zarrah- Coverage'!F185</f>
        <v/>
      </c>
      <c r="H414" s="5">
        <f>'Zarrah- Coverage'!G185</f>
        <v/>
      </c>
      <c r="I414" s="5">
        <f>'Zarrah- Coverage'!H185</f>
        <v/>
      </c>
      <c r="J414" s="6">
        <f>'Zarrah- Coverage'!I185</f>
        <v/>
      </c>
      <c r="K414" s="3">
        <f>'Zarrah- Coverage'!J185</f>
        <v/>
      </c>
      <c r="L414" s="13">
        <f>'Zarrah- Coverage'!K185</f>
        <v/>
      </c>
    </row>
    <row r="415" ht="18" customHeight="1" s="96">
      <c r="A415" s="93" t="inlineStr">
        <is>
          <t>Person B</t>
        </is>
      </c>
      <c r="B415" s="8">
        <f>'Zarrah- Coverage'!A186</f>
        <v/>
      </c>
      <c r="C415" s="93">
        <f>'Zarrah- Coverage'!A186</f>
        <v/>
      </c>
      <c r="D415" s="8">
        <f>'Zarrah- Coverage'!C186</f>
        <v/>
      </c>
      <c r="E415" s="8">
        <f>'Zarrah- Coverage'!D186</f>
        <v/>
      </c>
      <c r="F415" s="8">
        <f>'Zarrah- Coverage'!E186</f>
        <v/>
      </c>
      <c r="G415" s="9">
        <f>'Zarrah- Coverage'!F186</f>
        <v/>
      </c>
      <c r="H415" s="10">
        <f>'Zarrah- Coverage'!G186</f>
        <v/>
      </c>
      <c r="I415" s="10">
        <f>'Zarrah- Coverage'!H186</f>
        <v/>
      </c>
      <c r="J415" s="11">
        <f>'Zarrah- Coverage'!I186</f>
        <v/>
      </c>
      <c r="K415" s="8">
        <f>'Zarrah- Coverage'!J186</f>
        <v/>
      </c>
      <c r="L415" s="12">
        <f>'Zarrah- Coverage'!K186</f>
        <v/>
      </c>
    </row>
    <row r="416" ht="18" customHeight="1" s="96">
      <c r="A416" s="2" t="inlineStr">
        <is>
          <t>Person B</t>
        </is>
      </c>
      <c r="B416" s="3">
        <f>'Zarrah- Coverage'!A187</f>
        <v/>
      </c>
      <c r="C416" s="2">
        <f>'Zarrah- Coverage'!A187</f>
        <v/>
      </c>
      <c r="D416" s="3">
        <f>'Zarrah- Coverage'!C187</f>
        <v/>
      </c>
      <c r="E416" s="3">
        <f>'Zarrah- Coverage'!D187</f>
        <v/>
      </c>
      <c r="F416" s="3">
        <f>'Zarrah- Coverage'!E187</f>
        <v/>
      </c>
      <c r="G416" s="4">
        <f>'Zarrah- Coverage'!F187</f>
        <v/>
      </c>
      <c r="H416" s="5">
        <f>'Zarrah- Coverage'!G187</f>
        <v/>
      </c>
      <c r="I416" s="5">
        <f>'Zarrah- Coverage'!H187</f>
        <v/>
      </c>
      <c r="J416" s="6">
        <f>'Zarrah- Coverage'!I187</f>
        <v/>
      </c>
      <c r="K416" s="3">
        <f>'Zarrah- Coverage'!J187</f>
        <v/>
      </c>
      <c r="L416" s="13">
        <f>'Zarrah- Coverage'!K187</f>
        <v/>
      </c>
    </row>
    <row r="417" ht="18" customHeight="1" s="96">
      <c r="A417" s="93" t="inlineStr">
        <is>
          <t>Person B</t>
        </is>
      </c>
      <c r="B417" s="8">
        <f>'Zarrah- Coverage'!A188</f>
        <v/>
      </c>
      <c r="C417" s="93">
        <f>'Zarrah- Coverage'!A188</f>
        <v/>
      </c>
      <c r="D417" s="8">
        <f>'Zarrah- Coverage'!C188</f>
        <v/>
      </c>
      <c r="E417" s="8">
        <f>'Zarrah- Coverage'!D188</f>
        <v/>
      </c>
      <c r="F417" s="8">
        <f>'Zarrah- Coverage'!E188</f>
        <v/>
      </c>
      <c r="G417" s="9">
        <f>'Zarrah- Coverage'!F188</f>
        <v/>
      </c>
      <c r="H417" s="10">
        <f>'Zarrah- Coverage'!G188</f>
        <v/>
      </c>
      <c r="I417" s="10">
        <f>'Zarrah- Coverage'!H188</f>
        <v/>
      </c>
      <c r="J417" s="11">
        <f>'Zarrah- Coverage'!I188</f>
        <v/>
      </c>
      <c r="K417" s="8">
        <f>'Zarrah- Coverage'!J188</f>
        <v/>
      </c>
      <c r="L417" s="12">
        <f>'Zarrah- Coverage'!K188</f>
        <v/>
      </c>
    </row>
    <row r="418" ht="18" customHeight="1" s="96">
      <c r="A418" s="2" t="inlineStr">
        <is>
          <t>Person B</t>
        </is>
      </c>
      <c r="B418" s="3">
        <f>'Zarrah- Coverage'!A189</f>
        <v/>
      </c>
      <c r="C418" s="2">
        <f>'Zarrah- Coverage'!A189</f>
        <v/>
      </c>
      <c r="D418" s="3">
        <f>'Zarrah- Coverage'!C189</f>
        <v/>
      </c>
      <c r="E418" s="3">
        <f>'Zarrah- Coverage'!D189</f>
        <v/>
      </c>
      <c r="F418" s="3">
        <f>'Zarrah- Coverage'!E189</f>
        <v/>
      </c>
      <c r="G418" s="4">
        <f>'Zarrah- Coverage'!F189</f>
        <v/>
      </c>
      <c r="H418" s="5">
        <f>'Zarrah- Coverage'!G189</f>
        <v/>
      </c>
      <c r="I418" s="5">
        <f>'Zarrah- Coverage'!H189</f>
        <v/>
      </c>
      <c r="J418" s="6">
        <f>'Zarrah- Coverage'!I189</f>
        <v/>
      </c>
      <c r="K418" s="3">
        <f>'Zarrah- Coverage'!J189</f>
        <v/>
      </c>
      <c r="L418" s="13">
        <f>'Zarrah- Coverage'!K189</f>
        <v/>
      </c>
    </row>
    <row r="419" ht="18" customHeight="1" s="96">
      <c r="A419" s="93" t="inlineStr">
        <is>
          <t>Person B</t>
        </is>
      </c>
      <c r="B419" s="8">
        <f>'Zarrah- Coverage'!A190</f>
        <v/>
      </c>
      <c r="C419" s="93">
        <f>'Zarrah- Coverage'!A190</f>
        <v/>
      </c>
      <c r="D419" s="8">
        <f>'Zarrah- Coverage'!C190</f>
        <v/>
      </c>
      <c r="E419" s="8">
        <f>'Zarrah- Coverage'!D190</f>
        <v/>
      </c>
      <c r="F419" s="8">
        <f>'Zarrah- Coverage'!E190</f>
        <v/>
      </c>
      <c r="G419" s="9">
        <f>'Zarrah- Coverage'!F190</f>
        <v/>
      </c>
      <c r="H419" s="10">
        <f>'Zarrah- Coverage'!G190</f>
        <v/>
      </c>
      <c r="I419" s="10">
        <f>'Zarrah- Coverage'!H190</f>
        <v/>
      </c>
      <c r="J419" s="11">
        <f>'Zarrah- Coverage'!I190</f>
        <v/>
      </c>
      <c r="K419" s="8">
        <f>'Zarrah- Coverage'!J190</f>
        <v/>
      </c>
      <c r="L419" s="12">
        <f>'Zarrah- Coverage'!K190</f>
        <v/>
      </c>
    </row>
    <row r="420" ht="18" customHeight="1" s="96">
      <c r="A420" s="2" t="inlineStr">
        <is>
          <t>Person B</t>
        </is>
      </c>
      <c r="B420" s="3">
        <f>'Zarrah- Coverage'!A191</f>
        <v/>
      </c>
      <c r="C420" s="2">
        <f>'Zarrah- Coverage'!A191</f>
        <v/>
      </c>
      <c r="D420" s="3">
        <f>'Zarrah- Coverage'!C191</f>
        <v/>
      </c>
      <c r="E420" s="3">
        <f>'Zarrah- Coverage'!D191</f>
        <v/>
      </c>
      <c r="F420" s="3">
        <f>'Zarrah- Coverage'!E191</f>
        <v/>
      </c>
      <c r="G420" s="4">
        <f>'Zarrah- Coverage'!F191</f>
        <v/>
      </c>
      <c r="H420" s="5">
        <f>'Zarrah- Coverage'!G191</f>
        <v/>
      </c>
      <c r="I420" s="5">
        <f>'Zarrah- Coverage'!H191</f>
        <v/>
      </c>
      <c r="J420" s="6">
        <f>'Zarrah- Coverage'!I191</f>
        <v/>
      </c>
      <c r="K420" s="3">
        <f>'Zarrah- Coverage'!J191</f>
        <v/>
      </c>
      <c r="L420" s="13">
        <f>'Zarrah- Coverage'!K191</f>
        <v/>
      </c>
    </row>
    <row r="421" ht="18" customHeight="1" s="96">
      <c r="A421" s="93" t="inlineStr">
        <is>
          <t>Person B</t>
        </is>
      </c>
      <c r="B421" s="8">
        <f>'Zarrah- Coverage'!A192</f>
        <v/>
      </c>
      <c r="C421" s="93">
        <f>'Zarrah- Coverage'!A192</f>
        <v/>
      </c>
      <c r="D421" s="8">
        <f>'Zarrah- Coverage'!C192</f>
        <v/>
      </c>
      <c r="E421" s="8">
        <f>'Zarrah- Coverage'!D192</f>
        <v/>
      </c>
      <c r="F421" s="8">
        <f>'Zarrah- Coverage'!E192</f>
        <v/>
      </c>
      <c r="G421" s="9">
        <f>'Zarrah- Coverage'!F192</f>
        <v/>
      </c>
      <c r="H421" s="10">
        <f>'Zarrah- Coverage'!G192</f>
        <v/>
      </c>
      <c r="I421" s="10">
        <f>'Zarrah- Coverage'!H192</f>
        <v/>
      </c>
      <c r="J421" s="11">
        <f>'Zarrah- Coverage'!I192</f>
        <v/>
      </c>
      <c r="K421" s="8">
        <f>'Zarrah- Coverage'!J192</f>
        <v/>
      </c>
      <c r="L421" s="12">
        <f>'Zarrah- Coverage'!K192</f>
        <v/>
      </c>
    </row>
    <row r="422" ht="18" customHeight="1" s="96">
      <c r="A422" s="2" t="inlineStr">
        <is>
          <t>Person B</t>
        </is>
      </c>
      <c r="B422" s="3">
        <f>'Zarrah- Coverage'!A193</f>
        <v/>
      </c>
      <c r="C422" s="2">
        <f>'Zarrah- Coverage'!A193</f>
        <v/>
      </c>
      <c r="D422" s="3">
        <f>'Zarrah- Coverage'!C193</f>
        <v/>
      </c>
      <c r="E422" s="3">
        <f>'Zarrah- Coverage'!D193</f>
        <v/>
      </c>
      <c r="F422" s="3">
        <f>'Zarrah- Coverage'!E193</f>
        <v/>
      </c>
      <c r="G422" s="4">
        <f>'Zarrah- Coverage'!F193</f>
        <v/>
      </c>
      <c r="H422" s="5">
        <f>'Zarrah- Coverage'!G193</f>
        <v/>
      </c>
      <c r="I422" s="5">
        <f>'Zarrah- Coverage'!H193</f>
        <v/>
      </c>
      <c r="J422" s="6">
        <f>'Zarrah- Coverage'!I193</f>
        <v/>
      </c>
      <c r="K422" s="3">
        <f>'Zarrah- Coverage'!J193</f>
        <v/>
      </c>
      <c r="L422" s="13">
        <f>'Zarrah- Coverage'!K193</f>
        <v/>
      </c>
    </row>
    <row r="423" ht="18" customHeight="1" s="96">
      <c r="A423" s="93" t="inlineStr">
        <is>
          <t>Person B</t>
        </is>
      </c>
      <c r="B423" s="8">
        <f>'Zarrah- Coverage'!A194</f>
        <v/>
      </c>
      <c r="C423" s="93">
        <f>'Zarrah- Coverage'!A194</f>
        <v/>
      </c>
      <c r="D423" s="8">
        <f>'Zarrah- Coverage'!C194</f>
        <v/>
      </c>
      <c r="E423" s="8">
        <f>'Zarrah- Coverage'!D194</f>
        <v/>
      </c>
      <c r="F423" s="8">
        <f>'Zarrah- Coverage'!E194</f>
        <v/>
      </c>
      <c r="G423" s="9">
        <f>'Zarrah- Coverage'!F194</f>
        <v/>
      </c>
      <c r="H423" s="10">
        <f>'Zarrah- Coverage'!G194</f>
        <v/>
      </c>
      <c r="I423" s="10">
        <f>'Zarrah- Coverage'!H194</f>
        <v/>
      </c>
      <c r="J423" s="11">
        <f>'Zarrah- Coverage'!I194</f>
        <v/>
      </c>
      <c r="K423" s="8">
        <f>'Zarrah- Coverage'!J194</f>
        <v/>
      </c>
      <c r="L423" s="12">
        <f>'Zarrah- Coverage'!K194</f>
        <v/>
      </c>
    </row>
    <row r="424" ht="18" customHeight="1" s="96">
      <c r="A424" s="2" t="inlineStr">
        <is>
          <t>Person B</t>
        </is>
      </c>
      <c r="B424" s="3">
        <f>'Zarrah- Coverage'!A195</f>
        <v/>
      </c>
      <c r="C424" s="2">
        <f>'Zarrah- Coverage'!A195</f>
        <v/>
      </c>
      <c r="D424" s="3">
        <f>'Zarrah- Coverage'!C195</f>
        <v/>
      </c>
      <c r="E424" s="3">
        <f>'Zarrah- Coverage'!D195</f>
        <v/>
      </c>
      <c r="F424" s="3">
        <f>'Zarrah- Coverage'!E195</f>
        <v/>
      </c>
      <c r="G424" s="4">
        <f>'Zarrah- Coverage'!F195</f>
        <v/>
      </c>
      <c r="H424" s="5">
        <f>'Zarrah- Coverage'!G195</f>
        <v/>
      </c>
      <c r="I424" s="5">
        <f>'Zarrah- Coverage'!H195</f>
        <v/>
      </c>
      <c r="J424" s="6">
        <f>'Zarrah- Coverage'!I195</f>
        <v/>
      </c>
      <c r="K424" s="3">
        <f>'Zarrah- Coverage'!J195</f>
        <v/>
      </c>
      <c r="L424" s="13">
        <f>'Zarrah- Coverage'!K195</f>
        <v/>
      </c>
    </row>
    <row r="425" ht="18" customHeight="1" s="96">
      <c r="A425" s="93" t="inlineStr">
        <is>
          <t>Person B</t>
        </is>
      </c>
      <c r="B425" s="8">
        <f>'Zarrah- Coverage'!A196</f>
        <v/>
      </c>
      <c r="C425" s="93">
        <f>'Zarrah- Coverage'!A196</f>
        <v/>
      </c>
      <c r="D425" s="8">
        <f>'Zarrah- Coverage'!C196</f>
        <v/>
      </c>
      <c r="E425" s="8">
        <f>'Zarrah- Coverage'!D196</f>
        <v/>
      </c>
      <c r="F425" s="8">
        <f>'Zarrah- Coverage'!E196</f>
        <v/>
      </c>
      <c r="G425" s="9">
        <f>'Zarrah- Coverage'!F196</f>
        <v/>
      </c>
      <c r="H425" s="10">
        <f>'Zarrah- Coverage'!G196</f>
        <v/>
      </c>
      <c r="I425" s="10">
        <f>'Zarrah- Coverage'!H196</f>
        <v/>
      </c>
      <c r="J425" s="11">
        <f>'Zarrah- Coverage'!I196</f>
        <v/>
      </c>
      <c r="K425" s="8">
        <f>'Zarrah- Coverage'!J196</f>
        <v/>
      </c>
      <c r="L425" s="12">
        <f>'Zarrah- Coverage'!K196</f>
        <v/>
      </c>
    </row>
    <row r="426" ht="18" customHeight="1" s="96">
      <c r="A426" s="2" t="inlineStr">
        <is>
          <t>Person B</t>
        </is>
      </c>
      <c r="B426" s="3">
        <f>'Zarrah- Coverage'!A197</f>
        <v/>
      </c>
      <c r="C426" s="2">
        <f>'Zarrah- Coverage'!A197</f>
        <v/>
      </c>
      <c r="D426" s="3">
        <f>'Zarrah- Coverage'!C197</f>
        <v/>
      </c>
      <c r="E426" s="3">
        <f>'Zarrah- Coverage'!D197</f>
        <v/>
      </c>
      <c r="F426" s="3">
        <f>'Zarrah- Coverage'!E197</f>
        <v/>
      </c>
      <c r="G426" s="4">
        <f>'Zarrah- Coverage'!F197</f>
        <v/>
      </c>
      <c r="H426" s="5">
        <f>'Zarrah- Coverage'!G197</f>
        <v/>
      </c>
      <c r="I426" s="5">
        <f>'Zarrah- Coverage'!H197</f>
        <v/>
      </c>
      <c r="J426" s="6">
        <f>'Zarrah- Coverage'!I197</f>
        <v/>
      </c>
      <c r="K426" s="3">
        <f>'Zarrah- Coverage'!J197</f>
        <v/>
      </c>
      <c r="L426" s="13">
        <f>'Zarrah- Coverage'!K197</f>
        <v/>
      </c>
    </row>
    <row r="427" ht="18" customHeight="1" s="96">
      <c r="A427" s="93" t="inlineStr">
        <is>
          <t>Person B</t>
        </is>
      </c>
      <c r="B427" s="8">
        <f>'Zarrah- Coverage'!A198</f>
        <v/>
      </c>
      <c r="C427" s="93">
        <f>'Zarrah- Coverage'!A198</f>
        <v/>
      </c>
      <c r="D427" s="8">
        <f>'Zarrah- Coverage'!C198</f>
        <v/>
      </c>
      <c r="E427" s="8">
        <f>'Zarrah- Coverage'!D198</f>
        <v/>
      </c>
      <c r="F427" s="8">
        <f>'Zarrah- Coverage'!E198</f>
        <v/>
      </c>
      <c r="G427" s="9">
        <f>'Zarrah- Coverage'!F198</f>
        <v/>
      </c>
      <c r="H427" s="10">
        <f>'Zarrah- Coverage'!G198</f>
        <v/>
      </c>
      <c r="I427" s="10">
        <f>'Zarrah- Coverage'!H198</f>
        <v/>
      </c>
      <c r="J427" s="11">
        <f>'Zarrah- Coverage'!I198</f>
        <v/>
      </c>
      <c r="K427" s="8">
        <f>'Zarrah- Coverage'!J198</f>
        <v/>
      </c>
      <c r="L427" s="12">
        <f>'Zarrah- Coverage'!K198</f>
        <v/>
      </c>
    </row>
    <row r="428" ht="18" customHeight="1" s="96">
      <c r="A428" s="2" t="inlineStr">
        <is>
          <t>Person B</t>
        </is>
      </c>
      <c r="B428" s="3">
        <f>'Zarrah- Coverage'!A199</f>
        <v/>
      </c>
      <c r="C428" s="2">
        <f>'Zarrah- Coverage'!A199</f>
        <v/>
      </c>
      <c r="D428" s="3">
        <f>'Zarrah- Coverage'!C199</f>
        <v/>
      </c>
      <c r="E428" s="3">
        <f>'Zarrah- Coverage'!D199</f>
        <v/>
      </c>
      <c r="F428" s="3">
        <f>'Zarrah- Coverage'!E199</f>
        <v/>
      </c>
      <c r="G428" s="4">
        <f>'Zarrah- Coverage'!F199</f>
        <v/>
      </c>
      <c r="H428" s="5">
        <f>'Zarrah- Coverage'!G199</f>
        <v/>
      </c>
      <c r="I428" s="5">
        <f>'Zarrah- Coverage'!H199</f>
        <v/>
      </c>
      <c r="J428" s="6">
        <f>'Zarrah- Coverage'!I199</f>
        <v/>
      </c>
      <c r="K428" s="3">
        <f>'Zarrah- Coverage'!J199</f>
        <v/>
      </c>
      <c r="L428" s="13">
        <f>'Zarrah- Coverage'!K199</f>
        <v/>
      </c>
    </row>
    <row r="429" ht="18" customHeight="1" s="96">
      <c r="A429" s="93" t="inlineStr">
        <is>
          <t>Person B</t>
        </is>
      </c>
      <c r="B429" s="8">
        <f>'Zarrah- Coverage'!A200</f>
        <v/>
      </c>
      <c r="C429" s="93">
        <f>'Zarrah- Coverage'!A200</f>
        <v/>
      </c>
      <c r="D429" s="8">
        <f>'Zarrah- Coverage'!C200</f>
        <v/>
      </c>
      <c r="E429" s="8">
        <f>'Zarrah- Coverage'!D200</f>
        <v/>
      </c>
      <c r="F429" s="8">
        <f>'Zarrah- Coverage'!E200</f>
        <v/>
      </c>
      <c r="G429" s="9">
        <f>'Zarrah- Coverage'!F200</f>
        <v/>
      </c>
      <c r="H429" s="10">
        <f>'Zarrah- Coverage'!G200</f>
        <v/>
      </c>
      <c r="I429" s="10">
        <f>'Zarrah- Coverage'!H200</f>
        <v/>
      </c>
      <c r="J429" s="11">
        <f>'Zarrah- Coverage'!I200</f>
        <v/>
      </c>
      <c r="K429" s="8">
        <f>'Zarrah- Coverage'!J200</f>
        <v/>
      </c>
      <c r="L429" s="12">
        <f>'Zarrah- Coverage'!K200</f>
        <v/>
      </c>
    </row>
    <row r="430" ht="18" customHeight="1" s="96">
      <c r="A430" s="2" t="inlineStr">
        <is>
          <t>Person B</t>
        </is>
      </c>
      <c r="B430" s="3">
        <f>'Zarrah- Coverage'!A201</f>
        <v/>
      </c>
      <c r="C430" s="2">
        <f>'Zarrah- Coverage'!A201</f>
        <v/>
      </c>
      <c r="D430" s="3">
        <f>'Zarrah- Coverage'!C201</f>
        <v/>
      </c>
      <c r="E430" s="3">
        <f>'Zarrah- Coverage'!D201</f>
        <v/>
      </c>
      <c r="F430" s="3">
        <f>'Zarrah- Coverage'!E201</f>
        <v/>
      </c>
      <c r="G430" s="4">
        <f>'Zarrah- Coverage'!F201</f>
        <v/>
      </c>
      <c r="H430" s="5">
        <f>'Zarrah- Coverage'!G201</f>
        <v/>
      </c>
      <c r="I430" s="5">
        <f>'Zarrah- Coverage'!H201</f>
        <v/>
      </c>
      <c r="J430" s="6">
        <f>'Zarrah- Coverage'!I201</f>
        <v/>
      </c>
      <c r="K430" s="3">
        <f>'Zarrah- Coverage'!J201</f>
        <v/>
      </c>
      <c r="L430" s="13">
        <f>'Zarrah- Coverage'!K201</f>
        <v/>
      </c>
    </row>
    <row r="431" ht="18" customHeight="1" s="96">
      <c r="A431" s="93" t="inlineStr">
        <is>
          <t>Person B</t>
        </is>
      </c>
      <c r="B431" s="8">
        <f>'Zarrah- Coverage'!A202</f>
        <v/>
      </c>
      <c r="C431" s="93">
        <f>'Zarrah- Coverage'!A202</f>
        <v/>
      </c>
      <c r="D431" s="8">
        <f>'Zarrah- Coverage'!C202</f>
        <v/>
      </c>
      <c r="E431" s="8">
        <f>'Zarrah- Coverage'!D202</f>
        <v/>
      </c>
      <c r="F431" s="8">
        <f>'Zarrah- Coverage'!E202</f>
        <v/>
      </c>
      <c r="G431" s="9">
        <f>'Zarrah- Coverage'!F202</f>
        <v/>
      </c>
      <c r="H431" s="10">
        <f>'Zarrah- Coverage'!G202</f>
        <v/>
      </c>
      <c r="I431" s="10">
        <f>'Zarrah- Coverage'!H202</f>
        <v/>
      </c>
      <c r="J431" s="11">
        <f>'Zarrah- Coverage'!I202</f>
        <v/>
      </c>
      <c r="K431" s="8">
        <f>'Zarrah- Coverage'!J202</f>
        <v/>
      </c>
      <c r="L431" s="12">
        <f>'Zarrah- Coverage'!K202</f>
        <v/>
      </c>
    </row>
    <row r="432" ht="18" customHeight="1" s="96">
      <c r="A432" s="2" t="inlineStr">
        <is>
          <t>Person C</t>
        </is>
      </c>
      <c r="B432" s="3">
        <f>'Home-Coverage'!A3</f>
        <v/>
      </c>
      <c r="C432" s="2">
        <f>'Home-Coverage'!A3</f>
        <v/>
      </c>
      <c r="D432" s="3">
        <f>'Home-Coverage'!C3</f>
        <v/>
      </c>
      <c r="E432" s="3">
        <f>'Home-Coverage'!D3</f>
        <v/>
      </c>
      <c r="F432" s="3">
        <f>'Home-Coverage'!E3</f>
        <v/>
      </c>
      <c r="G432" s="4">
        <f>'Home-Coverage'!F3</f>
        <v/>
      </c>
      <c r="H432" s="5">
        <f>'Home-Coverage'!G3</f>
        <v/>
      </c>
      <c r="I432" s="5">
        <f>'Home-Coverage'!H3</f>
        <v/>
      </c>
      <c r="J432" s="6">
        <f>'Home-Coverage'!I3</f>
        <v/>
      </c>
      <c r="K432" s="3">
        <f>'Home-Coverage'!J3</f>
        <v/>
      </c>
      <c r="L432" s="13">
        <f>'Home-Coverage'!K3</f>
        <v/>
      </c>
    </row>
    <row r="433" ht="18" customHeight="1" s="96">
      <c r="A433" s="93" t="inlineStr">
        <is>
          <t>Person C</t>
        </is>
      </c>
      <c r="B433" s="8">
        <f>'Home-Coverage'!A4</f>
        <v/>
      </c>
      <c r="C433" s="93">
        <f>'Home-Coverage'!A4</f>
        <v/>
      </c>
      <c r="D433" s="8">
        <f>'Home-Coverage'!C4</f>
        <v/>
      </c>
      <c r="E433" s="8">
        <f>'Home-Coverage'!D4</f>
        <v/>
      </c>
      <c r="F433" s="8">
        <f>'Home-Coverage'!E4</f>
        <v/>
      </c>
      <c r="G433" s="9">
        <f>'Home-Coverage'!F4</f>
        <v/>
      </c>
      <c r="H433" s="10">
        <f>'Home-Coverage'!G4</f>
        <v/>
      </c>
      <c r="I433" s="10">
        <f>'Home-Coverage'!H4</f>
        <v/>
      </c>
      <c r="J433" s="11">
        <f>'Home-Coverage'!I4</f>
        <v/>
      </c>
      <c r="K433" s="8">
        <f>'Home-Coverage'!J4</f>
        <v/>
      </c>
      <c r="L433" s="12">
        <f>'Home-Coverage'!K4</f>
        <v/>
      </c>
    </row>
    <row r="434" ht="18" customHeight="1" s="96">
      <c r="A434" s="2" t="inlineStr">
        <is>
          <t>Person C</t>
        </is>
      </c>
      <c r="B434" s="3">
        <f>'Home-Coverage'!A5</f>
        <v/>
      </c>
      <c r="C434" s="2">
        <f>'Home-Coverage'!A5</f>
        <v/>
      </c>
      <c r="D434" s="3">
        <f>'Home-Coverage'!C5</f>
        <v/>
      </c>
      <c r="E434" s="3">
        <f>'Home-Coverage'!D5</f>
        <v/>
      </c>
      <c r="F434" s="3">
        <f>'Home-Coverage'!E5</f>
        <v/>
      </c>
      <c r="G434" s="4">
        <f>'Home-Coverage'!F5</f>
        <v/>
      </c>
      <c r="H434" s="5">
        <f>'Home-Coverage'!G5</f>
        <v/>
      </c>
      <c r="I434" s="5">
        <f>'Home-Coverage'!H5</f>
        <v/>
      </c>
      <c r="J434" s="6">
        <f>'Home-Coverage'!I5</f>
        <v/>
      </c>
      <c r="K434" s="3">
        <f>'Home-Coverage'!J5</f>
        <v/>
      </c>
      <c r="L434" s="13">
        <f>'Home-Coverage'!K5</f>
        <v/>
      </c>
    </row>
    <row r="435" ht="18" customHeight="1" s="96">
      <c r="A435" s="93" t="inlineStr">
        <is>
          <t>Person C</t>
        </is>
      </c>
      <c r="B435" s="8">
        <f>'Home-Coverage'!A6</f>
        <v/>
      </c>
      <c r="C435" s="93">
        <f>'Home-Coverage'!A6</f>
        <v/>
      </c>
      <c r="D435" s="8">
        <f>'Home-Coverage'!C6</f>
        <v/>
      </c>
      <c r="E435" s="8">
        <f>'Home-Coverage'!D6</f>
        <v/>
      </c>
      <c r="F435" s="8">
        <f>'Home-Coverage'!E6</f>
        <v/>
      </c>
      <c r="G435" s="9">
        <f>'Home-Coverage'!F6</f>
        <v/>
      </c>
      <c r="H435" s="10">
        <f>'Home-Coverage'!G6</f>
        <v/>
      </c>
      <c r="I435" s="10">
        <f>'Home-Coverage'!H6</f>
        <v/>
      </c>
      <c r="J435" s="11">
        <f>'Home-Coverage'!I6</f>
        <v/>
      </c>
      <c r="K435" s="8">
        <f>'Home-Coverage'!J6</f>
        <v/>
      </c>
      <c r="L435" s="12">
        <f>'Home-Coverage'!K6</f>
        <v/>
      </c>
    </row>
    <row r="436" ht="18" customHeight="1" s="96">
      <c r="A436" s="2" t="inlineStr">
        <is>
          <t>Person C</t>
        </is>
      </c>
      <c r="B436" s="3">
        <f>'Home-Coverage'!A7</f>
        <v/>
      </c>
      <c r="C436" s="2">
        <f>'Home-Coverage'!A7</f>
        <v/>
      </c>
      <c r="D436" s="3">
        <f>'Home-Coverage'!C7</f>
        <v/>
      </c>
      <c r="E436" s="3">
        <f>'Home-Coverage'!D7</f>
        <v/>
      </c>
      <c r="F436" s="3">
        <f>'Home-Coverage'!E7</f>
        <v/>
      </c>
      <c r="G436" s="4">
        <f>'Home-Coverage'!F7</f>
        <v/>
      </c>
      <c r="H436" s="5">
        <f>'Home-Coverage'!G7</f>
        <v/>
      </c>
      <c r="I436" s="5">
        <f>'Home-Coverage'!H7</f>
        <v/>
      </c>
      <c r="J436" s="6">
        <f>'Home-Coverage'!I7</f>
        <v/>
      </c>
      <c r="K436" s="3">
        <f>'Home-Coverage'!J7</f>
        <v/>
      </c>
      <c r="L436" s="13">
        <f>'Home-Coverage'!K7</f>
        <v/>
      </c>
    </row>
    <row r="437" ht="18" customHeight="1" s="96">
      <c r="A437" s="93" t="inlineStr">
        <is>
          <t>Person C</t>
        </is>
      </c>
      <c r="B437" s="8">
        <f>'Home-Coverage'!A8</f>
        <v/>
      </c>
      <c r="C437" s="93">
        <f>'Home-Coverage'!A8</f>
        <v/>
      </c>
      <c r="D437" s="8">
        <f>'Home-Coverage'!C8</f>
        <v/>
      </c>
      <c r="E437" s="8">
        <f>'Home-Coverage'!D8</f>
        <v/>
      </c>
      <c r="F437" s="8">
        <f>'Home-Coverage'!E8</f>
        <v/>
      </c>
      <c r="G437" s="9">
        <f>'Home-Coverage'!F8</f>
        <v/>
      </c>
      <c r="H437" s="10">
        <f>'Home-Coverage'!G8</f>
        <v/>
      </c>
      <c r="I437" s="10">
        <f>'Home-Coverage'!H8</f>
        <v/>
      </c>
      <c r="J437" s="11">
        <f>'Home-Coverage'!I8</f>
        <v/>
      </c>
      <c r="K437" s="8">
        <f>'Home-Coverage'!J8</f>
        <v/>
      </c>
      <c r="L437" s="12">
        <f>'Home-Coverage'!K8</f>
        <v/>
      </c>
    </row>
    <row r="438" ht="18" customHeight="1" s="96">
      <c r="A438" s="2" t="inlineStr">
        <is>
          <t>Person C</t>
        </is>
      </c>
      <c r="B438" s="3">
        <f>'Home-Coverage'!A9</f>
        <v/>
      </c>
      <c r="C438" s="2">
        <f>'Home-Coverage'!A9</f>
        <v/>
      </c>
      <c r="D438" s="3">
        <f>'Home-Coverage'!C9</f>
        <v/>
      </c>
      <c r="E438" s="3">
        <f>'Home-Coverage'!D9</f>
        <v/>
      </c>
      <c r="F438" s="3">
        <f>'Home-Coverage'!E9</f>
        <v/>
      </c>
      <c r="G438" s="4">
        <f>'Home-Coverage'!F9</f>
        <v/>
      </c>
      <c r="H438" s="5">
        <f>'Home-Coverage'!G9</f>
        <v/>
      </c>
      <c r="I438" s="5">
        <f>'Home-Coverage'!H9</f>
        <v/>
      </c>
      <c r="J438" s="6">
        <f>'Home-Coverage'!I9</f>
        <v/>
      </c>
      <c r="K438" s="3">
        <f>'Home-Coverage'!J9</f>
        <v/>
      </c>
      <c r="L438" s="13">
        <f>'Home-Coverage'!K9</f>
        <v/>
      </c>
    </row>
    <row r="439" ht="18" customHeight="1" s="96">
      <c r="A439" s="93" t="inlineStr">
        <is>
          <t>Person C</t>
        </is>
      </c>
      <c r="B439" s="8">
        <f>'Home-Coverage'!A10</f>
        <v/>
      </c>
      <c r="C439" s="93">
        <f>'Home-Coverage'!A10</f>
        <v/>
      </c>
      <c r="D439" s="8">
        <f>'Home-Coverage'!C10</f>
        <v/>
      </c>
      <c r="E439" s="8">
        <f>'Home-Coverage'!D10</f>
        <v/>
      </c>
      <c r="F439" s="8">
        <f>'Home-Coverage'!E10</f>
        <v/>
      </c>
      <c r="G439" s="9">
        <f>'Home-Coverage'!F10</f>
        <v/>
      </c>
      <c r="H439" s="10">
        <f>'Home-Coverage'!G10</f>
        <v/>
      </c>
      <c r="I439" s="10">
        <f>'Home-Coverage'!H10</f>
        <v/>
      </c>
      <c r="J439" s="11">
        <f>'Home-Coverage'!I10</f>
        <v/>
      </c>
      <c r="K439" s="8">
        <f>'Home-Coverage'!J10</f>
        <v/>
      </c>
      <c r="L439" s="12">
        <f>'Home-Coverage'!K10</f>
        <v/>
      </c>
    </row>
    <row r="440" ht="18" customHeight="1" s="96">
      <c r="A440" s="2" t="inlineStr">
        <is>
          <t>Person C</t>
        </is>
      </c>
      <c r="B440" s="3">
        <f>'Home-Coverage'!A11</f>
        <v/>
      </c>
      <c r="C440" s="2">
        <f>'Home-Coverage'!A11</f>
        <v/>
      </c>
      <c r="D440" s="3">
        <f>'Home-Coverage'!C11</f>
        <v/>
      </c>
      <c r="E440" s="3">
        <f>'Home-Coverage'!D11</f>
        <v/>
      </c>
      <c r="F440" s="3">
        <f>'Home-Coverage'!E11</f>
        <v/>
      </c>
      <c r="G440" s="4">
        <f>'Home-Coverage'!F11</f>
        <v/>
      </c>
      <c r="H440" s="5">
        <f>'Home-Coverage'!G11</f>
        <v/>
      </c>
      <c r="I440" s="5">
        <f>'Home-Coverage'!H11</f>
        <v/>
      </c>
      <c r="J440" s="6">
        <f>'Home-Coverage'!I11</f>
        <v/>
      </c>
      <c r="K440" s="3">
        <f>'Home-Coverage'!J11</f>
        <v/>
      </c>
      <c r="L440" s="13">
        <f>'Home-Coverage'!K11</f>
        <v/>
      </c>
    </row>
    <row r="441" ht="18" customHeight="1" s="96">
      <c r="A441" s="93" t="inlineStr">
        <is>
          <t>Person C</t>
        </is>
      </c>
      <c r="B441" s="8">
        <f>'Home-Coverage'!A12</f>
        <v/>
      </c>
      <c r="C441" s="93">
        <f>'Home-Coverage'!A12</f>
        <v/>
      </c>
      <c r="D441" s="8">
        <f>'Home-Coverage'!C12</f>
        <v/>
      </c>
      <c r="E441" s="8">
        <f>'Home-Coverage'!D12</f>
        <v/>
      </c>
      <c r="F441" s="8">
        <f>'Home-Coverage'!E12</f>
        <v/>
      </c>
      <c r="G441" s="9">
        <f>'Home-Coverage'!F12</f>
        <v/>
      </c>
      <c r="H441" s="10">
        <f>'Home-Coverage'!G12</f>
        <v/>
      </c>
      <c r="I441" s="10">
        <f>'Home-Coverage'!H12</f>
        <v/>
      </c>
      <c r="J441" s="11">
        <f>'Home-Coverage'!I12</f>
        <v/>
      </c>
      <c r="K441" s="8">
        <f>'Home-Coverage'!J12</f>
        <v/>
      </c>
      <c r="L441" s="12">
        <f>'Home-Coverage'!K12</f>
        <v/>
      </c>
    </row>
    <row r="442" ht="18" customHeight="1" s="96">
      <c r="A442" s="2" t="inlineStr">
        <is>
          <t>Person C</t>
        </is>
      </c>
      <c r="B442" s="3">
        <f>'Home-Coverage'!A13</f>
        <v/>
      </c>
      <c r="C442" s="2">
        <f>'Home-Coverage'!A13</f>
        <v/>
      </c>
      <c r="D442" s="3">
        <f>'Home-Coverage'!C13</f>
        <v/>
      </c>
      <c r="E442" s="3">
        <f>'Home-Coverage'!D13</f>
        <v/>
      </c>
      <c r="F442" s="3">
        <f>'Home-Coverage'!E13</f>
        <v/>
      </c>
      <c r="G442" s="4">
        <f>'Home-Coverage'!F13</f>
        <v/>
      </c>
      <c r="H442" s="5">
        <f>'Home-Coverage'!G13</f>
        <v/>
      </c>
      <c r="I442" s="5">
        <f>'Home-Coverage'!H13</f>
        <v/>
      </c>
      <c r="J442" s="6">
        <f>'Home-Coverage'!I13</f>
        <v/>
      </c>
      <c r="K442" s="3">
        <f>'Home-Coverage'!J13</f>
        <v/>
      </c>
      <c r="L442" s="13">
        <f>'Home-Coverage'!K13</f>
        <v/>
      </c>
    </row>
    <row r="443" ht="18" customHeight="1" s="96">
      <c r="A443" s="93" t="inlineStr">
        <is>
          <t>Person C</t>
        </is>
      </c>
      <c r="B443" s="8">
        <f>'Home-Coverage'!A14</f>
        <v/>
      </c>
      <c r="C443" s="93">
        <f>'Home-Coverage'!A14</f>
        <v/>
      </c>
      <c r="D443" s="8">
        <f>'Home-Coverage'!C14</f>
        <v/>
      </c>
      <c r="E443" s="8">
        <f>'Home-Coverage'!D14</f>
        <v/>
      </c>
      <c r="F443" s="8">
        <f>'Home-Coverage'!E14</f>
        <v/>
      </c>
      <c r="G443" s="9">
        <f>'Home-Coverage'!F14</f>
        <v/>
      </c>
      <c r="H443" s="10">
        <f>'Home-Coverage'!G14</f>
        <v/>
      </c>
      <c r="I443" s="10">
        <f>'Home-Coverage'!H14</f>
        <v/>
      </c>
      <c r="J443" s="11">
        <f>'Home-Coverage'!I14</f>
        <v/>
      </c>
      <c r="K443" s="8">
        <f>'Home-Coverage'!J14</f>
        <v/>
      </c>
      <c r="L443" s="12">
        <f>'Home-Coverage'!K14</f>
        <v/>
      </c>
    </row>
    <row r="444" ht="18" customHeight="1" s="96">
      <c r="A444" s="2" t="inlineStr">
        <is>
          <t>Person C</t>
        </is>
      </c>
      <c r="B444" s="3">
        <f>'Home-Coverage'!A15</f>
        <v/>
      </c>
      <c r="C444" s="2">
        <f>'Home-Coverage'!A15</f>
        <v/>
      </c>
      <c r="D444" s="3">
        <f>'Home-Coverage'!C15</f>
        <v/>
      </c>
      <c r="E444" s="3">
        <f>'Home-Coverage'!D15</f>
        <v/>
      </c>
      <c r="F444" s="3">
        <f>'Home-Coverage'!E15</f>
        <v/>
      </c>
      <c r="G444" s="4">
        <f>'Home-Coverage'!F15</f>
        <v/>
      </c>
      <c r="H444" s="5">
        <f>'Home-Coverage'!G15</f>
        <v/>
      </c>
      <c r="I444" s="5">
        <f>'Home-Coverage'!H15</f>
        <v/>
      </c>
      <c r="J444" s="6">
        <f>'Home-Coverage'!I15</f>
        <v/>
      </c>
      <c r="K444" s="3">
        <f>'Home-Coverage'!J15</f>
        <v/>
      </c>
      <c r="L444" s="13">
        <f>'Home-Coverage'!K15</f>
        <v/>
      </c>
    </row>
    <row r="445" ht="18" customHeight="1" s="96">
      <c r="A445" s="93" t="inlineStr">
        <is>
          <t>Person C</t>
        </is>
      </c>
      <c r="B445" s="8">
        <f>'Home-Coverage'!A16</f>
        <v/>
      </c>
      <c r="C445" s="93">
        <f>'Home-Coverage'!A16</f>
        <v/>
      </c>
      <c r="D445" s="8">
        <f>'Home-Coverage'!C16</f>
        <v/>
      </c>
      <c r="E445" s="8">
        <f>'Home-Coverage'!D16</f>
        <v/>
      </c>
      <c r="F445" s="8">
        <f>'Home-Coverage'!E16</f>
        <v/>
      </c>
      <c r="G445" s="9">
        <f>'Home-Coverage'!F16</f>
        <v/>
      </c>
      <c r="H445" s="10">
        <f>'Home-Coverage'!G16</f>
        <v/>
      </c>
      <c r="I445" s="10">
        <f>'Home-Coverage'!H16</f>
        <v/>
      </c>
      <c r="J445" s="11">
        <f>'Home-Coverage'!I16</f>
        <v/>
      </c>
      <c r="K445" s="8">
        <f>'Home-Coverage'!J16</f>
        <v/>
      </c>
      <c r="L445" s="12">
        <f>'Home-Coverage'!K16</f>
        <v/>
      </c>
    </row>
    <row r="446" ht="18" customHeight="1" s="96">
      <c r="A446" s="2" t="inlineStr">
        <is>
          <t>Person C</t>
        </is>
      </c>
      <c r="B446" s="3">
        <f>'Home-Coverage'!A17</f>
        <v/>
      </c>
      <c r="C446" s="2">
        <f>'Home-Coverage'!A17</f>
        <v/>
      </c>
      <c r="D446" s="3">
        <f>'Home-Coverage'!C17</f>
        <v/>
      </c>
      <c r="E446" s="3">
        <f>'Home-Coverage'!D17</f>
        <v/>
      </c>
      <c r="F446" s="3">
        <f>'Home-Coverage'!E17</f>
        <v/>
      </c>
      <c r="G446" s="4">
        <f>'Home-Coverage'!F17</f>
        <v/>
      </c>
      <c r="H446" s="5">
        <f>'Home-Coverage'!G17</f>
        <v/>
      </c>
      <c r="I446" s="5">
        <f>'Home-Coverage'!H17</f>
        <v/>
      </c>
      <c r="J446" s="6">
        <f>'Home-Coverage'!I17</f>
        <v/>
      </c>
      <c r="K446" s="3">
        <f>'Home-Coverage'!J17</f>
        <v/>
      </c>
      <c r="L446" s="13">
        <f>'Home-Coverage'!K17</f>
        <v/>
      </c>
    </row>
    <row r="447" ht="18" customHeight="1" s="96">
      <c r="A447" s="93" t="inlineStr">
        <is>
          <t>Person C</t>
        </is>
      </c>
      <c r="B447" s="8">
        <f>'Home-Coverage'!A18</f>
        <v/>
      </c>
      <c r="C447" s="93">
        <f>'Home-Coverage'!A18</f>
        <v/>
      </c>
      <c r="D447" s="8">
        <f>'Home-Coverage'!C18</f>
        <v/>
      </c>
      <c r="E447" s="8">
        <f>'Home-Coverage'!D18</f>
        <v/>
      </c>
      <c r="F447" s="8">
        <f>'Home-Coverage'!E18</f>
        <v/>
      </c>
      <c r="G447" s="9">
        <f>'Home-Coverage'!F18</f>
        <v/>
      </c>
      <c r="H447" s="10">
        <f>'Home-Coverage'!G18</f>
        <v/>
      </c>
      <c r="I447" s="10">
        <f>'Home-Coverage'!H18</f>
        <v/>
      </c>
      <c r="J447" s="11">
        <f>'Home-Coverage'!I18</f>
        <v/>
      </c>
      <c r="K447" s="8">
        <f>'Home-Coverage'!J18</f>
        <v/>
      </c>
      <c r="L447" s="12">
        <f>'Home-Coverage'!K18</f>
        <v/>
      </c>
    </row>
    <row r="448" ht="18" customHeight="1" s="96">
      <c r="A448" s="2" t="inlineStr">
        <is>
          <t>Person C</t>
        </is>
      </c>
      <c r="B448" s="3">
        <f>'Home-Coverage'!A19</f>
        <v/>
      </c>
      <c r="C448" s="2">
        <f>'Home-Coverage'!A19</f>
        <v/>
      </c>
      <c r="D448" s="3">
        <f>'Home-Coverage'!C19</f>
        <v/>
      </c>
      <c r="E448" s="3">
        <f>'Home-Coverage'!D19</f>
        <v/>
      </c>
      <c r="F448" s="3">
        <f>'Home-Coverage'!E19</f>
        <v/>
      </c>
      <c r="G448" s="4">
        <f>'Home-Coverage'!F19</f>
        <v/>
      </c>
      <c r="H448" s="5">
        <f>'Home-Coverage'!G19</f>
        <v/>
      </c>
      <c r="I448" s="5">
        <f>'Home-Coverage'!H19</f>
        <v/>
      </c>
      <c r="J448" s="6">
        <f>'Home-Coverage'!I19</f>
        <v/>
      </c>
      <c r="K448" s="3">
        <f>'Home-Coverage'!J19</f>
        <v/>
      </c>
      <c r="L448" s="13">
        <f>'Home-Coverage'!K19</f>
        <v/>
      </c>
    </row>
    <row r="449" ht="18" customHeight="1" s="96">
      <c r="A449" s="93" t="inlineStr">
        <is>
          <t>Person C</t>
        </is>
      </c>
      <c r="B449" s="8">
        <f>'Home-Coverage'!A20</f>
        <v/>
      </c>
      <c r="C449" s="93">
        <f>'Home-Coverage'!A20</f>
        <v/>
      </c>
      <c r="D449" s="8">
        <f>'Home-Coverage'!C20</f>
        <v/>
      </c>
      <c r="E449" s="8">
        <f>'Home-Coverage'!D20</f>
        <v/>
      </c>
      <c r="F449" s="8">
        <f>'Home-Coverage'!E20</f>
        <v/>
      </c>
      <c r="G449" s="9">
        <f>'Home-Coverage'!F20</f>
        <v/>
      </c>
      <c r="H449" s="10">
        <f>'Home-Coverage'!G20</f>
        <v/>
      </c>
      <c r="I449" s="10">
        <f>'Home-Coverage'!H20</f>
        <v/>
      </c>
      <c r="J449" s="11">
        <f>'Home-Coverage'!I20</f>
        <v/>
      </c>
      <c r="K449" s="8">
        <f>'Home-Coverage'!J20</f>
        <v/>
      </c>
      <c r="L449" s="12">
        <f>'Home-Coverage'!K20</f>
        <v/>
      </c>
    </row>
    <row r="450" ht="18" customHeight="1" s="96">
      <c r="A450" s="2" t="inlineStr">
        <is>
          <t>Person C</t>
        </is>
      </c>
      <c r="B450" s="3">
        <f>'Home-Coverage'!A21</f>
        <v/>
      </c>
      <c r="C450" s="2">
        <f>'Home-Coverage'!A21</f>
        <v/>
      </c>
      <c r="D450" s="3">
        <f>'Home-Coverage'!C21</f>
        <v/>
      </c>
      <c r="E450" s="3">
        <f>'Home-Coverage'!D21</f>
        <v/>
      </c>
      <c r="F450" s="3">
        <f>'Home-Coverage'!E21</f>
        <v/>
      </c>
      <c r="G450" s="4">
        <f>'Home-Coverage'!F21</f>
        <v/>
      </c>
      <c r="H450" s="5">
        <f>'Home-Coverage'!G21</f>
        <v/>
      </c>
      <c r="I450" s="5">
        <f>'Home-Coverage'!H21</f>
        <v/>
      </c>
      <c r="J450" s="6">
        <f>'Home-Coverage'!I21</f>
        <v/>
      </c>
      <c r="K450" s="3">
        <f>'Home-Coverage'!J21</f>
        <v/>
      </c>
      <c r="L450" s="13">
        <f>'Home-Coverage'!K21</f>
        <v/>
      </c>
    </row>
    <row r="451" ht="18" customHeight="1" s="96">
      <c r="A451" s="93" t="inlineStr">
        <is>
          <t>Person C</t>
        </is>
      </c>
      <c r="B451" s="8">
        <f>'Home-Coverage'!A22</f>
        <v/>
      </c>
      <c r="C451" s="93">
        <f>'Home-Coverage'!A22</f>
        <v/>
      </c>
      <c r="D451" s="8">
        <f>'Home-Coverage'!C22</f>
        <v/>
      </c>
      <c r="E451" s="8">
        <f>'Home-Coverage'!D22</f>
        <v/>
      </c>
      <c r="F451" s="8">
        <f>'Home-Coverage'!E22</f>
        <v/>
      </c>
      <c r="G451" s="9">
        <f>'Home-Coverage'!F22</f>
        <v/>
      </c>
      <c r="H451" s="10">
        <f>'Home-Coverage'!G22</f>
        <v/>
      </c>
      <c r="I451" s="10">
        <f>'Home-Coverage'!H22</f>
        <v/>
      </c>
      <c r="J451" s="11">
        <f>'Home-Coverage'!I22</f>
        <v/>
      </c>
      <c r="K451" s="8">
        <f>'Home-Coverage'!J22</f>
        <v/>
      </c>
      <c r="L451" s="12">
        <f>'Home-Coverage'!K22</f>
        <v/>
      </c>
    </row>
    <row r="452" ht="18" customHeight="1" s="96">
      <c r="A452" s="2" t="inlineStr">
        <is>
          <t>Person C</t>
        </is>
      </c>
      <c r="B452" s="3">
        <f>'Home-Coverage'!A23</f>
        <v/>
      </c>
      <c r="C452" s="2">
        <f>'Home-Coverage'!A23</f>
        <v/>
      </c>
      <c r="D452" s="3">
        <f>'Home-Coverage'!C23</f>
        <v/>
      </c>
      <c r="E452" s="3">
        <f>'Home-Coverage'!D23</f>
        <v/>
      </c>
      <c r="F452" s="3">
        <f>'Home-Coverage'!E23</f>
        <v/>
      </c>
      <c r="G452" s="4">
        <f>'Home-Coverage'!F23</f>
        <v/>
      </c>
      <c r="H452" s="5">
        <f>'Home-Coverage'!G23</f>
        <v/>
      </c>
      <c r="I452" s="5">
        <f>'Home-Coverage'!H23</f>
        <v/>
      </c>
      <c r="J452" s="6">
        <f>'Home-Coverage'!I23</f>
        <v/>
      </c>
      <c r="K452" s="3">
        <f>'Home-Coverage'!J23</f>
        <v/>
      </c>
      <c r="L452" s="13">
        <f>'Home-Coverage'!K23</f>
        <v/>
      </c>
    </row>
    <row r="453" ht="18" customHeight="1" s="96">
      <c r="A453" s="93" t="inlineStr">
        <is>
          <t>Person C</t>
        </is>
      </c>
      <c r="B453" s="8">
        <f>'Home-Coverage'!A24</f>
        <v/>
      </c>
      <c r="C453" s="93">
        <f>'Home-Coverage'!A24</f>
        <v/>
      </c>
      <c r="D453" s="8">
        <f>'Home-Coverage'!C24</f>
        <v/>
      </c>
      <c r="E453" s="8">
        <f>'Home-Coverage'!D24</f>
        <v/>
      </c>
      <c r="F453" s="8">
        <f>'Home-Coverage'!E24</f>
        <v/>
      </c>
      <c r="G453" s="9">
        <f>'Home-Coverage'!F24</f>
        <v/>
      </c>
      <c r="H453" s="10">
        <f>'Home-Coverage'!G24</f>
        <v/>
      </c>
      <c r="I453" s="10">
        <f>'Home-Coverage'!H24</f>
        <v/>
      </c>
      <c r="J453" s="11">
        <f>'Home-Coverage'!I24</f>
        <v/>
      </c>
      <c r="K453" s="8">
        <f>'Home-Coverage'!J24</f>
        <v/>
      </c>
      <c r="L453" s="12">
        <f>'Home-Coverage'!K24</f>
        <v/>
      </c>
    </row>
    <row r="454" ht="18" customHeight="1" s="96">
      <c r="A454" s="2" t="inlineStr">
        <is>
          <t>Person C</t>
        </is>
      </c>
      <c r="B454" s="3">
        <f>'Home-Coverage'!A25</f>
        <v/>
      </c>
      <c r="C454" s="2">
        <f>'Home-Coverage'!A25</f>
        <v/>
      </c>
      <c r="D454" s="3">
        <f>'Home-Coverage'!C25</f>
        <v/>
      </c>
      <c r="E454" s="3">
        <f>'Home-Coverage'!D25</f>
        <v/>
      </c>
      <c r="F454" s="3">
        <f>'Home-Coverage'!E25</f>
        <v/>
      </c>
      <c r="G454" s="4">
        <f>'Home-Coverage'!F25</f>
        <v/>
      </c>
      <c r="H454" s="5">
        <f>'Home-Coverage'!G25</f>
        <v/>
      </c>
      <c r="I454" s="5">
        <f>'Home-Coverage'!H25</f>
        <v/>
      </c>
      <c r="J454" s="6">
        <f>'Home-Coverage'!I25</f>
        <v/>
      </c>
      <c r="K454" s="3">
        <f>'Home-Coverage'!J25</f>
        <v/>
      </c>
      <c r="L454" s="13">
        <f>'Home-Coverage'!K25</f>
        <v/>
      </c>
    </row>
    <row r="455" ht="18" customHeight="1" s="96">
      <c r="A455" s="93" t="inlineStr">
        <is>
          <t>Person C</t>
        </is>
      </c>
      <c r="B455" s="8">
        <f>'Home-Coverage'!A26</f>
        <v/>
      </c>
      <c r="C455" s="93">
        <f>'Home-Coverage'!A26</f>
        <v/>
      </c>
      <c r="D455" s="8">
        <f>'Home-Coverage'!C26</f>
        <v/>
      </c>
      <c r="E455" s="8">
        <f>'Home-Coverage'!D26</f>
        <v/>
      </c>
      <c r="F455" s="8">
        <f>'Home-Coverage'!E26</f>
        <v/>
      </c>
      <c r="G455" s="9">
        <f>'Home-Coverage'!F26</f>
        <v/>
      </c>
      <c r="H455" s="10">
        <f>'Home-Coverage'!G26</f>
        <v/>
      </c>
      <c r="I455" s="10">
        <f>'Home-Coverage'!H26</f>
        <v/>
      </c>
      <c r="J455" s="11">
        <f>'Home-Coverage'!I26</f>
        <v/>
      </c>
      <c r="K455" s="8">
        <f>'Home-Coverage'!J26</f>
        <v/>
      </c>
      <c r="L455" s="12">
        <f>'Home-Coverage'!K26</f>
        <v/>
      </c>
    </row>
    <row r="456" ht="18" customHeight="1" s="96">
      <c r="A456" s="2" t="inlineStr">
        <is>
          <t>Person C</t>
        </is>
      </c>
      <c r="B456" s="3">
        <f>'Home-Coverage'!A27</f>
        <v/>
      </c>
      <c r="C456" s="2">
        <f>'Home-Coverage'!A27</f>
        <v/>
      </c>
      <c r="D456" s="3">
        <f>'Home-Coverage'!C27</f>
        <v/>
      </c>
      <c r="E456" s="3">
        <f>'Home-Coverage'!D27</f>
        <v/>
      </c>
      <c r="F456" s="3">
        <f>'Home-Coverage'!E27</f>
        <v/>
      </c>
      <c r="G456" s="4">
        <f>'Home-Coverage'!F27</f>
        <v/>
      </c>
      <c r="H456" s="5">
        <f>'Home-Coverage'!G27</f>
        <v/>
      </c>
      <c r="I456" s="5">
        <f>'Home-Coverage'!H27</f>
        <v/>
      </c>
      <c r="J456" s="6">
        <f>'Home-Coverage'!I27</f>
        <v/>
      </c>
      <c r="K456" s="3">
        <f>'Home-Coverage'!J27</f>
        <v/>
      </c>
      <c r="L456" s="13">
        <f>'Home-Coverage'!K27</f>
        <v/>
      </c>
    </row>
    <row r="457" ht="18" customHeight="1" s="96">
      <c r="A457" s="93" t="inlineStr">
        <is>
          <t>Person C</t>
        </is>
      </c>
      <c r="B457" s="8">
        <f>'Home-Coverage'!A28</f>
        <v/>
      </c>
      <c r="C457" s="93">
        <f>'Home-Coverage'!A28</f>
        <v/>
      </c>
      <c r="D457" s="8">
        <f>'Home-Coverage'!C28</f>
        <v/>
      </c>
      <c r="E457" s="8">
        <f>'Home-Coverage'!D28</f>
        <v/>
      </c>
      <c r="F457" s="8">
        <f>'Home-Coverage'!E28</f>
        <v/>
      </c>
      <c r="G457" s="9">
        <f>'Home-Coverage'!F28</f>
        <v/>
      </c>
      <c r="H457" s="10">
        <f>'Home-Coverage'!G28</f>
        <v/>
      </c>
      <c r="I457" s="10">
        <f>'Home-Coverage'!H28</f>
        <v/>
      </c>
      <c r="J457" s="11">
        <f>'Home-Coverage'!I28</f>
        <v/>
      </c>
      <c r="K457" s="8">
        <f>'Home-Coverage'!J28</f>
        <v/>
      </c>
      <c r="L457" s="12">
        <f>'Home-Coverage'!K28</f>
        <v/>
      </c>
    </row>
    <row r="458" ht="18" customHeight="1" s="96">
      <c r="A458" s="2" t="inlineStr">
        <is>
          <t>Person C</t>
        </is>
      </c>
      <c r="B458" s="3">
        <f>'Home-Coverage'!A29</f>
        <v/>
      </c>
      <c r="C458" s="2">
        <f>'Home-Coverage'!A29</f>
        <v/>
      </c>
      <c r="D458" s="3">
        <f>'Home-Coverage'!C29</f>
        <v/>
      </c>
      <c r="E458" s="3">
        <f>'Home-Coverage'!D29</f>
        <v/>
      </c>
      <c r="F458" s="3">
        <f>'Home-Coverage'!E29</f>
        <v/>
      </c>
      <c r="G458" s="4">
        <f>'Home-Coverage'!F29</f>
        <v/>
      </c>
      <c r="H458" s="5">
        <f>'Home-Coverage'!G29</f>
        <v/>
      </c>
      <c r="I458" s="5">
        <f>'Home-Coverage'!H29</f>
        <v/>
      </c>
      <c r="J458" s="6">
        <f>'Home-Coverage'!I29</f>
        <v/>
      </c>
      <c r="K458" s="3">
        <f>'Home-Coverage'!J29</f>
        <v/>
      </c>
      <c r="L458" s="13">
        <f>'Home-Coverage'!K29</f>
        <v/>
      </c>
    </row>
    <row r="459" ht="18" customHeight="1" s="96">
      <c r="A459" s="93" t="inlineStr">
        <is>
          <t>Person C</t>
        </is>
      </c>
      <c r="B459" s="8">
        <f>'Home-Coverage'!A30</f>
        <v/>
      </c>
      <c r="C459" s="93">
        <f>'Home-Coverage'!A30</f>
        <v/>
      </c>
      <c r="D459" s="8">
        <f>'Home-Coverage'!C30</f>
        <v/>
      </c>
      <c r="E459" s="8">
        <f>'Home-Coverage'!D30</f>
        <v/>
      </c>
      <c r="F459" s="8">
        <f>'Home-Coverage'!E30</f>
        <v/>
      </c>
      <c r="G459" s="9">
        <f>'Home-Coverage'!F30</f>
        <v/>
      </c>
      <c r="H459" s="10">
        <f>'Home-Coverage'!G30</f>
        <v/>
      </c>
      <c r="I459" s="10">
        <f>'Home-Coverage'!H30</f>
        <v/>
      </c>
      <c r="J459" s="11">
        <f>'Home-Coverage'!I30</f>
        <v/>
      </c>
      <c r="K459" s="8">
        <f>'Home-Coverage'!J30</f>
        <v/>
      </c>
      <c r="L459" s="12">
        <f>'Home-Coverage'!K30</f>
        <v/>
      </c>
    </row>
    <row r="460" ht="18" customHeight="1" s="96">
      <c r="A460" s="2" t="inlineStr">
        <is>
          <t>Person C</t>
        </is>
      </c>
      <c r="B460" s="3">
        <f>'Home-Coverage'!A31</f>
        <v/>
      </c>
      <c r="C460" s="2">
        <f>'Home-Coverage'!A31</f>
        <v/>
      </c>
      <c r="D460" s="3">
        <f>'Home-Coverage'!C31</f>
        <v/>
      </c>
      <c r="E460" s="3">
        <f>'Home-Coverage'!D31</f>
        <v/>
      </c>
      <c r="F460" s="3">
        <f>'Home-Coverage'!E31</f>
        <v/>
      </c>
      <c r="G460" s="4">
        <f>'Home-Coverage'!F31</f>
        <v/>
      </c>
      <c r="H460" s="5">
        <f>'Home-Coverage'!G31</f>
        <v/>
      </c>
      <c r="I460" s="5">
        <f>'Home-Coverage'!H31</f>
        <v/>
      </c>
      <c r="J460" s="6">
        <f>'Home-Coverage'!I31</f>
        <v/>
      </c>
      <c r="K460" s="3">
        <f>'Home-Coverage'!J31</f>
        <v/>
      </c>
      <c r="L460" s="13">
        <f>'Home-Coverage'!K31</f>
        <v/>
      </c>
    </row>
    <row r="461" ht="18" customHeight="1" s="96">
      <c r="A461" s="93" t="inlineStr">
        <is>
          <t>Person C</t>
        </is>
      </c>
      <c r="B461" s="8">
        <f>'Home-Coverage'!A32</f>
        <v/>
      </c>
      <c r="C461" s="93">
        <f>'Home-Coverage'!A32</f>
        <v/>
      </c>
      <c r="D461" s="8">
        <f>'Home-Coverage'!C32</f>
        <v/>
      </c>
      <c r="E461" s="8">
        <f>'Home-Coverage'!D32</f>
        <v/>
      </c>
      <c r="F461" s="8">
        <f>'Home-Coverage'!E32</f>
        <v/>
      </c>
      <c r="G461" s="9">
        <f>'Home-Coverage'!F32</f>
        <v/>
      </c>
      <c r="H461" s="10">
        <f>'Home-Coverage'!G32</f>
        <v/>
      </c>
      <c r="I461" s="10">
        <f>'Home-Coverage'!H32</f>
        <v/>
      </c>
      <c r="J461" s="11">
        <f>'Home-Coverage'!I32</f>
        <v/>
      </c>
      <c r="K461" s="8">
        <f>'Home-Coverage'!J32</f>
        <v/>
      </c>
      <c r="L461" s="12">
        <f>'Home-Coverage'!K32</f>
        <v/>
      </c>
    </row>
    <row r="462" ht="18" customHeight="1" s="96">
      <c r="A462" s="2" t="inlineStr">
        <is>
          <t>Person C</t>
        </is>
      </c>
      <c r="B462" s="3">
        <f>'Home-Coverage'!A33</f>
        <v/>
      </c>
      <c r="C462" s="2">
        <f>'Home-Coverage'!A33</f>
        <v/>
      </c>
      <c r="D462" s="3">
        <f>'Home-Coverage'!C33</f>
        <v/>
      </c>
      <c r="E462" s="3">
        <f>'Home-Coverage'!D33</f>
        <v/>
      </c>
      <c r="F462" s="3">
        <f>'Home-Coverage'!E33</f>
        <v/>
      </c>
      <c r="G462" s="4">
        <f>'Home-Coverage'!F33</f>
        <v/>
      </c>
      <c r="H462" s="5">
        <f>'Home-Coverage'!G33</f>
        <v/>
      </c>
      <c r="I462" s="5">
        <f>'Home-Coverage'!H33</f>
        <v/>
      </c>
      <c r="J462" s="6">
        <f>'Home-Coverage'!I33</f>
        <v/>
      </c>
      <c r="K462" s="3">
        <f>'Home-Coverage'!J33</f>
        <v/>
      </c>
      <c r="L462" s="13">
        <f>'Home-Coverage'!K33</f>
        <v/>
      </c>
    </row>
    <row r="463" ht="18" customHeight="1" s="96">
      <c r="A463" s="93" t="inlineStr">
        <is>
          <t>Person C</t>
        </is>
      </c>
      <c r="B463" s="8">
        <f>'Home-Coverage'!A34</f>
        <v/>
      </c>
      <c r="C463" s="93">
        <f>'Home-Coverage'!A34</f>
        <v/>
      </c>
      <c r="D463" s="8">
        <f>'Home-Coverage'!C34</f>
        <v/>
      </c>
      <c r="E463" s="8">
        <f>'Home-Coverage'!D34</f>
        <v/>
      </c>
      <c r="F463" s="8">
        <f>'Home-Coverage'!E34</f>
        <v/>
      </c>
      <c r="G463" s="9">
        <f>'Home-Coverage'!F34</f>
        <v/>
      </c>
      <c r="H463" s="10">
        <f>'Home-Coverage'!G34</f>
        <v/>
      </c>
      <c r="I463" s="10">
        <f>'Home-Coverage'!H34</f>
        <v/>
      </c>
      <c r="J463" s="11">
        <f>'Home-Coverage'!I34</f>
        <v/>
      </c>
      <c r="K463" s="8">
        <f>'Home-Coverage'!J34</f>
        <v/>
      </c>
      <c r="L463" s="12">
        <f>'Home-Coverage'!K34</f>
        <v/>
      </c>
    </row>
    <row r="464" ht="18" customHeight="1" s="96">
      <c r="A464" s="2" t="inlineStr">
        <is>
          <t>Person C</t>
        </is>
      </c>
      <c r="B464" s="3">
        <f>'Home-Coverage'!A35</f>
        <v/>
      </c>
      <c r="C464" s="2">
        <f>'Home-Coverage'!A35</f>
        <v/>
      </c>
      <c r="D464" s="3">
        <f>'Home-Coverage'!C35</f>
        <v/>
      </c>
      <c r="E464" s="3">
        <f>'Home-Coverage'!D35</f>
        <v/>
      </c>
      <c r="F464" s="3">
        <f>'Home-Coverage'!E35</f>
        <v/>
      </c>
      <c r="G464" s="4">
        <f>'Home-Coverage'!F35</f>
        <v/>
      </c>
      <c r="H464" s="5">
        <f>'Home-Coverage'!G35</f>
        <v/>
      </c>
      <c r="I464" s="5">
        <f>'Home-Coverage'!H35</f>
        <v/>
      </c>
      <c r="J464" s="6">
        <f>'Home-Coverage'!I35</f>
        <v/>
      </c>
      <c r="K464" s="3">
        <f>'Home-Coverage'!J35</f>
        <v/>
      </c>
      <c r="L464" s="13">
        <f>'Home-Coverage'!K35</f>
        <v/>
      </c>
    </row>
    <row r="465" ht="18" customHeight="1" s="96">
      <c r="A465" s="93" t="inlineStr">
        <is>
          <t>Person C</t>
        </is>
      </c>
      <c r="B465" s="8">
        <f>'Home-Coverage'!A36</f>
        <v/>
      </c>
      <c r="C465" s="93">
        <f>'Home-Coverage'!A36</f>
        <v/>
      </c>
      <c r="D465" s="8">
        <f>'Home-Coverage'!C36</f>
        <v/>
      </c>
      <c r="E465" s="8">
        <f>'Home-Coverage'!D36</f>
        <v/>
      </c>
      <c r="F465" s="8">
        <f>'Home-Coverage'!E36</f>
        <v/>
      </c>
      <c r="G465" s="9">
        <f>'Home-Coverage'!F36</f>
        <v/>
      </c>
      <c r="H465" s="10">
        <f>'Home-Coverage'!G36</f>
        <v/>
      </c>
      <c r="I465" s="10">
        <f>'Home-Coverage'!H36</f>
        <v/>
      </c>
      <c r="J465" s="11">
        <f>'Home-Coverage'!I36</f>
        <v/>
      </c>
      <c r="K465" s="8">
        <f>'Home-Coverage'!J36</f>
        <v/>
      </c>
      <c r="L465" s="12">
        <f>'Home-Coverage'!K36</f>
        <v/>
      </c>
    </row>
    <row r="466" ht="18" customHeight="1" s="96">
      <c r="A466" s="2" t="inlineStr">
        <is>
          <t>Person C</t>
        </is>
      </c>
      <c r="B466" s="3">
        <f>'Home-Coverage'!A37</f>
        <v/>
      </c>
      <c r="C466" s="2">
        <f>'Home-Coverage'!A37</f>
        <v/>
      </c>
      <c r="D466" s="3">
        <f>'Home-Coverage'!C37</f>
        <v/>
      </c>
      <c r="E466" s="3">
        <f>'Home-Coverage'!D37</f>
        <v/>
      </c>
      <c r="F466" s="3">
        <f>'Home-Coverage'!E37</f>
        <v/>
      </c>
      <c r="G466" s="4">
        <f>'Home-Coverage'!F37</f>
        <v/>
      </c>
      <c r="H466" s="5">
        <f>'Home-Coverage'!G37</f>
        <v/>
      </c>
      <c r="I466" s="5">
        <f>'Home-Coverage'!H37</f>
        <v/>
      </c>
      <c r="J466" s="6">
        <f>'Home-Coverage'!I37</f>
        <v/>
      </c>
      <c r="K466" s="3">
        <f>'Home-Coverage'!J37</f>
        <v/>
      </c>
      <c r="L466" s="13">
        <f>'Home-Coverage'!K37</f>
        <v/>
      </c>
    </row>
    <row r="467" ht="18" customHeight="1" s="96">
      <c r="A467" s="93" t="inlineStr">
        <is>
          <t>Person C</t>
        </is>
      </c>
      <c r="B467" s="8">
        <f>'Home-Coverage'!A38</f>
        <v/>
      </c>
      <c r="C467" s="93">
        <f>'Home-Coverage'!A38</f>
        <v/>
      </c>
      <c r="D467" s="8">
        <f>'Home-Coverage'!C38</f>
        <v/>
      </c>
      <c r="E467" s="8">
        <f>'Home-Coverage'!D38</f>
        <v/>
      </c>
      <c r="F467" s="8">
        <f>'Home-Coverage'!E38</f>
        <v/>
      </c>
      <c r="G467" s="9">
        <f>'Home-Coverage'!F38</f>
        <v/>
      </c>
      <c r="H467" s="10">
        <f>'Home-Coverage'!G38</f>
        <v/>
      </c>
      <c r="I467" s="10">
        <f>'Home-Coverage'!H38</f>
        <v/>
      </c>
      <c r="J467" s="11">
        <f>'Home-Coverage'!I38</f>
        <v/>
      </c>
      <c r="K467" s="8">
        <f>'Home-Coverage'!J38</f>
        <v/>
      </c>
      <c r="L467" s="12">
        <f>'Home-Coverage'!K38</f>
        <v/>
      </c>
    </row>
    <row r="468" ht="18" customHeight="1" s="96">
      <c r="A468" s="2" t="inlineStr">
        <is>
          <t>Person C</t>
        </is>
      </c>
      <c r="B468" s="3">
        <f>'Home-Coverage'!A39</f>
        <v/>
      </c>
      <c r="C468" s="2">
        <f>'Home-Coverage'!A39</f>
        <v/>
      </c>
      <c r="D468" s="3">
        <f>'Home-Coverage'!C39</f>
        <v/>
      </c>
      <c r="E468" s="3">
        <f>'Home-Coverage'!D39</f>
        <v/>
      </c>
      <c r="F468" s="3">
        <f>'Home-Coverage'!E39</f>
        <v/>
      </c>
      <c r="G468" s="4">
        <f>'Home-Coverage'!F39</f>
        <v/>
      </c>
      <c r="H468" s="5">
        <f>'Home-Coverage'!G39</f>
        <v/>
      </c>
      <c r="I468" s="5">
        <f>'Home-Coverage'!H39</f>
        <v/>
      </c>
      <c r="J468" s="6">
        <f>'Home-Coverage'!I39</f>
        <v/>
      </c>
      <c r="K468" s="3">
        <f>'Home-Coverage'!J39</f>
        <v/>
      </c>
      <c r="L468" s="13">
        <f>'Home-Coverage'!K39</f>
        <v/>
      </c>
    </row>
    <row r="469" ht="18" customHeight="1" s="96">
      <c r="A469" s="93" t="inlineStr">
        <is>
          <t>Person C</t>
        </is>
      </c>
      <c r="B469" s="8">
        <f>'Home-Coverage'!A40</f>
        <v/>
      </c>
      <c r="C469" s="93">
        <f>'Home-Coverage'!A40</f>
        <v/>
      </c>
      <c r="D469" s="8">
        <f>'Home-Coverage'!C40</f>
        <v/>
      </c>
      <c r="E469" s="8">
        <f>'Home-Coverage'!D40</f>
        <v/>
      </c>
      <c r="F469" s="8">
        <f>'Home-Coverage'!E40</f>
        <v/>
      </c>
      <c r="G469" s="9">
        <f>'Home-Coverage'!F40</f>
        <v/>
      </c>
      <c r="H469" s="10">
        <f>'Home-Coverage'!G40</f>
        <v/>
      </c>
      <c r="I469" s="10">
        <f>'Home-Coverage'!H40</f>
        <v/>
      </c>
      <c r="J469" s="11">
        <f>'Home-Coverage'!I40</f>
        <v/>
      </c>
      <c r="K469" s="8">
        <f>'Home-Coverage'!J40</f>
        <v/>
      </c>
      <c r="L469" s="12">
        <f>'Home-Coverage'!K40</f>
        <v/>
      </c>
    </row>
    <row r="470" ht="18" customHeight="1" s="96">
      <c r="A470" s="2" t="inlineStr">
        <is>
          <t>Person C</t>
        </is>
      </c>
      <c r="B470" s="3">
        <f>'Home-Coverage'!A41</f>
        <v/>
      </c>
      <c r="C470" s="2">
        <f>'Home-Coverage'!A41</f>
        <v/>
      </c>
      <c r="D470" s="3">
        <f>'Home-Coverage'!C41</f>
        <v/>
      </c>
      <c r="E470" s="3">
        <f>'Home-Coverage'!D41</f>
        <v/>
      </c>
      <c r="F470" s="3">
        <f>'Home-Coverage'!E41</f>
        <v/>
      </c>
      <c r="G470" s="4">
        <f>'Home-Coverage'!F41</f>
        <v/>
      </c>
      <c r="H470" s="5">
        <f>'Home-Coverage'!G41</f>
        <v/>
      </c>
      <c r="I470" s="5">
        <f>'Home-Coverage'!H41</f>
        <v/>
      </c>
      <c r="J470" s="6">
        <f>'Home-Coverage'!I41</f>
        <v/>
      </c>
      <c r="K470" s="3">
        <f>'Home-Coverage'!J41</f>
        <v/>
      </c>
      <c r="L470" s="13">
        <f>'Home-Coverage'!K41</f>
        <v/>
      </c>
    </row>
    <row r="471" ht="18" customHeight="1" s="96">
      <c r="A471" s="93" t="inlineStr">
        <is>
          <t>Person C</t>
        </is>
      </c>
      <c r="B471" s="8">
        <f>'Home-Coverage'!A42</f>
        <v/>
      </c>
      <c r="C471" s="93">
        <f>'Home-Coverage'!A42</f>
        <v/>
      </c>
      <c r="D471" s="8">
        <f>'Home-Coverage'!C42</f>
        <v/>
      </c>
      <c r="E471" s="8">
        <f>'Home-Coverage'!D42</f>
        <v/>
      </c>
      <c r="F471" s="8">
        <f>'Home-Coverage'!E42</f>
        <v/>
      </c>
      <c r="G471" s="9">
        <f>'Home-Coverage'!F42</f>
        <v/>
      </c>
      <c r="H471" s="10">
        <f>'Home-Coverage'!G42</f>
        <v/>
      </c>
      <c r="I471" s="10">
        <f>'Home-Coverage'!H42</f>
        <v/>
      </c>
      <c r="J471" s="11">
        <f>'Home-Coverage'!I42</f>
        <v/>
      </c>
      <c r="K471" s="8">
        <f>'Home-Coverage'!J42</f>
        <v/>
      </c>
      <c r="L471" s="12">
        <f>'Home-Coverage'!K42</f>
        <v/>
      </c>
    </row>
    <row r="472" ht="18" customHeight="1" s="96">
      <c r="A472" s="2" t="inlineStr">
        <is>
          <t>Person C</t>
        </is>
      </c>
      <c r="B472" s="3">
        <f>'Home-Coverage'!A43</f>
        <v/>
      </c>
      <c r="C472" s="2">
        <f>'Home-Coverage'!A43</f>
        <v/>
      </c>
      <c r="D472" s="3">
        <f>'Home-Coverage'!C43</f>
        <v/>
      </c>
      <c r="E472" s="3">
        <f>'Home-Coverage'!D43</f>
        <v/>
      </c>
      <c r="F472" s="3">
        <f>'Home-Coverage'!E43</f>
        <v/>
      </c>
      <c r="G472" s="4">
        <f>'Home-Coverage'!F43</f>
        <v/>
      </c>
      <c r="H472" s="5">
        <f>'Home-Coverage'!G43</f>
        <v/>
      </c>
      <c r="I472" s="5">
        <f>'Home-Coverage'!H43</f>
        <v/>
      </c>
      <c r="J472" s="6">
        <f>'Home-Coverage'!I43</f>
        <v/>
      </c>
      <c r="K472" s="3">
        <f>'Home-Coverage'!J43</f>
        <v/>
      </c>
      <c r="L472" s="13">
        <f>'Home-Coverage'!K43</f>
        <v/>
      </c>
    </row>
    <row r="473" ht="18" customHeight="1" s="96">
      <c r="A473" s="93" t="inlineStr">
        <is>
          <t>Person C</t>
        </is>
      </c>
      <c r="B473" s="8">
        <f>'Home-Coverage'!A44</f>
        <v/>
      </c>
      <c r="C473" s="93">
        <f>'Home-Coverage'!A44</f>
        <v/>
      </c>
      <c r="D473" s="8">
        <f>'Home-Coverage'!C44</f>
        <v/>
      </c>
      <c r="E473" s="8">
        <f>'Home-Coverage'!D44</f>
        <v/>
      </c>
      <c r="F473" s="8">
        <f>'Home-Coverage'!E44</f>
        <v/>
      </c>
      <c r="G473" s="9">
        <f>'Home-Coverage'!F44</f>
        <v/>
      </c>
      <c r="H473" s="10">
        <f>'Home-Coverage'!G44</f>
        <v/>
      </c>
      <c r="I473" s="10">
        <f>'Home-Coverage'!H44</f>
        <v/>
      </c>
      <c r="J473" s="11">
        <f>'Home-Coverage'!I44</f>
        <v/>
      </c>
      <c r="K473" s="8">
        <f>'Home-Coverage'!J44</f>
        <v/>
      </c>
      <c r="L473" s="12">
        <f>'Home-Coverage'!K44</f>
        <v/>
      </c>
    </row>
    <row r="474" ht="18" customHeight="1" s="96">
      <c r="A474" s="2" t="inlineStr">
        <is>
          <t>Person C</t>
        </is>
      </c>
      <c r="B474" s="3">
        <f>'Home-Coverage'!A45</f>
        <v/>
      </c>
      <c r="C474" s="2">
        <f>'Home-Coverage'!A45</f>
        <v/>
      </c>
      <c r="D474" s="3">
        <f>'Home-Coverage'!C45</f>
        <v/>
      </c>
      <c r="E474" s="3">
        <f>'Home-Coverage'!D45</f>
        <v/>
      </c>
      <c r="F474" s="3">
        <f>'Home-Coverage'!E45</f>
        <v/>
      </c>
      <c r="G474" s="4">
        <f>'Home-Coverage'!F45</f>
        <v/>
      </c>
      <c r="H474" s="5">
        <f>'Home-Coverage'!G45</f>
        <v/>
      </c>
      <c r="I474" s="5">
        <f>'Home-Coverage'!H45</f>
        <v/>
      </c>
      <c r="J474" s="6">
        <f>'Home-Coverage'!I45</f>
        <v/>
      </c>
      <c r="K474" s="3">
        <f>'Home-Coverage'!J45</f>
        <v/>
      </c>
      <c r="L474" s="13">
        <f>'Home-Coverage'!K45</f>
        <v/>
      </c>
    </row>
    <row r="475" ht="18" customHeight="1" s="96">
      <c r="A475" s="93" t="inlineStr">
        <is>
          <t>Person C</t>
        </is>
      </c>
      <c r="B475" s="8">
        <f>'Home-Coverage'!A46</f>
        <v/>
      </c>
      <c r="C475" s="93">
        <f>'Home-Coverage'!A46</f>
        <v/>
      </c>
      <c r="D475" s="8">
        <f>'Home-Coverage'!C46</f>
        <v/>
      </c>
      <c r="E475" s="8">
        <f>'Home-Coverage'!D46</f>
        <v/>
      </c>
      <c r="F475" s="8">
        <f>'Home-Coverage'!E46</f>
        <v/>
      </c>
      <c r="G475" s="9">
        <f>'Home-Coverage'!F46</f>
        <v/>
      </c>
      <c r="H475" s="10">
        <f>'Home-Coverage'!G46</f>
        <v/>
      </c>
      <c r="I475" s="10">
        <f>'Home-Coverage'!H46</f>
        <v/>
      </c>
      <c r="J475" s="11">
        <f>'Home-Coverage'!I46</f>
        <v/>
      </c>
      <c r="K475" s="8">
        <f>'Home-Coverage'!J46</f>
        <v/>
      </c>
      <c r="L475" s="12">
        <f>'Home-Coverage'!K46</f>
        <v/>
      </c>
    </row>
    <row r="476" ht="18" customHeight="1" s="96">
      <c r="A476" s="2" t="inlineStr">
        <is>
          <t>Person C</t>
        </is>
      </c>
      <c r="B476" s="3">
        <f>'Home-Coverage'!A47</f>
        <v/>
      </c>
      <c r="C476" s="2">
        <f>'Home-Coverage'!A47</f>
        <v/>
      </c>
      <c r="D476" s="3">
        <f>'Home-Coverage'!C47</f>
        <v/>
      </c>
      <c r="E476" s="3">
        <f>'Home-Coverage'!D47</f>
        <v/>
      </c>
      <c r="F476" s="3">
        <f>'Home-Coverage'!E47</f>
        <v/>
      </c>
      <c r="G476" s="4">
        <f>'Home-Coverage'!F47</f>
        <v/>
      </c>
      <c r="H476" s="5">
        <f>'Home-Coverage'!G47</f>
        <v/>
      </c>
      <c r="I476" s="5">
        <f>'Home-Coverage'!H47</f>
        <v/>
      </c>
      <c r="J476" s="6">
        <f>'Home-Coverage'!I47</f>
        <v/>
      </c>
      <c r="K476" s="3">
        <f>'Home-Coverage'!J47</f>
        <v/>
      </c>
      <c r="L476" s="13">
        <f>'Home-Coverage'!K47</f>
        <v/>
      </c>
    </row>
    <row r="477" ht="18" customHeight="1" s="96">
      <c r="A477" s="93" t="inlineStr">
        <is>
          <t>Person C</t>
        </is>
      </c>
      <c r="B477" s="8">
        <f>'Home-Coverage'!A48</f>
        <v/>
      </c>
      <c r="C477" s="93">
        <f>'Home-Coverage'!A48</f>
        <v/>
      </c>
      <c r="D477" s="8">
        <f>'Home-Coverage'!C48</f>
        <v/>
      </c>
      <c r="E477" s="8">
        <f>'Home-Coverage'!D48</f>
        <v/>
      </c>
      <c r="F477" s="8">
        <f>'Home-Coverage'!E48</f>
        <v/>
      </c>
      <c r="G477" s="9">
        <f>'Home-Coverage'!F48</f>
        <v/>
      </c>
      <c r="H477" s="10">
        <f>'Home-Coverage'!G48</f>
        <v/>
      </c>
      <c r="I477" s="10">
        <f>'Home-Coverage'!H48</f>
        <v/>
      </c>
      <c r="J477" s="11">
        <f>'Home-Coverage'!I48</f>
        <v/>
      </c>
      <c r="K477" s="8">
        <f>'Home-Coverage'!J48</f>
        <v/>
      </c>
      <c r="L477" s="12">
        <f>'Home-Coverage'!K48</f>
        <v/>
      </c>
    </row>
    <row r="478" ht="18" customHeight="1" s="96">
      <c r="A478" s="2" t="inlineStr">
        <is>
          <t>Person C</t>
        </is>
      </c>
      <c r="B478" s="3">
        <f>'Home-Coverage'!A49</f>
        <v/>
      </c>
      <c r="C478" s="2">
        <f>'Home-Coverage'!A49</f>
        <v/>
      </c>
      <c r="D478" s="3">
        <f>'Home-Coverage'!C49</f>
        <v/>
      </c>
      <c r="E478" s="3">
        <f>'Home-Coverage'!D49</f>
        <v/>
      </c>
      <c r="F478" s="3">
        <f>'Home-Coverage'!E49</f>
        <v/>
      </c>
      <c r="G478" s="4">
        <f>'Home-Coverage'!F49</f>
        <v/>
      </c>
      <c r="H478" s="5">
        <f>'Home-Coverage'!G49</f>
        <v/>
      </c>
      <c r="I478" s="5">
        <f>'Home-Coverage'!H49</f>
        <v/>
      </c>
      <c r="J478" s="6">
        <f>'Home-Coverage'!I49</f>
        <v/>
      </c>
      <c r="K478" s="3">
        <f>'Home-Coverage'!J49</f>
        <v/>
      </c>
      <c r="L478" s="13">
        <f>'Home-Coverage'!K49</f>
        <v/>
      </c>
    </row>
    <row r="479" ht="18" customHeight="1" s="96">
      <c r="A479" s="93" t="inlineStr">
        <is>
          <t>Person C</t>
        </is>
      </c>
      <c r="B479" s="8">
        <f>'Home-Coverage'!A50</f>
        <v/>
      </c>
      <c r="C479" s="93">
        <f>'Home-Coverage'!A50</f>
        <v/>
      </c>
      <c r="D479" s="8">
        <f>'Home-Coverage'!C50</f>
        <v/>
      </c>
      <c r="E479" s="8">
        <f>'Home-Coverage'!D50</f>
        <v/>
      </c>
      <c r="F479" s="8">
        <f>'Home-Coverage'!E50</f>
        <v/>
      </c>
      <c r="G479" s="9">
        <f>'Home-Coverage'!F50</f>
        <v/>
      </c>
      <c r="H479" s="10">
        <f>'Home-Coverage'!G50</f>
        <v/>
      </c>
      <c r="I479" s="10">
        <f>'Home-Coverage'!H50</f>
        <v/>
      </c>
      <c r="J479" s="11">
        <f>'Home-Coverage'!I50</f>
        <v/>
      </c>
      <c r="K479" s="8">
        <f>'Home-Coverage'!J50</f>
        <v/>
      </c>
      <c r="L479" s="12">
        <f>'Home-Coverage'!K50</f>
        <v/>
      </c>
    </row>
    <row r="480" ht="18" customHeight="1" s="96">
      <c r="A480" s="2" t="inlineStr">
        <is>
          <t>Person C</t>
        </is>
      </c>
      <c r="B480" s="3">
        <f>'Home-Coverage'!A51</f>
        <v/>
      </c>
      <c r="C480" s="2">
        <f>'Home-Coverage'!A51</f>
        <v/>
      </c>
      <c r="D480" s="3">
        <f>'Home-Coverage'!C51</f>
        <v/>
      </c>
      <c r="E480" s="3">
        <f>'Home-Coverage'!D51</f>
        <v/>
      </c>
      <c r="F480" s="3">
        <f>'Home-Coverage'!E51</f>
        <v/>
      </c>
      <c r="G480" s="4">
        <f>'Home-Coverage'!F51</f>
        <v/>
      </c>
      <c r="H480" s="5">
        <f>'Home-Coverage'!G51</f>
        <v/>
      </c>
      <c r="I480" s="5">
        <f>'Home-Coverage'!H51</f>
        <v/>
      </c>
      <c r="J480" s="6">
        <f>'Home-Coverage'!I51</f>
        <v/>
      </c>
      <c r="K480" s="3">
        <f>'Home-Coverage'!J51</f>
        <v/>
      </c>
      <c r="L480" s="13">
        <f>'Home-Coverage'!K51</f>
        <v/>
      </c>
    </row>
    <row r="481" ht="18" customHeight="1" s="96">
      <c r="A481" s="93" t="inlineStr">
        <is>
          <t>Person C</t>
        </is>
      </c>
      <c r="B481" s="8">
        <f>'Home-Coverage'!A52</f>
        <v/>
      </c>
      <c r="C481" s="93">
        <f>'Home-Coverage'!A52</f>
        <v/>
      </c>
      <c r="D481" s="8">
        <f>'Home-Coverage'!C52</f>
        <v/>
      </c>
      <c r="E481" s="8">
        <f>'Home-Coverage'!D52</f>
        <v/>
      </c>
      <c r="F481" s="8">
        <f>'Home-Coverage'!E52</f>
        <v/>
      </c>
      <c r="G481" s="9">
        <f>'Home-Coverage'!F52</f>
        <v/>
      </c>
      <c r="H481" s="10">
        <f>'Home-Coverage'!G52</f>
        <v/>
      </c>
      <c r="I481" s="10">
        <f>'Home-Coverage'!H52</f>
        <v/>
      </c>
      <c r="J481" s="11">
        <f>'Home-Coverage'!I52</f>
        <v/>
      </c>
      <c r="K481" s="8">
        <f>'Home-Coverage'!J52</f>
        <v/>
      </c>
      <c r="L481" s="12">
        <f>'Home-Coverage'!K52</f>
        <v/>
      </c>
    </row>
    <row r="482" ht="18" customHeight="1" s="96">
      <c r="A482" s="2" t="inlineStr">
        <is>
          <t>Person C</t>
        </is>
      </c>
      <c r="B482" s="3">
        <f>'Home-Coverage'!A53</f>
        <v/>
      </c>
      <c r="C482" s="2">
        <f>'Home-Coverage'!A53</f>
        <v/>
      </c>
      <c r="D482" s="3">
        <f>'Home-Coverage'!C53</f>
        <v/>
      </c>
      <c r="E482" s="3">
        <f>'Home-Coverage'!D53</f>
        <v/>
      </c>
      <c r="F482" s="3">
        <f>'Home-Coverage'!E53</f>
        <v/>
      </c>
      <c r="G482" s="4">
        <f>'Home-Coverage'!F53</f>
        <v/>
      </c>
      <c r="H482" s="5">
        <f>'Home-Coverage'!G53</f>
        <v/>
      </c>
      <c r="I482" s="5">
        <f>'Home-Coverage'!H53</f>
        <v/>
      </c>
      <c r="J482" s="6">
        <f>'Home-Coverage'!I53</f>
        <v/>
      </c>
      <c r="K482" s="3">
        <f>'Home-Coverage'!J53</f>
        <v/>
      </c>
      <c r="L482" s="13">
        <f>'Home-Coverage'!K53</f>
        <v/>
      </c>
    </row>
    <row r="483" ht="18" customHeight="1" s="96">
      <c r="A483" s="93" t="inlineStr">
        <is>
          <t>Person C</t>
        </is>
      </c>
      <c r="B483" s="8">
        <f>'Home-Coverage'!A54</f>
        <v/>
      </c>
      <c r="C483" s="93">
        <f>'Home-Coverage'!A54</f>
        <v/>
      </c>
      <c r="D483" s="8">
        <f>'Home-Coverage'!C54</f>
        <v/>
      </c>
      <c r="E483" s="8">
        <f>'Home-Coverage'!D54</f>
        <v/>
      </c>
      <c r="F483" s="8">
        <f>'Home-Coverage'!E54</f>
        <v/>
      </c>
      <c r="G483" s="9">
        <f>'Home-Coverage'!F54</f>
        <v/>
      </c>
      <c r="H483" s="10">
        <f>'Home-Coverage'!G54</f>
        <v/>
      </c>
      <c r="I483" s="10">
        <f>'Home-Coverage'!H54</f>
        <v/>
      </c>
      <c r="J483" s="11">
        <f>'Home-Coverage'!I54</f>
        <v/>
      </c>
      <c r="K483" s="8">
        <f>'Home-Coverage'!J54</f>
        <v/>
      </c>
      <c r="L483" s="12">
        <f>'Home-Coverage'!K54</f>
        <v/>
      </c>
    </row>
    <row r="484" ht="18" customHeight="1" s="96">
      <c r="A484" s="2" t="inlineStr">
        <is>
          <t>Person C</t>
        </is>
      </c>
      <c r="B484" s="3">
        <f>'Home-Coverage'!A55</f>
        <v/>
      </c>
      <c r="C484" s="2">
        <f>'Home-Coverage'!A55</f>
        <v/>
      </c>
      <c r="D484" s="3">
        <f>'Home-Coverage'!C55</f>
        <v/>
      </c>
      <c r="E484" s="3">
        <f>'Home-Coverage'!D55</f>
        <v/>
      </c>
      <c r="F484" s="3">
        <f>'Home-Coverage'!E55</f>
        <v/>
      </c>
      <c r="G484" s="4">
        <f>'Home-Coverage'!F55</f>
        <v/>
      </c>
      <c r="H484" s="5">
        <f>'Home-Coverage'!G55</f>
        <v/>
      </c>
      <c r="I484" s="5">
        <f>'Home-Coverage'!H55</f>
        <v/>
      </c>
      <c r="J484" s="6">
        <f>'Home-Coverage'!I55</f>
        <v/>
      </c>
      <c r="K484" s="3">
        <f>'Home-Coverage'!J55</f>
        <v/>
      </c>
      <c r="L484" s="13">
        <f>'Home-Coverage'!K55</f>
        <v/>
      </c>
    </row>
    <row r="485" ht="18" customHeight="1" s="96">
      <c r="A485" s="93" t="inlineStr">
        <is>
          <t>Person C</t>
        </is>
      </c>
      <c r="B485" s="8">
        <f>'Home-Coverage'!A56</f>
        <v/>
      </c>
      <c r="C485" s="93">
        <f>'Home-Coverage'!A56</f>
        <v/>
      </c>
      <c r="D485" s="8">
        <f>'Home-Coverage'!C56</f>
        <v/>
      </c>
      <c r="E485" s="8">
        <f>'Home-Coverage'!D56</f>
        <v/>
      </c>
      <c r="F485" s="8">
        <f>'Home-Coverage'!E56</f>
        <v/>
      </c>
      <c r="G485" s="9">
        <f>'Home-Coverage'!F56</f>
        <v/>
      </c>
      <c r="H485" s="10">
        <f>'Home-Coverage'!G56</f>
        <v/>
      </c>
      <c r="I485" s="10">
        <f>'Home-Coverage'!H56</f>
        <v/>
      </c>
      <c r="J485" s="11">
        <f>'Home-Coverage'!I56</f>
        <v/>
      </c>
      <c r="K485" s="8">
        <f>'Home-Coverage'!J56</f>
        <v/>
      </c>
      <c r="L485" s="12">
        <f>'Home-Coverage'!K56</f>
        <v/>
      </c>
    </row>
    <row r="486" ht="18" customHeight="1" s="96">
      <c r="A486" s="2" t="inlineStr">
        <is>
          <t>Person C</t>
        </is>
      </c>
      <c r="B486" s="3">
        <f>'Home-Coverage'!A57</f>
        <v/>
      </c>
      <c r="C486" s="2">
        <f>'Home-Coverage'!A57</f>
        <v/>
      </c>
      <c r="D486" s="3">
        <f>'Home-Coverage'!C57</f>
        <v/>
      </c>
      <c r="E486" s="3">
        <f>'Home-Coverage'!D57</f>
        <v/>
      </c>
      <c r="F486" s="3">
        <f>'Home-Coverage'!E57</f>
        <v/>
      </c>
      <c r="G486" s="4">
        <f>'Home-Coverage'!F57</f>
        <v/>
      </c>
      <c r="H486" s="5">
        <f>'Home-Coverage'!G57</f>
        <v/>
      </c>
      <c r="I486" s="5">
        <f>'Home-Coverage'!H57</f>
        <v/>
      </c>
      <c r="J486" s="6">
        <f>'Home-Coverage'!I57</f>
        <v/>
      </c>
      <c r="K486" s="3">
        <f>'Home-Coverage'!J57</f>
        <v/>
      </c>
      <c r="L486" s="13">
        <f>'Home-Coverage'!K57</f>
        <v/>
      </c>
    </row>
    <row r="487" ht="18" customHeight="1" s="96">
      <c r="A487" s="93" t="inlineStr">
        <is>
          <t>Person C</t>
        </is>
      </c>
      <c r="B487" s="8">
        <f>'Home-Coverage'!A58</f>
        <v/>
      </c>
      <c r="C487" s="93">
        <f>'Home-Coverage'!A58</f>
        <v/>
      </c>
      <c r="D487" s="8">
        <f>'Home-Coverage'!C58</f>
        <v/>
      </c>
      <c r="E487" s="8">
        <f>'Home-Coverage'!D58</f>
        <v/>
      </c>
      <c r="F487" s="8">
        <f>'Home-Coverage'!E58</f>
        <v/>
      </c>
      <c r="G487" s="9">
        <f>'Home-Coverage'!F58</f>
        <v/>
      </c>
      <c r="H487" s="10">
        <f>'Home-Coverage'!G58</f>
        <v/>
      </c>
      <c r="I487" s="10">
        <f>'Home-Coverage'!H58</f>
        <v/>
      </c>
      <c r="J487" s="11">
        <f>'Home-Coverage'!I58</f>
        <v/>
      </c>
      <c r="K487" s="8">
        <f>'Home-Coverage'!J58</f>
        <v/>
      </c>
      <c r="L487" s="12">
        <f>'Home-Coverage'!K58</f>
        <v/>
      </c>
    </row>
    <row r="488" ht="18" customHeight="1" s="96">
      <c r="A488" s="2" t="inlineStr">
        <is>
          <t>Person C</t>
        </is>
      </c>
      <c r="B488" s="3">
        <f>'Home-Coverage'!A59</f>
        <v/>
      </c>
      <c r="C488" s="2">
        <f>'Home-Coverage'!A59</f>
        <v/>
      </c>
      <c r="D488" s="3">
        <f>'Home-Coverage'!C59</f>
        <v/>
      </c>
      <c r="E488" s="3">
        <f>'Home-Coverage'!D59</f>
        <v/>
      </c>
      <c r="F488" s="3">
        <f>'Home-Coverage'!E59</f>
        <v/>
      </c>
      <c r="G488" s="4">
        <f>'Home-Coverage'!F59</f>
        <v/>
      </c>
      <c r="H488" s="5">
        <f>'Home-Coverage'!G59</f>
        <v/>
      </c>
      <c r="I488" s="5">
        <f>'Home-Coverage'!H59</f>
        <v/>
      </c>
      <c r="J488" s="6">
        <f>'Home-Coverage'!I59</f>
        <v/>
      </c>
      <c r="K488" s="3">
        <f>'Home-Coverage'!J59</f>
        <v/>
      </c>
      <c r="L488" s="13">
        <f>'Home-Coverage'!K59</f>
        <v/>
      </c>
    </row>
    <row r="489" ht="18" customHeight="1" s="96">
      <c r="A489" s="93" t="inlineStr">
        <is>
          <t>Person C</t>
        </is>
      </c>
      <c r="B489" s="8">
        <f>'Home-Coverage'!A60</f>
        <v/>
      </c>
      <c r="C489" s="93">
        <f>'Home-Coverage'!A60</f>
        <v/>
      </c>
      <c r="D489" s="8">
        <f>'Home-Coverage'!C60</f>
        <v/>
      </c>
      <c r="E489" s="8">
        <f>'Home-Coverage'!D60</f>
        <v/>
      </c>
      <c r="F489" s="8">
        <f>'Home-Coverage'!E60</f>
        <v/>
      </c>
      <c r="G489" s="9">
        <f>'Home-Coverage'!F60</f>
        <v/>
      </c>
      <c r="H489" s="10">
        <f>'Home-Coverage'!G60</f>
        <v/>
      </c>
      <c r="I489" s="10">
        <f>'Home-Coverage'!H60</f>
        <v/>
      </c>
      <c r="J489" s="11">
        <f>'Home-Coverage'!I60</f>
        <v/>
      </c>
      <c r="K489" s="8">
        <f>'Home-Coverage'!J60</f>
        <v/>
      </c>
      <c r="L489" s="12">
        <f>'Home-Coverage'!K60</f>
        <v/>
      </c>
    </row>
    <row r="490" ht="18" customHeight="1" s="96">
      <c r="A490" s="2" t="inlineStr">
        <is>
          <t>Person C</t>
        </is>
      </c>
      <c r="B490" s="3">
        <f>'Home-Coverage'!A61</f>
        <v/>
      </c>
      <c r="C490" s="2">
        <f>'Home-Coverage'!A61</f>
        <v/>
      </c>
      <c r="D490" s="3">
        <f>'Home-Coverage'!C61</f>
        <v/>
      </c>
      <c r="E490" s="3">
        <f>'Home-Coverage'!D61</f>
        <v/>
      </c>
      <c r="F490" s="3">
        <f>'Home-Coverage'!E61</f>
        <v/>
      </c>
      <c r="G490" s="4">
        <f>'Home-Coverage'!F61</f>
        <v/>
      </c>
      <c r="H490" s="5">
        <f>'Home-Coverage'!G61</f>
        <v/>
      </c>
      <c r="I490" s="5">
        <f>'Home-Coverage'!H61</f>
        <v/>
      </c>
      <c r="J490" s="6">
        <f>'Home-Coverage'!I61</f>
        <v/>
      </c>
      <c r="K490" s="3">
        <f>'Home-Coverage'!J61</f>
        <v/>
      </c>
      <c r="L490" s="13">
        <f>'Home-Coverage'!K61</f>
        <v/>
      </c>
    </row>
    <row r="491" ht="18" customHeight="1" s="96">
      <c r="A491" s="93" t="inlineStr">
        <is>
          <t>Person C</t>
        </is>
      </c>
      <c r="B491" s="8">
        <f>'Home-Coverage'!A62</f>
        <v/>
      </c>
      <c r="C491" s="93">
        <f>'Home-Coverage'!A62</f>
        <v/>
      </c>
      <c r="D491" s="8">
        <f>'Home-Coverage'!C62</f>
        <v/>
      </c>
      <c r="E491" s="8">
        <f>'Home-Coverage'!D62</f>
        <v/>
      </c>
      <c r="F491" s="8">
        <f>'Home-Coverage'!E62</f>
        <v/>
      </c>
      <c r="G491" s="9">
        <f>'Home-Coverage'!F62</f>
        <v/>
      </c>
      <c r="H491" s="10">
        <f>'Home-Coverage'!G62</f>
        <v/>
      </c>
      <c r="I491" s="10">
        <f>'Home-Coverage'!H62</f>
        <v/>
      </c>
      <c r="J491" s="11">
        <f>'Home-Coverage'!I62</f>
        <v/>
      </c>
      <c r="K491" s="8">
        <f>'Home-Coverage'!J62</f>
        <v/>
      </c>
      <c r="L491" s="12">
        <f>'Home-Coverage'!K62</f>
        <v/>
      </c>
    </row>
    <row r="492" ht="18" customHeight="1" s="96">
      <c r="A492" s="2" t="inlineStr">
        <is>
          <t>Person C</t>
        </is>
      </c>
      <c r="B492" s="3">
        <f>'Home-Coverage'!A63</f>
        <v/>
      </c>
      <c r="C492" s="2">
        <f>'Home-Coverage'!A63</f>
        <v/>
      </c>
      <c r="D492" s="3">
        <f>'Home-Coverage'!C63</f>
        <v/>
      </c>
      <c r="E492" s="3">
        <f>'Home-Coverage'!D63</f>
        <v/>
      </c>
      <c r="F492" s="3">
        <f>'Home-Coverage'!E63</f>
        <v/>
      </c>
      <c r="G492" s="4">
        <f>'Home-Coverage'!F63</f>
        <v/>
      </c>
      <c r="H492" s="5">
        <f>'Home-Coverage'!G63</f>
        <v/>
      </c>
      <c r="I492" s="5">
        <f>'Home-Coverage'!H63</f>
        <v/>
      </c>
      <c r="J492" s="6">
        <f>'Home-Coverage'!I63</f>
        <v/>
      </c>
      <c r="K492" s="3">
        <f>'Home-Coverage'!J63</f>
        <v/>
      </c>
      <c r="L492" s="13">
        <f>'Home-Coverage'!K63</f>
        <v/>
      </c>
    </row>
    <row r="493" ht="18" customHeight="1" s="96">
      <c r="A493" s="93" t="inlineStr">
        <is>
          <t>Person C</t>
        </is>
      </c>
      <c r="B493" s="8">
        <f>'Home-Coverage'!A64</f>
        <v/>
      </c>
      <c r="C493" s="93">
        <f>'Home-Coverage'!A64</f>
        <v/>
      </c>
      <c r="D493" s="8">
        <f>'Home-Coverage'!C64</f>
        <v/>
      </c>
      <c r="E493" s="8">
        <f>'Home-Coverage'!D64</f>
        <v/>
      </c>
      <c r="F493" s="8">
        <f>'Home-Coverage'!E64</f>
        <v/>
      </c>
      <c r="G493" s="9">
        <f>'Home-Coverage'!F64</f>
        <v/>
      </c>
      <c r="H493" s="10">
        <f>'Home-Coverage'!G64</f>
        <v/>
      </c>
      <c r="I493" s="10">
        <f>'Home-Coverage'!H64</f>
        <v/>
      </c>
      <c r="J493" s="11">
        <f>'Home-Coverage'!I64</f>
        <v/>
      </c>
      <c r="K493" s="8">
        <f>'Home-Coverage'!J64</f>
        <v/>
      </c>
      <c r="L493" s="12">
        <f>'Home-Coverage'!K64</f>
        <v/>
      </c>
    </row>
    <row r="494" ht="18" customHeight="1" s="96">
      <c r="A494" s="2" t="inlineStr">
        <is>
          <t>Person C</t>
        </is>
      </c>
      <c r="B494" s="3">
        <f>'Home-Coverage'!A65</f>
        <v/>
      </c>
      <c r="C494" s="2">
        <f>'Home-Coverage'!A65</f>
        <v/>
      </c>
      <c r="D494" s="3">
        <f>'Home-Coverage'!C65</f>
        <v/>
      </c>
      <c r="E494" s="3">
        <f>'Home-Coverage'!D65</f>
        <v/>
      </c>
      <c r="F494" s="3">
        <f>'Home-Coverage'!E65</f>
        <v/>
      </c>
      <c r="G494" s="4">
        <f>'Home-Coverage'!F65</f>
        <v/>
      </c>
      <c r="H494" s="5">
        <f>'Home-Coverage'!G65</f>
        <v/>
      </c>
      <c r="I494" s="5">
        <f>'Home-Coverage'!H65</f>
        <v/>
      </c>
      <c r="J494" s="6">
        <f>'Home-Coverage'!I65</f>
        <v/>
      </c>
      <c r="K494" s="3">
        <f>'Home-Coverage'!J65</f>
        <v/>
      </c>
      <c r="L494" s="13">
        <f>'Home-Coverage'!K65</f>
        <v/>
      </c>
    </row>
    <row r="495" ht="18" customHeight="1" s="96">
      <c r="A495" s="93" t="inlineStr">
        <is>
          <t>Person C</t>
        </is>
      </c>
      <c r="B495" s="8">
        <f>'Home-Coverage'!A66</f>
        <v/>
      </c>
      <c r="C495" s="93">
        <f>'Home-Coverage'!A66</f>
        <v/>
      </c>
      <c r="D495" s="8">
        <f>'Home-Coverage'!C66</f>
        <v/>
      </c>
      <c r="E495" s="8">
        <f>'Home-Coverage'!D66</f>
        <v/>
      </c>
      <c r="F495" s="8">
        <f>'Home-Coverage'!E66</f>
        <v/>
      </c>
      <c r="G495" s="9">
        <f>'Home-Coverage'!F66</f>
        <v/>
      </c>
      <c r="H495" s="10">
        <f>'Home-Coverage'!G66</f>
        <v/>
      </c>
      <c r="I495" s="10">
        <f>'Home-Coverage'!H66</f>
        <v/>
      </c>
      <c r="J495" s="11">
        <f>'Home-Coverage'!I66</f>
        <v/>
      </c>
      <c r="K495" s="8">
        <f>'Home-Coverage'!J66</f>
        <v/>
      </c>
      <c r="L495" s="12">
        <f>'Home-Coverage'!K66</f>
        <v/>
      </c>
    </row>
    <row r="496" ht="18" customHeight="1" s="96">
      <c r="A496" s="2" t="inlineStr">
        <is>
          <t>Person C</t>
        </is>
      </c>
      <c r="B496" s="3">
        <f>'Home-Coverage'!A67</f>
        <v/>
      </c>
      <c r="C496" s="2">
        <f>'Home-Coverage'!A67</f>
        <v/>
      </c>
      <c r="D496" s="3">
        <f>'Home-Coverage'!C67</f>
        <v/>
      </c>
      <c r="E496" s="3">
        <f>'Home-Coverage'!D67</f>
        <v/>
      </c>
      <c r="F496" s="3">
        <f>'Home-Coverage'!E67</f>
        <v/>
      </c>
      <c r="G496" s="4">
        <f>'Home-Coverage'!F67</f>
        <v/>
      </c>
      <c r="H496" s="5">
        <f>'Home-Coverage'!G67</f>
        <v/>
      </c>
      <c r="I496" s="5">
        <f>'Home-Coverage'!H67</f>
        <v/>
      </c>
      <c r="J496" s="6">
        <f>'Home-Coverage'!I67</f>
        <v/>
      </c>
      <c r="K496" s="3">
        <f>'Home-Coverage'!J67</f>
        <v/>
      </c>
      <c r="L496" s="13">
        <f>'Home-Coverage'!K67</f>
        <v/>
      </c>
    </row>
    <row r="497" ht="18" customHeight="1" s="96">
      <c r="A497" s="93" t="inlineStr">
        <is>
          <t>Person C</t>
        </is>
      </c>
      <c r="B497" s="8">
        <f>'Home-Coverage'!A68</f>
        <v/>
      </c>
      <c r="C497" s="93">
        <f>'Home-Coverage'!A68</f>
        <v/>
      </c>
      <c r="D497" s="8">
        <f>'Home-Coverage'!C68</f>
        <v/>
      </c>
      <c r="E497" s="8">
        <f>'Home-Coverage'!D68</f>
        <v/>
      </c>
      <c r="F497" s="8">
        <f>'Home-Coverage'!E68</f>
        <v/>
      </c>
      <c r="G497" s="9">
        <f>'Home-Coverage'!F68</f>
        <v/>
      </c>
      <c r="H497" s="10">
        <f>'Home-Coverage'!G68</f>
        <v/>
      </c>
      <c r="I497" s="10">
        <f>'Home-Coverage'!H68</f>
        <v/>
      </c>
      <c r="J497" s="11">
        <f>'Home-Coverage'!I68</f>
        <v/>
      </c>
      <c r="K497" s="8">
        <f>'Home-Coverage'!J68</f>
        <v/>
      </c>
      <c r="L497" s="12">
        <f>'Home-Coverage'!K68</f>
        <v/>
      </c>
    </row>
    <row r="498" ht="18" customHeight="1" s="96">
      <c r="A498" s="2" t="inlineStr">
        <is>
          <t>Person C</t>
        </is>
      </c>
      <c r="B498" s="3">
        <f>'Home-Coverage'!A69</f>
        <v/>
      </c>
      <c r="C498" s="2">
        <f>'Home-Coverage'!A69</f>
        <v/>
      </c>
      <c r="D498" s="3">
        <f>'Home-Coverage'!C69</f>
        <v/>
      </c>
      <c r="E498" s="3">
        <f>'Home-Coverage'!D69</f>
        <v/>
      </c>
      <c r="F498" s="3">
        <f>'Home-Coverage'!E69</f>
        <v/>
      </c>
      <c r="G498" s="4">
        <f>'Home-Coverage'!F69</f>
        <v/>
      </c>
      <c r="H498" s="5">
        <f>'Home-Coverage'!G69</f>
        <v/>
      </c>
      <c r="I498" s="5">
        <f>'Home-Coverage'!H69</f>
        <v/>
      </c>
      <c r="J498" s="6">
        <f>'Home-Coverage'!I69</f>
        <v/>
      </c>
      <c r="K498" s="3">
        <f>'Home-Coverage'!J69</f>
        <v/>
      </c>
      <c r="L498" s="13">
        <f>'Home-Coverage'!K69</f>
        <v/>
      </c>
    </row>
    <row r="499" ht="18" customHeight="1" s="96">
      <c r="A499" s="93" t="inlineStr">
        <is>
          <t>Person C</t>
        </is>
      </c>
      <c r="B499" s="8">
        <f>'Home-Coverage'!A70</f>
        <v/>
      </c>
      <c r="C499" s="93">
        <f>'Home-Coverage'!A70</f>
        <v/>
      </c>
      <c r="D499" s="8">
        <f>'Home-Coverage'!C70</f>
        <v/>
      </c>
      <c r="E499" s="8">
        <f>'Home-Coverage'!D70</f>
        <v/>
      </c>
      <c r="F499" s="8">
        <f>'Home-Coverage'!E70</f>
        <v/>
      </c>
      <c r="G499" s="9">
        <f>'Home-Coverage'!F70</f>
        <v/>
      </c>
      <c r="H499" s="10">
        <f>'Home-Coverage'!G70</f>
        <v/>
      </c>
      <c r="I499" s="10">
        <f>'Home-Coverage'!H70</f>
        <v/>
      </c>
      <c r="J499" s="11">
        <f>'Home-Coverage'!I70</f>
        <v/>
      </c>
      <c r="K499" s="8">
        <f>'Home-Coverage'!J70</f>
        <v/>
      </c>
      <c r="L499" s="12">
        <f>'Home-Coverage'!K70</f>
        <v/>
      </c>
    </row>
    <row r="500" ht="18" customHeight="1" s="96">
      <c r="A500" s="2" t="inlineStr">
        <is>
          <t>Person C</t>
        </is>
      </c>
      <c r="B500" s="3">
        <f>'Home-Coverage'!A71</f>
        <v/>
      </c>
      <c r="C500" s="2">
        <f>'Home-Coverage'!A71</f>
        <v/>
      </c>
      <c r="D500" s="3">
        <f>'Home-Coverage'!C71</f>
        <v/>
      </c>
      <c r="E500" s="3">
        <f>'Home-Coverage'!D71</f>
        <v/>
      </c>
      <c r="F500" s="3">
        <f>'Home-Coverage'!E71</f>
        <v/>
      </c>
      <c r="G500" s="4">
        <f>'Home-Coverage'!F71</f>
        <v/>
      </c>
      <c r="H500" s="5">
        <f>'Home-Coverage'!G71</f>
        <v/>
      </c>
      <c r="I500" s="5">
        <f>'Home-Coverage'!H71</f>
        <v/>
      </c>
      <c r="J500" s="6">
        <f>'Home-Coverage'!I71</f>
        <v/>
      </c>
      <c r="K500" s="3">
        <f>'Home-Coverage'!J71</f>
        <v/>
      </c>
      <c r="L500" s="13">
        <f>'Home-Coverage'!K71</f>
        <v/>
      </c>
    </row>
    <row r="501" ht="18" customHeight="1" s="96">
      <c r="A501" s="93" t="inlineStr">
        <is>
          <t>Person C</t>
        </is>
      </c>
      <c r="B501" s="8">
        <f>'Home-Coverage'!A72</f>
        <v/>
      </c>
      <c r="C501" s="93">
        <f>'Home-Coverage'!A72</f>
        <v/>
      </c>
      <c r="D501" s="8">
        <f>'Home-Coverage'!C72</f>
        <v/>
      </c>
      <c r="E501" s="8">
        <f>'Home-Coverage'!D72</f>
        <v/>
      </c>
      <c r="F501" s="8">
        <f>'Home-Coverage'!E72</f>
        <v/>
      </c>
      <c r="G501" s="9">
        <f>'Home-Coverage'!F72</f>
        <v/>
      </c>
      <c r="H501" s="10">
        <f>'Home-Coverage'!G72</f>
        <v/>
      </c>
      <c r="I501" s="10">
        <f>'Home-Coverage'!H72</f>
        <v/>
      </c>
      <c r="J501" s="11">
        <f>'Home-Coverage'!I72</f>
        <v/>
      </c>
      <c r="K501" s="8">
        <f>'Home-Coverage'!J72</f>
        <v/>
      </c>
      <c r="L501" s="12">
        <f>'Home-Coverage'!K72</f>
        <v/>
      </c>
    </row>
    <row r="502" ht="18" customHeight="1" s="96">
      <c r="A502" s="2" t="inlineStr">
        <is>
          <t>Person C</t>
        </is>
      </c>
      <c r="B502" s="3">
        <f>'Home-Coverage'!A73</f>
        <v/>
      </c>
      <c r="C502" s="2">
        <f>'Home-Coverage'!A73</f>
        <v/>
      </c>
      <c r="D502" s="3">
        <f>'Home-Coverage'!C73</f>
        <v/>
      </c>
      <c r="E502" s="3">
        <f>'Home-Coverage'!D73</f>
        <v/>
      </c>
      <c r="F502" s="3">
        <f>'Home-Coverage'!E73</f>
        <v/>
      </c>
      <c r="G502" s="4">
        <f>'Home-Coverage'!F73</f>
        <v/>
      </c>
      <c r="H502" s="5">
        <f>'Home-Coverage'!G73</f>
        <v/>
      </c>
      <c r="I502" s="5">
        <f>'Home-Coverage'!H73</f>
        <v/>
      </c>
      <c r="J502" s="6">
        <f>'Home-Coverage'!I73</f>
        <v/>
      </c>
      <c r="K502" s="3">
        <f>'Home-Coverage'!J73</f>
        <v/>
      </c>
      <c r="L502" s="13">
        <f>'Home-Coverage'!K73</f>
        <v/>
      </c>
    </row>
    <row r="503" ht="18" customHeight="1" s="96">
      <c r="A503" s="93" t="inlineStr">
        <is>
          <t>Person C</t>
        </is>
      </c>
      <c r="B503" s="8">
        <f>'Home-Coverage'!A74</f>
        <v/>
      </c>
      <c r="C503" s="93">
        <f>'Home-Coverage'!A74</f>
        <v/>
      </c>
      <c r="D503" s="8">
        <f>'Home-Coverage'!C74</f>
        <v/>
      </c>
      <c r="E503" s="8">
        <f>'Home-Coverage'!D74</f>
        <v/>
      </c>
      <c r="F503" s="8">
        <f>'Home-Coverage'!E74</f>
        <v/>
      </c>
      <c r="G503" s="9">
        <f>'Home-Coverage'!F74</f>
        <v/>
      </c>
      <c r="H503" s="10">
        <f>'Home-Coverage'!G74</f>
        <v/>
      </c>
      <c r="I503" s="10">
        <f>'Home-Coverage'!H74</f>
        <v/>
      </c>
      <c r="J503" s="11">
        <f>'Home-Coverage'!I74</f>
        <v/>
      </c>
      <c r="K503" s="8">
        <f>'Home-Coverage'!J74</f>
        <v/>
      </c>
      <c r="L503" s="12">
        <f>'Home-Coverage'!K74</f>
        <v/>
      </c>
    </row>
    <row r="504" ht="18" customHeight="1" s="96">
      <c r="A504" s="2" t="inlineStr">
        <is>
          <t>Person C</t>
        </is>
      </c>
      <c r="B504" s="3">
        <f>'Home-Coverage'!A75</f>
        <v/>
      </c>
      <c r="C504" s="2">
        <f>'Home-Coverage'!A75</f>
        <v/>
      </c>
      <c r="D504" s="3">
        <f>'Home-Coverage'!C75</f>
        <v/>
      </c>
      <c r="E504" s="3">
        <f>'Home-Coverage'!D75</f>
        <v/>
      </c>
      <c r="F504" s="3">
        <f>'Home-Coverage'!E75</f>
        <v/>
      </c>
      <c r="G504" s="4">
        <f>'Home-Coverage'!F75</f>
        <v/>
      </c>
      <c r="H504" s="5">
        <f>'Home-Coverage'!G75</f>
        <v/>
      </c>
      <c r="I504" s="5">
        <f>'Home-Coverage'!H75</f>
        <v/>
      </c>
      <c r="J504" s="6">
        <f>'Home-Coverage'!I75</f>
        <v/>
      </c>
      <c r="K504" s="3">
        <f>'Home-Coverage'!J75</f>
        <v/>
      </c>
      <c r="L504" s="13">
        <f>'Home-Coverage'!K75</f>
        <v/>
      </c>
    </row>
    <row r="505" ht="18" customHeight="1" s="96">
      <c r="A505" s="93" t="inlineStr">
        <is>
          <t>Person C</t>
        </is>
      </c>
      <c r="B505" s="8">
        <f>'Home-Coverage'!A76</f>
        <v/>
      </c>
      <c r="C505" s="93">
        <f>'Home-Coverage'!A76</f>
        <v/>
      </c>
      <c r="D505" s="8">
        <f>'Home-Coverage'!C76</f>
        <v/>
      </c>
      <c r="E505" s="8">
        <f>'Home-Coverage'!D76</f>
        <v/>
      </c>
      <c r="F505" s="8">
        <f>'Home-Coverage'!E76</f>
        <v/>
      </c>
      <c r="G505" s="9">
        <f>'Home-Coverage'!F76</f>
        <v/>
      </c>
      <c r="H505" s="10">
        <f>'Home-Coverage'!G76</f>
        <v/>
      </c>
      <c r="I505" s="10">
        <f>'Home-Coverage'!H76</f>
        <v/>
      </c>
      <c r="J505" s="11">
        <f>'Home-Coverage'!I76</f>
        <v/>
      </c>
      <c r="K505" s="8">
        <f>'Home-Coverage'!J76</f>
        <v/>
      </c>
      <c r="L505" s="12">
        <f>'Home-Coverage'!K76</f>
        <v/>
      </c>
    </row>
    <row r="506" ht="18" customHeight="1" s="96">
      <c r="A506" s="2" t="inlineStr">
        <is>
          <t>Person C</t>
        </is>
      </c>
      <c r="B506" s="3">
        <f>'Home-Coverage'!A77</f>
        <v/>
      </c>
      <c r="C506" s="2">
        <f>'Home-Coverage'!A77</f>
        <v/>
      </c>
      <c r="D506" s="3">
        <f>'Home-Coverage'!C77</f>
        <v/>
      </c>
      <c r="E506" s="3">
        <f>'Home-Coverage'!D77</f>
        <v/>
      </c>
      <c r="F506" s="3">
        <f>'Home-Coverage'!E77</f>
        <v/>
      </c>
      <c r="G506" s="4">
        <f>'Home-Coverage'!F77</f>
        <v/>
      </c>
      <c r="H506" s="5">
        <f>'Home-Coverage'!G77</f>
        <v/>
      </c>
      <c r="I506" s="5">
        <f>'Home-Coverage'!H77</f>
        <v/>
      </c>
      <c r="J506" s="6">
        <f>'Home-Coverage'!I77</f>
        <v/>
      </c>
      <c r="K506" s="3">
        <f>'Home-Coverage'!J77</f>
        <v/>
      </c>
      <c r="L506" s="13">
        <f>'Home-Coverage'!K77</f>
        <v/>
      </c>
    </row>
    <row r="507" ht="18" customHeight="1" s="96">
      <c r="A507" s="93" t="inlineStr">
        <is>
          <t>Person C</t>
        </is>
      </c>
      <c r="B507" s="8">
        <f>'Home-Coverage'!A78</f>
        <v/>
      </c>
      <c r="C507" s="93">
        <f>'Home-Coverage'!A78</f>
        <v/>
      </c>
      <c r="D507" s="8">
        <f>'Home-Coverage'!C78</f>
        <v/>
      </c>
      <c r="E507" s="8">
        <f>'Home-Coverage'!D78</f>
        <v/>
      </c>
      <c r="F507" s="8">
        <f>'Home-Coverage'!E78</f>
        <v/>
      </c>
      <c r="G507" s="9">
        <f>'Home-Coverage'!F78</f>
        <v/>
      </c>
      <c r="H507" s="10">
        <f>'Home-Coverage'!G78</f>
        <v/>
      </c>
      <c r="I507" s="10">
        <f>'Home-Coverage'!H78</f>
        <v/>
      </c>
      <c r="J507" s="11">
        <f>'Home-Coverage'!I78</f>
        <v/>
      </c>
      <c r="K507" s="8">
        <f>'Home-Coverage'!J78</f>
        <v/>
      </c>
      <c r="L507" s="12">
        <f>'Home-Coverage'!K78</f>
        <v/>
      </c>
    </row>
    <row r="508" ht="18" customHeight="1" s="96">
      <c r="A508" s="2" t="inlineStr">
        <is>
          <t>Person C</t>
        </is>
      </c>
      <c r="B508" s="3">
        <f>'Home-Coverage'!A79</f>
        <v/>
      </c>
      <c r="C508" s="2">
        <f>'Home-Coverage'!A79</f>
        <v/>
      </c>
      <c r="D508" s="3">
        <f>'Home-Coverage'!C79</f>
        <v/>
      </c>
      <c r="E508" s="3">
        <f>'Home-Coverage'!D79</f>
        <v/>
      </c>
      <c r="F508" s="3">
        <f>'Home-Coverage'!E79</f>
        <v/>
      </c>
      <c r="G508" s="4">
        <f>'Home-Coverage'!F79</f>
        <v/>
      </c>
      <c r="H508" s="5">
        <f>'Home-Coverage'!G79</f>
        <v/>
      </c>
      <c r="I508" s="5">
        <f>'Home-Coverage'!H79</f>
        <v/>
      </c>
      <c r="J508" s="6">
        <f>'Home-Coverage'!I79</f>
        <v/>
      </c>
      <c r="K508" s="3">
        <f>'Home-Coverage'!J79</f>
        <v/>
      </c>
      <c r="L508" s="13">
        <f>'Home-Coverage'!K79</f>
        <v/>
      </c>
    </row>
    <row r="509" ht="18" customHeight="1" s="96">
      <c r="A509" s="93" t="inlineStr">
        <is>
          <t>Person C</t>
        </is>
      </c>
      <c r="B509" s="8">
        <f>'Home-Coverage'!A80</f>
        <v/>
      </c>
      <c r="C509" s="93">
        <f>'Home-Coverage'!A80</f>
        <v/>
      </c>
      <c r="D509" s="8">
        <f>'Home-Coverage'!C80</f>
        <v/>
      </c>
      <c r="E509" s="8">
        <f>'Home-Coverage'!D80</f>
        <v/>
      </c>
      <c r="F509" s="8">
        <f>'Home-Coverage'!E80</f>
        <v/>
      </c>
      <c r="G509" s="9">
        <f>'Home-Coverage'!F80</f>
        <v/>
      </c>
      <c r="H509" s="10">
        <f>'Home-Coverage'!G80</f>
        <v/>
      </c>
      <c r="I509" s="10">
        <f>'Home-Coverage'!H80</f>
        <v/>
      </c>
      <c r="J509" s="11">
        <f>'Home-Coverage'!I80</f>
        <v/>
      </c>
      <c r="K509" s="8">
        <f>'Home-Coverage'!J80</f>
        <v/>
      </c>
      <c r="L509" s="12">
        <f>'Home-Coverage'!K80</f>
        <v/>
      </c>
    </row>
    <row r="510" ht="18" customHeight="1" s="96">
      <c r="A510" s="2" t="inlineStr">
        <is>
          <t>Person C</t>
        </is>
      </c>
      <c r="B510" s="3">
        <f>'Home-Coverage'!A81</f>
        <v/>
      </c>
      <c r="C510" s="2">
        <f>'Home-Coverage'!A81</f>
        <v/>
      </c>
      <c r="D510" s="3">
        <f>'Home-Coverage'!C81</f>
        <v/>
      </c>
      <c r="E510" s="3">
        <f>'Home-Coverage'!D81</f>
        <v/>
      </c>
      <c r="F510" s="3">
        <f>'Home-Coverage'!E81</f>
        <v/>
      </c>
      <c r="G510" s="4">
        <f>'Home-Coverage'!F81</f>
        <v/>
      </c>
      <c r="H510" s="5">
        <f>'Home-Coverage'!G81</f>
        <v/>
      </c>
      <c r="I510" s="5">
        <f>'Home-Coverage'!H81</f>
        <v/>
      </c>
      <c r="J510" s="6">
        <f>'Home-Coverage'!I81</f>
        <v/>
      </c>
      <c r="K510" s="3">
        <f>'Home-Coverage'!J81</f>
        <v/>
      </c>
      <c r="L510" s="13">
        <f>'Home-Coverage'!K81</f>
        <v/>
      </c>
    </row>
    <row r="511" ht="18" customHeight="1" s="96">
      <c r="A511" s="93" t="inlineStr">
        <is>
          <t>Person C</t>
        </is>
      </c>
      <c r="B511" s="8">
        <f>'Home-Coverage'!A82</f>
        <v/>
      </c>
      <c r="C511" s="93">
        <f>'Home-Coverage'!A82</f>
        <v/>
      </c>
      <c r="D511" s="8">
        <f>'Home-Coverage'!C82</f>
        <v/>
      </c>
      <c r="E511" s="8">
        <f>'Home-Coverage'!D82</f>
        <v/>
      </c>
      <c r="F511" s="8">
        <f>'Home-Coverage'!E82</f>
        <v/>
      </c>
      <c r="G511" s="9">
        <f>'Home-Coverage'!F82</f>
        <v/>
      </c>
      <c r="H511" s="10">
        <f>'Home-Coverage'!G82</f>
        <v/>
      </c>
      <c r="I511" s="10">
        <f>'Home-Coverage'!H82</f>
        <v/>
      </c>
      <c r="J511" s="11">
        <f>'Home-Coverage'!I82</f>
        <v/>
      </c>
      <c r="K511" s="8">
        <f>'Home-Coverage'!J82</f>
        <v/>
      </c>
      <c r="L511" s="12">
        <f>'Home-Coverage'!K82</f>
        <v/>
      </c>
    </row>
    <row r="512" ht="18" customHeight="1" s="96">
      <c r="A512" s="2" t="inlineStr">
        <is>
          <t>Person C</t>
        </is>
      </c>
      <c r="B512" s="3">
        <f>'Home-Coverage'!A83</f>
        <v/>
      </c>
      <c r="C512" s="2">
        <f>'Home-Coverage'!A83</f>
        <v/>
      </c>
      <c r="D512" s="3">
        <f>'Home-Coverage'!C83</f>
        <v/>
      </c>
      <c r="E512" s="3">
        <f>'Home-Coverage'!D83</f>
        <v/>
      </c>
      <c r="F512" s="3">
        <f>'Home-Coverage'!E83</f>
        <v/>
      </c>
      <c r="G512" s="4">
        <f>'Home-Coverage'!F83</f>
        <v/>
      </c>
      <c r="H512" s="5">
        <f>'Home-Coverage'!G83</f>
        <v/>
      </c>
      <c r="I512" s="5">
        <f>'Home-Coverage'!H83</f>
        <v/>
      </c>
      <c r="J512" s="6">
        <f>'Home-Coverage'!I83</f>
        <v/>
      </c>
      <c r="K512" s="3">
        <f>'Home-Coverage'!J83</f>
        <v/>
      </c>
      <c r="L512" s="13">
        <f>'Home-Coverage'!K83</f>
        <v/>
      </c>
    </row>
    <row r="513" ht="18" customHeight="1" s="96">
      <c r="A513" s="93" t="inlineStr">
        <is>
          <t>Person C</t>
        </is>
      </c>
      <c r="B513" s="8">
        <f>'Home-Coverage'!A84</f>
        <v/>
      </c>
      <c r="C513" s="93">
        <f>'Home-Coverage'!A84</f>
        <v/>
      </c>
      <c r="D513" s="8">
        <f>'Home-Coverage'!C84</f>
        <v/>
      </c>
      <c r="E513" s="8">
        <f>'Home-Coverage'!D84</f>
        <v/>
      </c>
      <c r="F513" s="8">
        <f>'Home-Coverage'!E84</f>
        <v/>
      </c>
      <c r="G513" s="9">
        <f>'Home-Coverage'!F84</f>
        <v/>
      </c>
      <c r="H513" s="10">
        <f>'Home-Coverage'!G84</f>
        <v/>
      </c>
      <c r="I513" s="10">
        <f>'Home-Coverage'!H84</f>
        <v/>
      </c>
      <c r="J513" s="11">
        <f>'Home-Coverage'!I84</f>
        <v/>
      </c>
      <c r="K513" s="8">
        <f>'Home-Coverage'!J84</f>
        <v/>
      </c>
      <c r="L513" s="12">
        <f>'Home-Coverage'!K84</f>
        <v/>
      </c>
    </row>
    <row r="514" ht="18" customHeight="1" s="96">
      <c r="A514" s="2" t="inlineStr">
        <is>
          <t>Person C</t>
        </is>
      </c>
      <c r="B514" s="3">
        <f>'Home-Coverage'!A85</f>
        <v/>
      </c>
      <c r="C514" s="2">
        <f>'Home-Coverage'!A85</f>
        <v/>
      </c>
      <c r="D514" s="3">
        <f>'Home-Coverage'!C85</f>
        <v/>
      </c>
      <c r="E514" s="3">
        <f>'Home-Coverage'!D85</f>
        <v/>
      </c>
      <c r="F514" s="3">
        <f>'Home-Coverage'!E85</f>
        <v/>
      </c>
      <c r="G514" s="4">
        <f>'Home-Coverage'!F85</f>
        <v/>
      </c>
      <c r="H514" s="5">
        <f>'Home-Coverage'!G85</f>
        <v/>
      </c>
      <c r="I514" s="5">
        <f>'Home-Coverage'!H85</f>
        <v/>
      </c>
      <c r="J514" s="6">
        <f>'Home-Coverage'!I85</f>
        <v/>
      </c>
      <c r="K514" s="3">
        <f>'Home-Coverage'!J85</f>
        <v/>
      </c>
      <c r="L514" s="13">
        <f>'Home-Coverage'!K85</f>
        <v/>
      </c>
    </row>
    <row r="515" ht="18" customHeight="1" s="96">
      <c r="A515" s="93" t="inlineStr">
        <is>
          <t>Person C</t>
        </is>
      </c>
      <c r="B515" s="8">
        <f>'Home-Coverage'!A86</f>
        <v/>
      </c>
      <c r="C515" s="93">
        <f>'Home-Coverage'!A86</f>
        <v/>
      </c>
      <c r="D515" s="8">
        <f>'Home-Coverage'!C86</f>
        <v/>
      </c>
      <c r="E515" s="8">
        <f>'Home-Coverage'!D86</f>
        <v/>
      </c>
      <c r="F515" s="8">
        <f>'Home-Coverage'!E86</f>
        <v/>
      </c>
      <c r="G515" s="9">
        <f>'Home-Coverage'!F86</f>
        <v/>
      </c>
      <c r="H515" s="10">
        <f>'Home-Coverage'!G86</f>
        <v/>
      </c>
      <c r="I515" s="10">
        <f>'Home-Coverage'!H86</f>
        <v/>
      </c>
      <c r="J515" s="11">
        <f>'Home-Coverage'!I86</f>
        <v/>
      </c>
      <c r="K515" s="8">
        <f>'Home-Coverage'!J86</f>
        <v/>
      </c>
      <c r="L515" s="12">
        <f>'Home-Coverage'!K86</f>
        <v/>
      </c>
    </row>
    <row r="516" ht="18" customHeight="1" s="96">
      <c r="A516" s="2" t="inlineStr">
        <is>
          <t>Person C</t>
        </is>
      </c>
      <c r="B516" s="3">
        <f>'Home-Coverage'!A87</f>
        <v/>
      </c>
      <c r="C516" s="2">
        <f>'Home-Coverage'!A87</f>
        <v/>
      </c>
      <c r="D516" s="3">
        <f>'Home-Coverage'!C87</f>
        <v/>
      </c>
      <c r="E516" s="3">
        <f>'Home-Coverage'!D87</f>
        <v/>
      </c>
      <c r="F516" s="3">
        <f>'Home-Coverage'!E87</f>
        <v/>
      </c>
      <c r="G516" s="4">
        <f>'Home-Coverage'!F87</f>
        <v/>
      </c>
      <c r="H516" s="5">
        <f>'Home-Coverage'!G87</f>
        <v/>
      </c>
      <c r="I516" s="5">
        <f>'Home-Coverage'!H87</f>
        <v/>
      </c>
      <c r="J516" s="6">
        <f>'Home-Coverage'!I87</f>
        <v/>
      </c>
      <c r="K516" s="3">
        <f>'Home-Coverage'!J87</f>
        <v/>
      </c>
      <c r="L516" s="13">
        <f>'Home-Coverage'!K87</f>
        <v/>
      </c>
    </row>
    <row r="517" ht="18" customHeight="1" s="96">
      <c r="A517" s="93" t="inlineStr">
        <is>
          <t>Person C</t>
        </is>
      </c>
      <c r="B517" s="8">
        <f>'Home-Coverage'!A88</f>
        <v/>
      </c>
      <c r="C517" s="93">
        <f>'Home-Coverage'!A88</f>
        <v/>
      </c>
      <c r="D517" s="8">
        <f>'Home-Coverage'!C88</f>
        <v/>
      </c>
      <c r="E517" s="8">
        <f>'Home-Coverage'!D88</f>
        <v/>
      </c>
      <c r="F517" s="8">
        <f>'Home-Coverage'!E88</f>
        <v/>
      </c>
      <c r="G517" s="9">
        <f>'Home-Coverage'!F88</f>
        <v/>
      </c>
      <c r="H517" s="10">
        <f>'Home-Coverage'!G88</f>
        <v/>
      </c>
      <c r="I517" s="10">
        <f>'Home-Coverage'!H88</f>
        <v/>
      </c>
      <c r="J517" s="11">
        <f>'Home-Coverage'!I88</f>
        <v/>
      </c>
      <c r="K517" s="8">
        <f>'Home-Coverage'!J88</f>
        <v/>
      </c>
      <c r="L517" s="12">
        <f>'Home-Coverage'!K88</f>
        <v/>
      </c>
    </row>
    <row r="518" ht="18" customHeight="1" s="96">
      <c r="A518" s="2" t="inlineStr">
        <is>
          <t>Person C</t>
        </is>
      </c>
      <c r="B518" s="3">
        <f>'Home-Coverage'!A89</f>
        <v/>
      </c>
      <c r="C518" s="2">
        <f>'Home-Coverage'!A89</f>
        <v/>
      </c>
      <c r="D518" s="3">
        <f>'Home-Coverage'!C89</f>
        <v/>
      </c>
      <c r="E518" s="3">
        <f>'Home-Coverage'!D89</f>
        <v/>
      </c>
      <c r="F518" s="3">
        <f>'Home-Coverage'!E89</f>
        <v/>
      </c>
      <c r="G518" s="4">
        <f>'Home-Coverage'!F89</f>
        <v/>
      </c>
      <c r="H518" s="5">
        <f>'Home-Coverage'!G89</f>
        <v/>
      </c>
      <c r="I518" s="5">
        <f>'Home-Coverage'!H89</f>
        <v/>
      </c>
      <c r="J518" s="6">
        <f>'Home-Coverage'!I89</f>
        <v/>
      </c>
      <c r="K518" s="3">
        <f>'Home-Coverage'!J89</f>
        <v/>
      </c>
      <c r="L518" s="13">
        <f>'Home-Coverage'!K89</f>
        <v/>
      </c>
    </row>
    <row r="519" ht="18" customHeight="1" s="96">
      <c r="A519" s="93" t="inlineStr">
        <is>
          <t>Person C</t>
        </is>
      </c>
      <c r="B519" s="8">
        <f>'Home-Coverage'!A90</f>
        <v/>
      </c>
      <c r="C519" s="93">
        <f>'Home-Coverage'!A90</f>
        <v/>
      </c>
      <c r="D519" s="8">
        <f>'Home-Coverage'!C90</f>
        <v/>
      </c>
      <c r="E519" s="8">
        <f>'Home-Coverage'!D90</f>
        <v/>
      </c>
      <c r="F519" s="8">
        <f>'Home-Coverage'!E90</f>
        <v/>
      </c>
      <c r="G519" s="9">
        <f>'Home-Coverage'!F90</f>
        <v/>
      </c>
      <c r="H519" s="10">
        <f>'Home-Coverage'!G90</f>
        <v/>
      </c>
      <c r="I519" s="10">
        <f>'Home-Coverage'!H90</f>
        <v/>
      </c>
      <c r="J519" s="11">
        <f>'Home-Coverage'!I90</f>
        <v/>
      </c>
      <c r="K519" s="8">
        <f>'Home-Coverage'!J90</f>
        <v/>
      </c>
      <c r="L519" s="12">
        <f>'Home-Coverage'!K90</f>
        <v/>
      </c>
    </row>
    <row r="520" ht="18" customHeight="1" s="96">
      <c r="A520" s="2" t="inlineStr">
        <is>
          <t>Person C</t>
        </is>
      </c>
      <c r="B520" s="3">
        <f>'Home-Coverage'!A91</f>
        <v/>
      </c>
      <c r="C520" s="2">
        <f>'Home-Coverage'!A91</f>
        <v/>
      </c>
      <c r="D520" s="3">
        <f>'Home-Coverage'!C91</f>
        <v/>
      </c>
      <c r="E520" s="3">
        <f>'Home-Coverage'!D91</f>
        <v/>
      </c>
      <c r="F520" s="3">
        <f>'Home-Coverage'!E91</f>
        <v/>
      </c>
      <c r="G520" s="4">
        <f>'Home-Coverage'!F91</f>
        <v/>
      </c>
      <c r="H520" s="5">
        <f>'Home-Coverage'!G91</f>
        <v/>
      </c>
      <c r="I520" s="5">
        <f>'Home-Coverage'!H91</f>
        <v/>
      </c>
      <c r="J520" s="6">
        <f>'Home-Coverage'!I91</f>
        <v/>
      </c>
      <c r="K520" s="3">
        <f>'Home-Coverage'!J91</f>
        <v/>
      </c>
      <c r="L520" s="13">
        <f>'Home-Coverage'!K91</f>
        <v/>
      </c>
    </row>
    <row r="521" ht="18" customHeight="1" s="96">
      <c r="A521" s="93" t="inlineStr">
        <is>
          <t>Person C</t>
        </is>
      </c>
      <c r="B521" s="8">
        <f>'Home-Coverage'!A92</f>
        <v/>
      </c>
      <c r="C521" s="93">
        <f>'Home-Coverage'!A92</f>
        <v/>
      </c>
      <c r="D521" s="8">
        <f>'Home-Coverage'!C92</f>
        <v/>
      </c>
      <c r="E521" s="8">
        <f>'Home-Coverage'!D92</f>
        <v/>
      </c>
      <c r="F521" s="8">
        <f>'Home-Coverage'!E92</f>
        <v/>
      </c>
      <c r="G521" s="9">
        <f>'Home-Coverage'!F92</f>
        <v/>
      </c>
      <c r="H521" s="10">
        <f>'Home-Coverage'!G92</f>
        <v/>
      </c>
      <c r="I521" s="10">
        <f>'Home-Coverage'!H92</f>
        <v/>
      </c>
      <c r="J521" s="11">
        <f>'Home-Coverage'!I92</f>
        <v/>
      </c>
      <c r="K521" s="8">
        <f>'Home-Coverage'!J92</f>
        <v/>
      </c>
      <c r="L521" s="12">
        <f>'Home-Coverage'!K92</f>
        <v/>
      </c>
    </row>
    <row r="522" ht="18" customHeight="1" s="96">
      <c r="A522" s="2" t="inlineStr">
        <is>
          <t>Person C</t>
        </is>
      </c>
      <c r="B522" s="3">
        <f>'Home-Coverage'!A93</f>
        <v/>
      </c>
      <c r="C522" s="2">
        <f>'Home-Coverage'!A93</f>
        <v/>
      </c>
      <c r="D522" s="3">
        <f>'Home-Coverage'!C93</f>
        <v/>
      </c>
      <c r="E522" s="3">
        <f>'Home-Coverage'!D93</f>
        <v/>
      </c>
      <c r="F522" s="3">
        <f>'Home-Coverage'!E93</f>
        <v/>
      </c>
      <c r="G522" s="4">
        <f>'Home-Coverage'!F93</f>
        <v/>
      </c>
      <c r="H522" s="5">
        <f>'Home-Coverage'!G93</f>
        <v/>
      </c>
      <c r="I522" s="5">
        <f>'Home-Coverage'!H93</f>
        <v/>
      </c>
      <c r="J522" s="6">
        <f>'Home-Coverage'!I93</f>
        <v/>
      </c>
      <c r="K522" s="3">
        <f>'Home-Coverage'!J93</f>
        <v/>
      </c>
      <c r="L522" s="13">
        <f>'Home-Coverage'!K93</f>
        <v/>
      </c>
    </row>
    <row r="523" ht="18" customHeight="1" s="96">
      <c r="A523" s="93" t="inlineStr">
        <is>
          <t>Person C</t>
        </is>
      </c>
      <c r="B523" s="8">
        <f>'Home-Coverage'!A94</f>
        <v/>
      </c>
      <c r="C523" s="93">
        <f>'Home-Coverage'!A94</f>
        <v/>
      </c>
      <c r="D523" s="8">
        <f>'Home-Coverage'!C94</f>
        <v/>
      </c>
      <c r="E523" s="8">
        <f>'Home-Coverage'!D94</f>
        <v/>
      </c>
      <c r="F523" s="8">
        <f>'Home-Coverage'!E94</f>
        <v/>
      </c>
      <c r="G523" s="9">
        <f>'Home-Coverage'!F94</f>
        <v/>
      </c>
      <c r="H523" s="10">
        <f>'Home-Coverage'!G94</f>
        <v/>
      </c>
      <c r="I523" s="10">
        <f>'Home-Coverage'!H94</f>
        <v/>
      </c>
      <c r="J523" s="11">
        <f>'Home-Coverage'!I94</f>
        <v/>
      </c>
      <c r="K523" s="8">
        <f>'Home-Coverage'!J94</f>
        <v/>
      </c>
      <c r="L523" s="12">
        <f>'Home-Coverage'!K94</f>
        <v/>
      </c>
    </row>
    <row r="524" ht="18" customHeight="1" s="96">
      <c r="A524" s="2" t="inlineStr">
        <is>
          <t>Person C</t>
        </is>
      </c>
      <c r="B524" s="3">
        <f>'Home-Coverage'!A95</f>
        <v/>
      </c>
      <c r="C524" s="2">
        <f>'Home-Coverage'!A95</f>
        <v/>
      </c>
      <c r="D524" s="3">
        <f>'Home-Coverage'!C95</f>
        <v/>
      </c>
      <c r="E524" s="3">
        <f>'Home-Coverage'!D95</f>
        <v/>
      </c>
      <c r="F524" s="3">
        <f>'Home-Coverage'!E95</f>
        <v/>
      </c>
      <c r="G524" s="4">
        <f>'Home-Coverage'!F95</f>
        <v/>
      </c>
      <c r="H524" s="5">
        <f>'Home-Coverage'!G95</f>
        <v/>
      </c>
      <c r="I524" s="5">
        <f>'Home-Coverage'!H95</f>
        <v/>
      </c>
      <c r="J524" s="6">
        <f>'Home-Coverage'!I95</f>
        <v/>
      </c>
      <c r="K524" s="3">
        <f>'Home-Coverage'!J95</f>
        <v/>
      </c>
      <c r="L524" s="13">
        <f>'Home-Coverage'!K95</f>
        <v/>
      </c>
    </row>
    <row r="525" ht="18" customHeight="1" s="96">
      <c r="A525" s="93" t="inlineStr">
        <is>
          <t>Person C</t>
        </is>
      </c>
      <c r="B525" s="8">
        <f>'Home-Coverage'!A96</f>
        <v/>
      </c>
      <c r="C525" s="93">
        <f>'Home-Coverage'!A96</f>
        <v/>
      </c>
      <c r="D525" s="8">
        <f>'Home-Coverage'!C96</f>
        <v/>
      </c>
      <c r="E525" s="8">
        <f>'Home-Coverage'!D96</f>
        <v/>
      </c>
      <c r="F525" s="8">
        <f>'Home-Coverage'!E96</f>
        <v/>
      </c>
      <c r="G525" s="9">
        <f>'Home-Coverage'!F96</f>
        <v/>
      </c>
      <c r="H525" s="10">
        <f>'Home-Coverage'!G96</f>
        <v/>
      </c>
      <c r="I525" s="10">
        <f>'Home-Coverage'!H96</f>
        <v/>
      </c>
      <c r="J525" s="11">
        <f>'Home-Coverage'!I96</f>
        <v/>
      </c>
      <c r="K525" s="8">
        <f>'Home-Coverage'!J96</f>
        <v/>
      </c>
      <c r="L525" s="12">
        <f>'Home-Coverage'!K96</f>
        <v/>
      </c>
    </row>
    <row r="526" ht="18" customHeight="1" s="96">
      <c r="A526" s="2" t="inlineStr">
        <is>
          <t>Person C</t>
        </is>
      </c>
      <c r="B526" s="3">
        <f>'Home-Coverage'!A97</f>
        <v/>
      </c>
      <c r="C526" s="2">
        <f>'Home-Coverage'!A97</f>
        <v/>
      </c>
      <c r="D526" s="3">
        <f>'Home-Coverage'!C97</f>
        <v/>
      </c>
      <c r="E526" s="3">
        <f>'Home-Coverage'!D97</f>
        <v/>
      </c>
      <c r="F526" s="3">
        <f>'Home-Coverage'!E97</f>
        <v/>
      </c>
      <c r="G526" s="4">
        <f>'Home-Coverage'!F97</f>
        <v/>
      </c>
      <c r="H526" s="5">
        <f>'Home-Coverage'!G97</f>
        <v/>
      </c>
      <c r="I526" s="5">
        <f>'Home-Coverage'!H97</f>
        <v/>
      </c>
      <c r="J526" s="6">
        <f>'Home-Coverage'!I97</f>
        <v/>
      </c>
      <c r="K526" s="3">
        <f>'Home-Coverage'!J97</f>
        <v/>
      </c>
      <c r="L526" s="13">
        <f>'Home-Coverage'!K97</f>
        <v/>
      </c>
    </row>
    <row r="527" ht="18" customHeight="1" s="96">
      <c r="A527" s="93" t="inlineStr">
        <is>
          <t>Person C</t>
        </is>
      </c>
      <c r="B527" s="8">
        <f>'Home-Coverage'!A98</f>
        <v/>
      </c>
      <c r="C527" s="93">
        <f>'Home-Coverage'!A98</f>
        <v/>
      </c>
      <c r="D527" s="8">
        <f>'Home-Coverage'!C98</f>
        <v/>
      </c>
      <c r="E527" s="8">
        <f>'Home-Coverage'!D98</f>
        <v/>
      </c>
      <c r="F527" s="8">
        <f>'Home-Coverage'!E98</f>
        <v/>
      </c>
      <c r="G527" s="9">
        <f>'Home-Coverage'!F98</f>
        <v/>
      </c>
      <c r="H527" s="10">
        <f>'Home-Coverage'!G98</f>
        <v/>
      </c>
      <c r="I527" s="10">
        <f>'Home-Coverage'!H98</f>
        <v/>
      </c>
      <c r="J527" s="11">
        <f>'Home-Coverage'!I98</f>
        <v/>
      </c>
      <c r="K527" s="8">
        <f>'Home-Coverage'!J98</f>
        <v/>
      </c>
      <c r="L527" s="12">
        <f>'Home-Coverage'!K98</f>
        <v/>
      </c>
    </row>
    <row r="528" ht="18" customHeight="1" s="96">
      <c r="A528" s="2" t="inlineStr">
        <is>
          <t>Person C</t>
        </is>
      </c>
      <c r="B528" s="3">
        <f>'Home-Coverage'!A99</f>
        <v/>
      </c>
      <c r="C528" s="2">
        <f>'Home-Coverage'!A99</f>
        <v/>
      </c>
      <c r="D528" s="3">
        <f>'Home-Coverage'!C99</f>
        <v/>
      </c>
      <c r="E528" s="3">
        <f>'Home-Coverage'!D99</f>
        <v/>
      </c>
      <c r="F528" s="3">
        <f>'Home-Coverage'!E99</f>
        <v/>
      </c>
      <c r="G528" s="4">
        <f>'Home-Coverage'!F99</f>
        <v/>
      </c>
      <c r="H528" s="5">
        <f>'Home-Coverage'!G99</f>
        <v/>
      </c>
      <c r="I528" s="5">
        <f>'Home-Coverage'!H99</f>
        <v/>
      </c>
      <c r="J528" s="6">
        <f>'Home-Coverage'!I99</f>
        <v/>
      </c>
      <c r="K528" s="3">
        <f>'Home-Coverage'!J99</f>
        <v/>
      </c>
      <c r="L528" s="13">
        <f>'Home-Coverage'!K99</f>
        <v/>
      </c>
    </row>
    <row r="529" ht="18" customHeight="1" s="96">
      <c r="A529" s="93" t="inlineStr">
        <is>
          <t>Person C</t>
        </is>
      </c>
      <c r="B529" s="8">
        <f>'Home-Coverage'!A100</f>
        <v/>
      </c>
      <c r="C529" s="93">
        <f>'Home-Coverage'!A100</f>
        <v/>
      </c>
      <c r="D529" s="8">
        <f>'Home-Coverage'!C100</f>
        <v/>
      </c>
      <c r="E529" s="8">
        <f>'Home-Coverage'!D100</f>
        <v/>
      </c>
      <c r="F529" s="8">
        <f>'Home-Coverage'!E100</f>
        <v/>
      </c>
      <c r="G529" s="9">
        <f>'Home-Coverage'!F100</f>
        <v/>
      </c>
      <c r="H529" s="10">
        <f>'Home-Coverage'!G100</f>
        <v/>
      </c>
      <c r="I529" s="10">
        <f>'Home-Coverage'!H100</f>
        <v/>
      </c>
      <c r="J529" s="11">
        <f>'Home-Coverage'!I100</f>
        <v/>
      </c>
      <c r="K529" s="8">
        <f>'Home-Coverage'!J100</f>
        <v/>
      </c>
      <c r="L529" s="12">
        <f>'Home-Coverage'!K100</f>
        <v/>
      </c>
    </row>
    <row r="530" ht="18" customHeight="1" s="96">
      <c r="A530" s="2" t="inlineStr">
        <is>
          <t>Person C</t>
        </is>
      </c>
      <c r="B530" s="3">
        <f>'Home-Coverage'!A101</f>
        <v/>
      </c>
      <c r="C530" s="2">
        <f>'Home-Coverage'!A101</f>
        <v/>
      </c>
      <c r="D530" s="3">
        <f>'Home-Coverage'!C101</f>
        <v/>
      </c>
      <c r="E530" s="3">
        <f>'Home-Coverage'!D101</f>
        <v/>
      </c>
      <c r="F530" s="3">
        <f>'Home-Coverage'!E101</f>
        <v/>
      </c>
      <c r="G530" s="4">
        <f>'Home-Coverage'!F101</f>
        <v/>
      </c>
      <c r="H530" s="5">
        <f>'Home-Coverage'!G101</f>
        <v/>
      </c>
      <c r="I530" s="5">
        <f>'Home-Coverage'!H101</f>
        <v/>
      </c>
      <c r="J530" s="6">
        <f>'Home-Coverage'!I101</f>
        <v/>
      </c>
      <c r="K530" s="3">
        <f>'Home-Coverage'!J101</f>
        <v/>
      </c>
      <c r="L530" s="13">
        <f>'Home-Coverage'!K101</f>
        <v/>
      </c>
    </row>
    <row r="531" ht="18" customHeight="1" s="96">
      <c r="A531" s="93" t="inlineStr">
        <is>
          <t>Person C</t>
        </is>
      </c>
      <c r="B531" s="8">
        <f>'Home-Coverage'!A102</f>
        <v/>
      </c>
      <c r="C531" s="93">
        <f>'Home-Coverage'!A102</f>
        <v/>
      </c>
      <c r="D531" s="8">
        <f>'Home-Coverage'!C102</f>
        <v/>
      </c>
      <c r="E531" s="8">
        <f>'Home-Coverage'!D102</f>
        <v/>
      </c>
      <c r="F531" s="8">
        <f>'Home-Coverage'!E102</f>
        <v/>
      </c>
      <c r="G531" s="9">
        <f>'Home-Coverage'!F102</f>
        <v/>
      </c>
      <c r="H531" s="10">
        <f>'Home-Coverage'!G102</f>
        <v/>
      </c>
      <c r="I531" s="10">
        <f>'Home-Coverage'!H102</f>
        <v/>
      </c>
      <c r="J531" s="11">
        <f>'Home-Coverage'!I102</f>
        <v/>
      </c>
      <c r="K531" s="8">
        <f>'Home-Coverage'!J102</f>
        <v/>
      </c>
      <c r="L531" s="12">
        <f>'Home-Coverage'!K102</f>
        <v/>
      </c>
    </row>
    <row r="532" ht="18" customHeight="1" s="96">
      <c r="A532" s="2" t="inlineStr">
        <is>
          <t>Person C</t>
        </is>
      </c>
      <c r="B532" s="3">
        <f>'Home-Coverage'!A103</f>
        <v/>
      </c>
      <c r="C532" s="2">
        <f>'Home-Coverage'!A103</f>
        <v/>
      </c>
      <c r="D532" s="3">
        <f>'Home-Coverage'!C103</f>
        <v/>
      </c>
      <c r="E532" s="3">
        <f>'Home-Coverage'!D103</f>
        <v/>
      </c>
      <c r="F532" s="3">
        <f>'Home-Coverage'!E103</f>
        <v/>
      </c>
      <c r="G532" s="4">
        <f>'Home-Coverage'!F103</f>
        <v/>
      </c>
      <c r="H532" s="5">
        <f>'Home-Coverage'!G103</f>
        <v/>
      </c>
      <c r="I532" s="5">
        <f>'Home-Coverage'!H103</f>
        <v/>
      </c>
      <c r="J532" s="6">
        <f>'Home-Coverage'!I103</f>
        <v/>
      </c>
      <c r="K532" s="3">
        <f>'Home-Coverage'!J103</f>
        <v/>
      </c>
      <c r="L532" s="13">
        <f>'Home-Coverage'!K103</f>
        <v/>
      </c>
    </row>
    <row r="533" ht="18" customHeight="1" s="96">
      <c r="A533" s="93" t="inlineStr">
        <is>
          <t>Person C</t>
        </is>
      </c>
      <c r="B533" s="8">
        <f>'Home-Coverage'!A104</f>
        <v/>
      </c>
      <c r="C533" s="93">
        <f>'Home-Coverage'!A104</f>
        <v/>
      </c>
      <c r="D533" s="8">
        <f>'Home-Coverage'!C104</f>
        <v/>
      </c>
      <c r="E533" s="8">
        <f>'Home-Coverage'!D104</f>
        <v/>
      </c>
      <c r="F533" s="8">
        <f>'Home-Coverage'!E104</f>
        <v/>
      </c>
      <c r="G533" s="9">
        <f>'Home-Coverage'!F104</f>
        <v/>
      </c>
      <c r="H533" s="10">
        <f>'Home-Coverage'!G104</f>
        <v/>
      </c>
      <c r="I533" s="10">
        <f>'Home-Coverage'!H104</f>
        <v/>
      </c>
      <c r="J533" s="11">
        <f>'Home-Coverage'!I104</f>
        <v/>
      </c>
      <c r="K533" s="8">
        <f>'Home-Coverage'!J104</f>
        <v/>
      </c>
      <c r="L533" s="12">
        <f>'Home-Coverage'!K104</f>
        <v/>
      </c>
    </row>
    <row r="534" ht="18" customHeight="1" s="96">
      <c r="A534" s="2" t="inlineStr">
        <is>
          <t>Person C</t>
        </is>
      </c>
      <c r="B534" s="3">
        <f>'Home-Coverage'!A105</f>
        <v/>
      </c>
      <c r="C534" s="2">
        <f>'Home-Coverage'!A105</f>
        <v/>
      </c>
      <c r="D534" s="3">
        <f>'Home-Coverage'!C105</f>
        <v/>
      </c>
      <c r="E534" s="3">
        <f>'Home-Coverage'!D105</f>
        <v/>
      </c>
      <c r="F534" s="3">
        <f>'Home-Coverage'!E105</f>
        <v/>
      </c>
      <c r="G534" s="4">
        <f>'Home-Coverage'!F105</f>
        <v/>
      </c>
      <c r="H534" s="5">
        <f>'Home-Coverage'!G105</f>
        <v/>
      </c>
      <c r="I534" s="5">
        <f>'Home-Coverage'!H105</f>
        <v/>
      </c>
      <c r="J534" s="6">
        <f>'Home-Coverage'!I105</f>
        <v/>
      </c>
      <c r="K534" s="3">
        <f>'Home-Coverage'!J105</f>
        <v/>
      </c>
      <c r="L534" s="13">
        <f>'Home-Coverage'!K105</f>
        <v/>
      </c>
    </row>
    <row r="535" ht="18" customHeight="1" s="96">
      <c r="A535" s="93" t="inlineStr">
        <is>
          <t>Person C</t>
        </is>
      </c>
      <c r="B535" s="8">
        <f>'Home-Coverage'!A106</f>
        <v/>
      </c>
      <c r="C535" s="93">
        <f>'Home-Coverage'!A106</f>
        <v/>
      </c>
      <c r="D535" s="8">
        <f>'Home-Coverage'!C106</f>
        <v/>
      </c>
      <c r="E535" s="8">
        <f>'Home-Coverage'!D106</f>
        <v/>
      </c>
      <c r="F535" s="8">
        <f>'Home-Coverage'!E106</f>
        <v/>
      </c>
      <c r="G535" s="9">
        <f>'Home-Coverage'!F106</f>
        <v/>
      </c>
      <c r="H535" s="10">
        <f>'Home-Coverage'!G106</f>
        <v/>
      </c>
      <c r="I535" s="10">
        <f>'Home-Coverage'!H106</f>
        <v/>
      </c>
      <c r="J535" s="11">
        <f>'Home-Coverage'!I106</f>
        <v/>
      </c>
      <c r="K535" s="8">
        <f>'Home-Coverage'!J106</f>
        <v/>
      </c>
      <c r="L535" s="12">
        <f>'Home-Coverage'!K106</f>
        <v/>
      </c>
    </row>
    <row r="536" ht="18" customHeight="1" s="96">
      <c r="A536" s="2" t="inlineStr">
        <is>
          <t>Person C</t>
        </is>
      </c>
      <c r="B536" s="3">
        <f>'Home-Coverage'!A107</f>
        <v/>
      </c>
      <c r="C536" s="2">
        <f>'Home-Coverage'!A107</f>
        <v/>
      </c>
      <c r="D536" s="3">
        <f>'Home-Coverage'!C107</f>
        <v/>
      </c>
      <c r="E536" s="3">
        <f>'Home-Coverage'!D107</f>
        <v/>
      </c>
      <c r="F536" s="3">
        <f>'Home-Coverage'!E107</f>
        <v/>
      </c>
      <c r="G536" s="4">
        <f>'Home-Coverage'!F107</f>
        <v/>
      </c>
      <c r="H536" s="5">
        <f>'Home-Coverage'!G107</f>
        <v/>
      </c>
      <c r="I536" s="5">
        <f>'Home-Coverage'!H107</f>
        <v/>
      </c>
      <c r="J536" s="6">
        <f>'Home-Coverage'!I107</f>
        <v/>
      </c>
      <c r="K536" s="3">
        <f>'Home-Coverage'!J107</f>
        <v/>
      </c>
      <c r="L536" s="13">
        <f>'Home-Coverage'!K107</f>
        <v/>
      </c>
    </row>
    <row r="537" ht="18" customHeight="1" s="96">
      <c r="A537" s="93" t="inlineStr">
        <is>
          <t>Person C</t>
        </is>
      </c>
      <c r="B537" s="8">
        <f>'Home-Coverage'!A108</f>
        <v/>
      </c>
      <c r="C537" s="93">
        <f>'Home-Coverage'!A108</f>
        <v/>
      </c>
      <c r="D537" s="8">
        <f>'Home-Coverage'!C108</f>
        <v/>
      </c>
      <c r="E537" s="8">
        <f>'Home-Coverage'!D108</f>
        <v/>
      </c>
      <c r="F537" s="8">
        <f>'Home-Coverage'!E108</f>
        <v/>
      </c>
      <c r="G537" s="9">
        <f>'Home-Coverage'!F108</f>
        <v/>
      </c>
      <c r="H537" s="10">
        <f>'Home-Coverage'!G108</f>
        <v/>
      </c>
      <c r="I537" s="10">
        <f>'Home-Coverage'!H108</f>
        <v/>
      </c>
      <c r="J537" s="11">
        <f>'Home-Coverage'!I108</f>
        <v/>
      </c>
      <c r="K537" s="8">
        <f>'Home-Coverage'!J108</f>
        <v/>
      </c>
      <c r="L537" s="12">
        <f>'Home-Coverage'!K108</f>
        <v/>
      </c>
    </row>
    <row r="538" ht="18" customHeight="1" s="96">
      <c r="A538" s="2" t="inlineStr">
        <is>
          <t>Person C</t>
        </is>
      </c>
      <c r="B538" s="3">
        <f>'Home-Coverage'!A109</f>
        <v/>
      </c>
      <c r="C538" s="2">
        <f>'Home-Coverage'!A109</f>
        <v/>
      </c>
      <c r="D538" s="3">
        <f>'Home-Coverage'!C109</f>
        <v/>
      </c>
      <c r="E538" s="3">
        <f>'Home-Coverage'!D109</f>
        <v/>
      </c>
      <c r="F538" s="3">
        <f>'Home-Coverage'!E109</f>
        <v/>
      </c>
      <c r="G538" s="4">
        <f>'Home-Coverage'!F109</f>
        <v/>
      </c>
      <c r="H538" s="5">
        <f>'Home-Coverage'!G109</f>
        <v/>
      </c>
      <c r="I538" s="5">
        <f>'Home-Coverage'!H109</f>
        <v/>
      </c>
      <c r="J538" s="6">
        <f>'Home-Coverage'!I109</f>
        <v/>
      </c>
      <c r="K538" s="3">
        <f>'Home-Coverage'!J109</f>
        <v/>
      </c>
      <c r="L538" s="13">
        <f>'Home-Coverage'!K109</f>
        <v/>
      </c>
    </row>
    <row r="539" ht="18" customHeight="1" s="96">
      <c r="A539" s="93" t="inlineStr">
        <is>
          <t>Person C</t>
        </is>
      </c>
      <c r="B539" s="8">
        <f>'Home-Coverage'!A110</f>
        <v/>
      </c>
      <c r="C539" s="93">
        <f>'Home-Coverage'!A110</f>
        <v/>
      </c>
      <c r="D539" s="8">
        <f>'Home-Coverage'!C110</f>
        <v/>
      </c>
      <c r="E539" s="8">
        <f>'Home-Coverage'!D110</f>
        <v/>
      </c>
      <c r="F539" s="8">
        <f>'Home-Coverage'!E110</f>
        <v/>
      </c>
      <c r="G539" s="9">
        <f>'Home-Coverage'!F110</f>
        <v/>
      </c>
      <c r="H539" s="10">
        <f>'Home-Coverage'!G110</f>
        <v/>
      </c>
      <c r="I539" s="10">
        <f>'Home-Coverage'!H110</f>
        <v/>
      </c>
      <c r="J539" s="11">
        <f>'Home-Coverage'!I110</f>
        <v/>
      </c>
      <c r="K539" s="8">
        <f>'Home-Coverage'!J110</f>
        <v/>
      </c>
      <c r="L539" s="12">
        <f>'Home-Coverage'!K110</f>
        <v/>
      </c>
    </row>
    <row r="540" ht="18" customHeight="1" s="96">
      <c r="A540" s="2" t="inlineStr">
        <is>
          <t>Person C</t>
        </is>
      </c>
      <c r="B540" s="3">
        <f>'Home-Coverage'!A111</f>
        <v/>
      </c>
      <c r="C540" s="2">
        <f>'Home-Coverage'!A111</f>
        <v/>
      </c>
      <c r="D540" s="3">
        <f>'Home-Coverage'!C111</f>
        <v/>
      </c>
      <c r="E540" s="3">
        <f>'Home-Coverage'!D111</f>
        <v/>
      </c>
      <c r="F540" s="3">
        <f>'Home-Coverage'!E111</f>
        <v/>
      </c>
      <c r="G540" s="4">
        <f>'Home-Coverage'!F111</f>
        <v/>
      </c>
      <c r="H540" s="5">
        <f>'Home-Coverage'!G111</f>
        <v/>
      </c>
      <c r="I540" s="5">
        <f>'Home-Coverage'!H111</f>
        <v/>
      </c>
      <c r="J540" s="6">
        <f>'Home-Coverage'!I111</f>
        <v/>
      </c>
      <c r="K540" s="3">
        <f>'Home-Coverage'!J111</f>
        <v/>
      </c>
      <c r="L540" s="13">
        <f>'Home-Coverage'!K111</f>
        <v/>
      </c>
    </row>
    <row r="541" ht="18" customHeight="1" s="96">
      <c r="A541" s="93" t="inlineStr">
        <is>
          <t>Person C</t>
        </is>
      </c>
      <c r="B541" s="8">
        <f>'Home-Coverage'!A112</f>
        <v/>
      </c>
      <c r="C541" s="93">
        <f>'Home-Coverage'!A112</f>
        <v/>
      </c>
      <c r="D541" s="8">
        <f>'Home-Coverage'!C112</f>
        <v/>
      </c>
      <c r="E541" s="8">
        <f>'Home-Coverage'!D112</f>
        <v/>
      </c>
      <c r="F541" s="8">
        <f>'Home-Coverage'!E112</f>
        <v/>
      </c>
      <c r="G541" s="9">
        <f>'Home-Coverage'!F112</f>
        <v/>
      </c>
      <c r="H541" s="10">
        <f>'Home-Coverage'!G112</f>
        <v/>
      </c>
      <c r="I541" s="10">
        <f>'Home-Coverage'!H112</f>
        <v/>
      </c>
      <c r="J541" s="11">
        <f>'Home-Coverage'!I112</f>
        <v/>
      </c>
      <c r="K541" s="8">
        <f>'Home-Coverage'!J112</f>
        <v/>
      </c>
      <c r="L541" s="12">
        <f>'Home-Coverage'!K112</f>
        <v/>
      </c>
    </row>
    <row r="542" ht="18" customHeight="1" s="96">
      <c r="A542" s="2" t="inlineStr">
        <is>
          <t>Person C</t>
        </is>
      </c>
      <c r="B542" s="3">
        <f>'Home-Coverage'!A113</f>
        <v/>
      </c>
      <c r="C542" s="2">
        <f>'Home-Coverage'!A113</f>
        <v/>
      </c>
      <c r="D542" s="3">
        <f>'Home-Coverage'!C113</f>
        <v/>
      </c>
      <c r="E542" s="3">
        <f>'Home-Coverage'!D113</f>
        <v/>
      </c>
      <c r="F542" s="3">
        <f>'Home-Coverage'!E113</f>
        <v/>
      </c>
      <c r="G542" s="4">
        <f>'Home-Coverage'!F113</f>
        <v/>
      </c>
      <c r="H542" s="5">
        <f>'Home-Coverage'!G113</f>
        <v/>
      </c>
      <c r="I542" s="5">
        <f>'Home-Coverage'!H113</f>
        <v/>
      </c>
      <c r="J542" s="6">
        <f>'Home-Coverage'!I113</f>
        <v/>
      </c>
      <c r="K542" s="3">
        <f>'Home-Coverage'!J113</f>
        <v/>
      </c>
      <c r="L542" s="13">
        <f>'Home-Coverage'!K113</f>
        <v/>
      </c>
    </row>
    <row r="543" ht="18" customHeight="1" s="96">
      <c r="A543" s="93" t="inlineStr">
        <is>
          <t>Person C</t>
        </is>
      </c>
      <c r="B543" s="8">
        <f>'Home-Coverage'!A114</f>
        <v/>
      </c>
      <c r="C543" s="93">
        <f>'Home-Coverage'!A114</f>
        <v/>
      </c>
      <c r="D543" s="8">
        <f>'Home-Coverage'!C114</f>
        <v/>
      </c>
      <c r="E543" s="8">
        <f>'Home-Coverage'!D114</f>
        <v/>
      </c>
      <c r="F543" s="8">
        <f>'Home-Coverage'!E114</f>
        <v/>
      </c>
      <c r="G543" s="9">
        <f>'Home-Coverage'!F114</f>
        <v/>
      </c>
      <c r="H543" s="10">
        <f>'Home-Coverage'!G114</f>
        <v/>
      </c>
      <c r="I543" s="10">
        <f>'Home-Coverage'!H114</f>
        <v/>
      </c>
      <c r="J543" s="11">
        <f>'Home-Coverage'!I114</f>
        <v/>
      </c>
      <c r="K543" s="8">
        <f>'Home-Coverage'!J114</f>
        <v/>
      </c>
      <c r="L543" s="12">
        <f>'Home-Coverage'!K114</f>
        <v/>
      </c>
    </row>
    <row r="544" ht="18" customHeight="1" s="96">
      <c r="A544" s="2" t="inlineStr">
        <is>
          <t>Person C</t>
        </is>
      </c>
      <c r="B544" s="3">
        <f>'Home-Coverage'!A115</f>
        <v/>
      </c>
      <c r="C544" s="2">
        <f>'Home-Coverage'!A115</f>
        <v/>
      </c>
      <c r="D544" s="3">
        <f>'Home-Coverage'!C115</f>
        <v/>
      </c>
      <c r="E544" s="3">
        <f>'Home-Coverage'!D115</f>
        <v/>
      </c>
      <c r="F544" s="3">
        <f>'Home-Coverage'!E115</f>
        <v/>
      </c>
      <c r="G544" s="4">
        <f>'Home-Coverage'!F115</f>
        <v/>
      </c>
      <c r="H544" s="5">
        <f>'Home-Coverage'!G115</f>
        <v/>
      </c>
      <c r="I544" s="5">
        <f>'Home-Coverage'!H115</f>
        <v/>
      </c>
      <c r="J544" s="6">
        <f>'Home-Coverage'!I115</f>
        <v/>
      </c>
      <c r="K544" s="3">
        <f>'Home-Coverage'!J115</f>
        <v/>
      </c>
      <c r="L544" s="13">
        <f>'Home-Coverage'!K115</f>
        <v/>
      </c>
    </row>
    <row r="545" ht="18" customHeight="1" s="96">
      <c r="A545" s="93" t="inlineStr">
        <is>
          <t>Person C</t>
        </is>
      </c>
      <c r="B545" s="8">
        <f>'Home-Coverage'!A116</f>
        <v/>
      </c>
      <c r="C545" s="93">
        <f>'Home-Coverage'!A116</f>
        <v/>
      </c>
      <c r="D545" s="8">
        <f>'Home-Coverage'!C116</f>
        <v/>
      </c>
      <c r="E545" s="8">
        <f>'Home-Coverage'!D116</f>
        <v/>
      </c>
      <c r="F545" s="8">
        <f>'Home-Coverage'!E116</f>
        <v/>
      </c>
      <c r="G545" s="9">
        <f>'Home-Coverage'!F116</f>
        <v/>
      </c>
      <c r="H545" s="10">
        <f>'Home-Coverage'!G116</f>
        <v/>
      </c>
      <c r="I545" s="10">
        <f>'Home-Coverage'!H116</f>
        <v/>
      </c>
      <c r="J545" s="11">
        <f>'Home-Coverage'!I116</f>
        <v/>
      </c>
      <c r="K545" s="8">
        <f>'Home-Coverage'!J116</f>
        <v/>
      </c>
      <c r="L545" s="12">
        <f>'Home-Coverage'!K116</f>
        <v/>
      </c>
    </row>
    <row r="546" ht="18" customHeight="1" s="96">
      <c r="A546" s="2" t="inlineStr">
        <is>
          <t>Person C</t>
        </is>
      </c>
      <c r="B546" s="3">
        <f>'Home-Coverage'!A117</f>
        <v/>
      </c>
      <c r="C546" s="2">
        <f>'Home-Coverage'!A117</f>
        <v/>
      </c>
      <c r="D546" s="3">
        <f>'Home-Coverage'!C117</f>
        <v/>
      </c>
      <c r="E546" s="3">
        <f>'Home-Coverage'!D117</f>
        <v/>
      </c>
      <c r="F546" s="3">
        <f>'Home-Coverage'!E117</f>
        <v/>
      </c>
      <c r="G546" s="4">
        <f>'Home-Coverage'!F117</f>
        <v/>
      </c>
      <c r="H546" s="5">
        <f>'Home-Coverage'!G117</f>
        <v/>
      </c>
      <c r="I546" s="5">
        <f>'Home-Coverage'!H117</f>
        <v/>
      </c>
      <c r="J546" s="6">
        <f>'Home-Coverage'!I117</f>
        <v/>
      </c>
      <c r="K546" s="3">
        <f>'Home-Coverage'!J117</f>
        <v/>
      </c>
      <c r="L546" s="13">
        <f>'Home-Coverage'!K117</f>
        <v/>
      </c>
    </row>
    <row r="547" ht="18" customHeight="1" s="96">
      <c r="A547" s="93" t="inlineStr">
        <is>
          <t>Person C</t>
        </is>
      </c>
      <c r="B547" s="8">
        <f>'Home-Coverage'!A118</f>
        <v/>
      </c>
      <c r="C547" s="93">
        <f>'Home-Coverage'!A118</f>
        <v/>
      </c>
      <c r="D547" s="8">
        <f>'Home-Coverage'!C118</f>
        <v/>
      </c>
      <c r="E547" s="8">
        <f>'Home-Coverage'!D118</f>
        <v/>
      </c>
      <c r="F547" s="8">
        <f>'Home-Coverage'!E118</f>
        <v/>
      </c>
      <c r="G547" s="9">
        <f>'Home-Coverage'!F118</f>
        <v/>
      </c>
      <c r="H547" s="10">
        <f>'Home-Coverage'!G118</f>
        <v/>
      </c>
      <c r="I547" s="10">
        <f>'Home-Coverage'!H118</f>
        <v/>
      </c>
      <c r="J547" s="11">
        <f>'Home-Coverage'!I118</f>
        <v/>
      </c>
      <c r="K547" s="8">
        <f>'Home-Coverage'!J118</f>
        <v/>
      </c>
      <c r="L547" s="12">
        <f>'Home-Coverage'!K118</f>
        <v/>
      </c>
    </row>
    <row r="548" ht="18" customHeight="1" s="96">
      <c r="A548" s="2" t="inlineStr">
        <is>
          <t>Person C</t>
        </is>
      </c>
      <c r="B548" s="3">
        <f>'Home-Coverage'!A119</f>
        <v/>
      </c>
      <c r="C548" s="2">
        <f>'Home-Coverage'!A119</f>
        <v/>
      </c>
      <c r="D548" s="3">
        <f>'Home-Coverage'!C119</f>
        <v/>
      </c>
      <c r="E548" s="3">
        <f>'Home-Coverage'!D119</f>
        <v/>
      </c>
      <c r="F548" s="3">
        <f>'Home-Coverage'!E119</f>
        <v/>
      </c>
      <c r="G548" s="4">
        <f>'Home-Coverage'!F119</f>
        <v/>
      </c>
      <c r="H548" s="5">
        <f>'Home-Coverage'!G119</f>
        <v/>
      </c>
      <c r="I548" s="5">
        <f>'Home-Coverage'!H119</f>
        <v/>
      </c>
      <c r="J548" s="6">
        <f>'Home-Coverage'!I119</f>
        <v/>
      </c>
      <c r="K548" s="3">
        <f>'Home-Coverage'!J119</f>
        <v/>
      </c>
      <c r="L548" s="13">
        <f>'Home-Coverage'!K119</f>
        <v/>
      </c>
    </row>
    <row r="549" ht="18" customHeight="1" s="96">
      <c r="A549" s="93" t="inlineStr">
        <is>
          <t>Person C</t>
        </is>
      </c>
      <c r="B549" s="8">
        <f>'Home-Coverage'!A120</f>
        <v/>
      </c>
      <c r="C549" s="93">
        <f>'Home-Coverage'!A120</f>
        <v/>
      </c>
      <c r="D549" s="8">
        <f>'Home-Coverage'!C120</f>
        <v/>
      </c>
      <c r="E549" s="8">
        <f>'Home-Coverage'!D120</f>
        <v/>
      </c>
      <c r="F549" s="8">
        <f>'Home-Coverage'!E120</f>
        <v/>
      </c>
      <c r="G549" s="9">
        <f>'Home-Coverage'!F120</f>
        <v/>
      </c>
      <c r="H549" s="10">
        <f>'Home-Coverage'!G120</f>
        <v/>
      </c>
      <c r="I549" s="10">
        <f>'Home-Coverage'!H120</f>
        <v/>
      </c>
      <c r="J549" s="11">
        <f>'Home-Coverage'!I120</f>
        <v/>
      </c>
      <c r="K549" s="8">
        <f>'Home-Coverage'!J120</f>
        <v/>
      </c>
      <c r="L549" s="12">
        <f>'Home-Coverage'!K120</f>
        <v/>
      </c>
    </row>
    <row r="550" ht="18" customHeight="1" s="96">
      <c r="A550" s="2" t="inlineStr">
        <is>
          <t>Person C</t>
        </is>
      </c>
      <c r="B550" s="3">
        <f>'Home-Coverage'!A121</f>
        <v/>
      </c>
      <c r="C550" s="2">
        <f>'Home-Coverage'!A121</f>
        <v/>
      </c>
      <c r="D550" s="3">
        <f>'Home-Coverage'!C121</f>
        <v/>
      </c>
      <c r="E550" s="3">
        <f>'Home-Coverage'!D121</f>
        <v/>
      </c>
      <c r="F550" s="3">
        <f>'Home-Coverage'!E121</f>
        <v/>
      </c>
      <c r="G550" s="4">
        <f>'Home-Coverage'!F121</f>
        <v/>
      </c>
      <c r="H550" s="5">
        <f>'Home-Coverage'!G121</f>
        <v/>
      </c>
      <c r="I550" s="5">
        <f>'Home-Coverage'!H121</f>
        <v/>
      </c>
      <c r="J550" s="6">
        <f>'Home-Coverage'!I121</f>
        <v/>
      </c>
      <c r="K550" s="3">
        <f>'Home-Coverage'!J121</f>
        <v/>
      </c>
      <c r="L550" s="13">
        <f>'Home-Coverage'!K121</f>
        <v/>
      </c>
    </row>
    <row r="551" ht="18" customHeight="1" s="96">
      <c r="A551" s="93" t="inlineStr">
        <is>
          <t>Person C</t>
        </is>
      </c>
      <c r="B551" s="8">
        <f>'Home-Coverage'!A122</f>
        <v/>
      </c>
      <c r="C551" s="93">
        <f>'Home-Coverage'!A122</f>
        <v/>
      </c>
      <c r="D551" s="8">
        <f>'Home-Coverage'!C122</f>
        <v/>
      </c>
      <c r="E551" s="8">
        <f>'Home-Coverage'!D122</f>
        <v/>
      </c>
      <c r="F551" s="8">
        <f>'Home-Coverage'!E122</f>
        <v/>
      </c>
      <c r="G551" s="9">
        <f>'Home-Coverage'!F122</f>
        <v/>
      </c>
      <c r="H551" s="10">
        <f>'Home-Coverage'!G122</f>
        <v/>
      </c>
      <c r="I551" s="10">
        <f>'Home-Coverage'!H122</f>
        <v/>
      </c>
      <c r="J551" s="11">
        <f>'Home-Coverage'!I122</f>
        <v/>
      </c>
      <c r="K551" s="8">
        <f>'Home-Coverage'!J122</f>
        <v/>
      </c>
      <c r="L551" s="12">
        <f>'Home-Coverage'!K122</f>
        <v/>
      </c>
    </row>
    <row r="552" ht="18" customHeight="1" s="96">
      <c r="A552" s="2" t="inlineStr">
        <is>
          <t>Person C</t>
        </is>
      </c>
      <c r="B552" s="3">
        <f>'Home-Coverage'!A123</f>
        <v/>
      </c>
      <c r="C552" s="2">
        <f>'Home-Coverage'!A123</f>
        <v/>
      </c>
      <c r="D552" s="3">
        <f>'Home-Coverage'!C123</f>
        <v/>
      </c>
      <c r="E552" s="3">
        <f>'Home-Coverage'!D123</f>
        <v/>
      </c>
      <c r="F552" s="3">
        <f>'Home-Coverage'!E123</f>
        <v/>
      </c>
      <c r="G552" s="4">
        <f>'Home-Coverage'!F123</f>
        <v/>
      </c>
      <c r="H552" s="5">
        <f>'Home-Coverage'!G123</f>
        <v/>
      </c>
      <c r="I552" s="5">
        <f>'Home-Coverage'!H123</f>
        <v/>
      </c>
      <c r="J552" s="6">
        <f>'Home-Coverage'!I123</f>
        <v/>
      </c>
      <c r="K552" s="3">
        <f>'Home-Coverage'!J123</f>
        <v/>
      </c>
      <c r="L552" s="13">
        <f>'Home-Coverage'!K123</f>
        <v/>
      </c>
    </row>
    <row r="553" ht="18" customHeight="1" s="96">
      <c r="A553" s="93" t="inlineStr">
        <is>
          <t>Person C</t>
        </is>
      </c>
      <c r="B553" s="8">
        <f>'Home-Coverage'!A124</f>
        <v/>
      </c>
      <c r="C553" s="93">
        <f>'Home-Coverage'!A124</f>
        <v/>
      </c>
      <c r="D553" s="8">
        <f>'Home-Coverage'!C124</f>
        <v/>
      </c>
      <c r="E553" s="8">
        <f>'Home-Coverage'!D124</f>
        <v/>
      </c>
      <c r="F553" s="8">
        <f>'Home-Coverage'!E124</f>
        <v/>
      </c>
      <c r="G553" s="9">
        <f>'Home-Coverage'!F124</f>
        <v/>
      </c>
      <c r="H553" s="10">
        <f>'Home-Coverage'!G124</f>
        <v/>
      </c>
      <c r="I553" s="10">
        <f>'Home-Coverage'!H124</f>
        <v/>
      </c>
      <c r="J553" s="11">
        <f>'Home-Coverage'!I124</f>
        <v/>
      </c>
      <c r="K553" s="8">
        <f>'Home-Coverage'!J124</f>
        <v/>
      </c>
      <c r="L553" s="12">
        <f>'Home-Coverage'!K124</f>
        <v/>
      </c>
    </row>
    <row r="554" ht="18" customHeight="1" s="96">
      <c r="A554" s="2" t="inlineStr">
        <is>
          <t>Person C</t>
        </is>
      </c>
      <c r="B554" s="3">
        <f>'Home-Coverage'!A125</f>
        <v/>
      </c>
      <c r="C554" s="2">
        <f>'Home-Coverage'!A125</f>
        <v/>
      </c>
      <c r="D554" s="3">
        <f>'Home-Coverage'!C125</f>
        <v/>
      </c>
      <c r="E554" s="3">
        <f>'Home-Coverage'!D125</f>
        <v/>
      </c>
      <c r="F554" s="3">
        <f>'Home-Coverage'!E125</f>
        <v/>
      </c>
      <c r="G554" s="4">
        <f>'Home-Coverage'!F125</f>
        <v/>
      </c>
      <c r="H554" s="5">
        <f>'Home-Coverage'!G125</f>
        <v/>
      </c>
      <c r="I554" s="5">
        <f>'Home-Coverage'!H125</f>
        <v/>
      </c>
      <c r="J554" s="6">
        <f>'Home-Coverage'!I125</f>
        <v/>
      </c>
      <c r="K554" s="3">
        <f>'Home-Coverage'!J125</f>
        <v/>
      </c>
      <c r="L554" s="13">
        <f>'Home-Coverage'!K125</f>
        <v/>
      </c>
    </row>
    <row r="555" ht="18" customHeight="1" s="96">
      <c r="A555" s="93" t="inlineStr">
        <is>
          <t>Person C</t>
        </is>
      </c>
      <c r="B555" s="8">
        <f>'Home-Coverage'!A126</f>
        <v/>
      </c>
      <c r="C555" s="93">
        <f>'Home-Coverage'!A126</f>
        <v/>
      </c>
      <c r="D555" s="8">
        <f>'Home-Coverage'!C126</f>
        <v/>
      </c>
      <c r="E555" s="8">
        <f>'Home-Coverage'!D126</f>
        <v/>
      </c>
      <c r="F555" s="8">
        <f>'Home-Coverage'!E126</f>
        <v/>
      </c>
      <c r="G555" s="9">
        <f>'Home-Coverage'!F126</f>
        <v/>
      </c>
      <c r="H555" s="10">
        <f>'Home-Coverage'!G126</f>
        <v/>
      </c>
      <c r="I555" s="10">
        <f>'Home-Coverage'!H126</f>
        <v/>
      </c>
      <c r="J555" s="11">
        <f>'Home-Coverage'!I126</f>
        <v/>
      </c>
      <c r="K555" s="8">
        <f>'Home-Coverage'!J126</f>
        <v/>
      </c>
      <c r="L555" s="12">
        <f>'Home-Coverage'!K126</f>
        <v/>
      </c>
    </row>
    <row r="556" ht="18" customHeight="1" s="96">
      <c r="A556" s="2" t="inlineStr">
        <is>
          <t>Person C</t>
        </is>
      </c>
      <c r="B556" s="3">
        <f>'Home-Coverage'!A127</f>
        <v/>
      </c>
      <c r="C556" s="2">
        <f>'Home-Coverage'!A127</f>
        <v/>
      </c>
      <c r="D556" s="3">
        <f>'Home-Coverage'!C127</f>
        <v/>
      </c>
      <c r="E556" s="3">
        <f>'Home-Coverage'!D127</f>
        <v/>
      </c>
      <c r="F556" s="3">
        <f>'Home-Coverage'!E127</f>
        <v/>
      </c>
      <c r="G556" s="4">
        <f>'Home-Coverage'!F127</f>
        <v/>
      </c>
      <c r="H556" s="5">
        <f>'Home-Coverage'!G127</f>
        <v/>
      </c>
      <c r="I556" s="5">
        <f>'Home-Coverage'!H127</f>
        <v/>
      </c>
      <c r="J556" s="6">
        <f>'Home-Coverage'!I127</f>
        <v/>
      </c>
      <c r="K556" s="3">
        <f>'Home-Coverage'!J127</f>
        <v/>
      </c>
      <c r="L556" s="13">
        <f>'Home-Coverage'!K127</f>
        <v/>
      </c>
    </row>
    <row r="557" ht="18" customHeight="1" s="96">
      <c r="A557" s="93" t="inlineStr">
        <is>
          <t>Person C</t>
        </is>
      </c>
      <c r="B557" s="8">
        <f>'Home-Coverage'!A128</f>
        <v/>
      </c>
      <c r="C557" s="93">
        <f>'Home-Coverage'!A128</f>
        <v/>
      </c>
      <c r="D557" s="8">
        <f>'Home-Coverage'!C128</f>
        <v/>
      </c>
      <c r="E557" s="8">
        <f>'Home-Coverage'!D128</f>
        <v/>
      </c>
      <c r="F557" s="8">
        <f>'Home-Coverage'!E128</f>
        <v/>
      </c>
      <c r="G557" s="9">
        <f>'Home-Coverage'!F128</f>
        <v/>
      </c>
      <c r="H557" s="10">
        <f>'Home-Coverage'!G128</f>
        <v/>
      </c>
      <c r="I557" s="10">
        <f>'Home-Coverage'!H128</f>
        <v/>
      </c>
      <c r="J557" s="11">
        <f>'Home-Coverage'!I128</f>
        <v/>
      </c>
      <c r="K557" s="8">
        <f>'Home-Coverage'!J128</f>
        <v/>
      </c>
      <c r="L557" s="12">
        <f>'Home-Coverage'!K128</f>
        <v/>
      </c>
    </row>
    <row r="558" ht="18" customHeight="1" s="96">
      <c r="A558" s="2" t="inlineStr">
        <is>
          <t>Person C</t>
        </is>
      </c>
      <c r="B558" s="3">
        <f>'Home-Coverage'!A129</f>
        <v/>
      </c>
      <c r="C558" s="2">
        <f>'Home-Coverage'!A129</f>
        <v/>
      </c>
      <c r="D558" s="3">
        <f>'Home-Coverage'!C129</f>
        <v/>
      </c>
      <c r="E558" s="3">
        <f>'Home-Coverage'!D129</f>
        <v/>
      </c>
      <c r="F558" s="3">
        <f>'Home-Coverage'!E129</f>
        <v/>
      </c>
      <c r="G558" s="4">
        <f>'Home-Coverage'!F129</f>
        <v/>
      </c>
      <c r="H558" s="5">
        <f>'Home-Coverage'!G129</f>
        <v/>
      </c>
      <c r="I558" s="5">
        <f>'Home-Coverage'!H129</f>
        <v/>
      </c>
      <c r="J558" s="6">
        <f>'Home-Coverage'!I129</f>
        <v/>
      </c>
      <c r="K558" s="3">
        <f>'Home-Coverage'!J129</f>
        <v/>
      </c>
      <c r="L558" s="13">
        <f>'Home-Coverage'!K129</f>
        <v/>
      </c>
    </row>
    <row r="559" ht="18" customHeight="1" s="96">
      <c r="A559" s="93" t="inlineStr">
        <is>
          <t>Person C</t>
        </is>
      </c>
      <c r="B559" s="8">
        <f>'Home-Coverage'!A130</f>
        <v/>
      </c>
      <c r="C559" s="93">
        <f>'Home-Coverage'!A130</f>
        <v/>
      </c>
      <c r="D559" s="8">
        <f>'Home-Coverage'!C130</f>
        <v/>
      </c>
      <c r="E559" s="8">
        <f>'Home-Coverage'!D130</f>
        <v/>
      </c>
      <c r="F559" s="8">
        <f>'Home-Coverage'!E130</f>
        <v/>
      </c>
      <c r="G559" s="9">
        <f>'Home-Coverage'!F130</f>
        <v/>
      </c>
      <c r="H559" s="10">
        <f>'Home-Coverage'!G130</f>
        <v/>
      </c>
      <c r="I559" s="10">
        <f>'Home-Coverage'!H130</f>
        <v/>
      </c>
      <c r="J559" s="11">
        <f>'Home-Coverage'!I130</f>
        <v/>
      </c>
      <c r="K559" s="8">
        <f>'Home-Coverage'!J130</f>
        <v/>
      </c>
      <c r="L559" s="12">
        <f>'Home-Coverage'!K130</f>
        <v/>
      </c>
    </row>
    <row r="560" ht="18" customHeight="1" s="96">
      <c r="A560" s="2" t="inlineStr">
        <is>
          <t>Person C</t>
        </is>
      </c>
      <c r="B560" s="3">
        <f>'Home-Coverage'!A131</f>
        <v/>
      </c>
      <c r="C560" s="2">
        <f>'Home-Coverage'!A131</f>
        <v/>
      </c>
      <c r="D560" s="3">
        <f>'Home-Coverage'!C131</f>
        <v/>
      </c>
      <c r="E560" s="3">
        <f>'Home-Coverage'!D131</f>
        <v/>
      </c>
      <c r="F560" s="3">
        <f>'Home-Coverage'!E131</f>
        <v/>
      </c>
      <c r="G560" s="4">
        <f>'Home-Coverage'!F131</f>
        <v/>
      </c>
      <c r="H560" s="5">
        <f>'Home-Coverage'!G131</f>
        <v/>
      </c>
      <c r="I560" s="5">
        <f>'Home-Coverage'!H131</f>
        <v/>
      </c>
      <c r="J560" s="6">
        <f>'Home-Coverage'!I131</f>
        <v/>
      </c>
      <c r="K560" s="3">
        <f>'Home-Coverage'!J131</f>
        <v/>
      </c>
      <c r="L560" s="13">
        <f>'Home-Coverage'!K131</f>
        <v/>
      </c>
    </row>
    <row r="561" ht="18" customHeight="1" s="96">
      <c r="A561" s="93" t="inlineStr">
        <is>
          <t>Person C</t>
        </is>
      </c>
      <c r="B561" s="8">
        <f>'Home-Coverage'!A132</f>
        <v/>
      </c>
      <c r="C561" s="93">
        <f>'Home-Coverage'!A132</f>
        <v/>
      </c>
      <c r="D561" s="8">
        <f>'Home-Coverage'!C132</f>
        <v/>
      </c>
      <c r="E561" s="8">
        <f>'Home-Coverage'!D132</f>
        <v/>
      </c>
      <c r="F561" s="8">
        <f>'Home-Coverage'!E132</f>
        <v/>
      </c>
      <c r="G561" s="9">
        <f>'Home-Coverage'!F132</f>
        <v/>
      </c>
      <c r="H561" s="10">
        <f>'Home-Coverage'!G132</f>
        <v/>
      </c>
      <c r="I561" s="10">
        <f>'Home-Coverage'!H132</f>
        <v/>
      </c>
      <c r="J561" s="11">
        <f>'Home-Coverage'!I132</f>
        <v/>
      </c>
      <c r="K561" s="8">
        <f>'Home-Coverage'!J132</f>
        <v/>
      </c>
      <c r="L561" s="12">
        <f>'Home-Coverage'!K132</f>
        <v/>
      </c>
    </row>
    <row r="562" ht="18" customHeight="1" s="96">
      <c r="A562" s="2" t="inlineStr">
        <is>
          <t>Person C</t>
        </is>
      </c>
      <c r="B562" s="3">
        <f>'Home-Coverage'!A133</f>
        <v/>
      </c>
      <c r="C562" s="2">
        <f>'Home-Coverage'!A133</f>
        <v/>
      </c>
      <c r="D562" s="3">
        <f>'Home-Coverage'!C133</f>
        <v/>
      </c>
      <c r="E562" s="3">
        <f>'Home-Coverage'!D133</f>
        <v/>
      </c>
      <c r="F562" s="3">
        <f>'Home-Coverage'!E133</f>
        <v/>
      </c>
      <c r="G562" s="4">
        <f>'Home-Coverage'!F133</f>
        <v/>
      </c>
      <c r="H562" s="5">
        <f>'Home-Coverage'!G133</f>
        <v/>
      </c>
      <c r="I562" s="5">
        <f>'Home-Coverage'!H133</f>
        <v/>
      </c>
      <c r="J562" s="6">
        <f>'Home-Coverage'!I133</f>
        <v/>
      </c>
      <c r="K562" s="3">
        <f>'Home-Coverage'!J133</f>
        <v/>
      </c>
      <c r="L562" s="13">
        <f>'Home-Coverage'!K133</f>
        <v/>
      </c>
    </row>
    <row r="563" ht="18" customHeight="1" s="96">
      <c r="A563" s="93" t="inlineStr">
        <is>
          <t>Person C</t>
        </is>
      </c>
      <c r="B563" s="8">
        <f>'Home-Coverage'!A134</f>
        <v/>
      </c>
      <c r="C563" s="93">
        <f>'Home-Coverage'!A134</f>
        <v/>
      </c>
      <c r="D563" s="8">
        <f>'Home-Coverage'!C134</f>
        <v/>
      </c>
      <c r="E563" s="8">
        <f>'Home-Coverage'!D134</f>
        <v/>
      </c>
      <c r="F563" s="8">
        <f>'Home-Coverage'!E134</f>
        <v/>
      </c>
      <c r="G563" s="9">
        <f>'Home-Coverage'!F134</f>
        <v/>
      </c>
      <c r="H563" s="10">
        <f>'Home-Coverage'!G134</f>
        <v/>
      </c>
      <c r="I563" s="10">
        <f>'Home-Coverage'!H134</f>
        <v/>
      </c>
      <c r="J563" s="11">
        <f>'Home-Coverage'!I134</f>
        <v/>
      </c>
      <c r="K563" s="8">
        <f>'Home-Coverage'!J134</f>
        <v/>
      </c>
      <c r="L563" s="12">
        <f>'Home-Coverage'!K134</f>
        <v/>
      </c>
    </row>
    <row r="564" ht="18" customHeight="1" s="96">
      <c r="A564" s="2" t="inlineStr">
        <is>
          <t>Person C</t>
        </is>
      </c>
      <c r="B564" s="3">
        <f>'Home-Coverage'!A135</f>
        <v/>
      </c>
      <c r="C564" s="2">
        <f>'Home-Coverage'!A135</f>
        <v/>
      </c>
      <c r="D564" s="3">
        <f>'Home-Coverage'!C135</f>
        <v/>
      </c>
      <c r="E564" s="3">
        <f>'Home-Coverage'!D135</f>
        <v/>
      </c>
      <c r="F564" s="3">
        <f>'Home-Coverage'!E135</f>
        <v/>
      </c>
      <c r="G564" s="4">
        <f>'Home-Coverage'!F135</f>
        <v/>
      </c>
      <c r="H564" s="5">
        <f>'Home-Coverage'!G135</f>
        <v/>
      </c>
      <c r="I564" s="5">
        <f>'Home-Coverage'!H135</f>
        <v/>
      </c>
      <c r="J564" s="6">
        <f>'Home-Coverage'!I135</f>
        <v/>
      </c>
      <c r="K564" s="3">
        <f>'Home-Coverage'!J135</f>
        <v/>
      </c>
      <c r="L564" s="13">
        <f>'Home-Coverage'!K135</f>
        <v/>
      </c>
    </row>
    <row r="565" ht="18" customHeight="1" s="96">
      <c r="A565" s="93" t="inlineStr">
        <is>
          <t>Person C</t>
        </is>
      </c>
      <c r="B565" s="8">
        <f>'Home-Coverage'!A136</f>
        <v/>
      </c>
      <c r="C565" s="93">
        <f>'Home-Coverage'!A136</f>
        <v/>
      </c>
      <c r="D565" s="8">
        <f>'Home-Coverage'!C136</f>
        <v/>
      </c>
      <c r="E565" s="8">
        <f>'Home-Coverage'!D136</f>
        <v/>
      </c>
      <c r="F565" s="8">
        <f>'Home-Coverage'!E136</f>
        <v/>
      </c>
      <c r="G565" s="9">
        <f>'Home-Coverage'!F136</f>
        <v/>
      </c>
      <c r="H565" s="10">
        <f>'Home-Coverage'!G136</f>
        <v/>
      </c>
      <c r="I565" s="10">
        <f>'Home-Coverage'!H136</f>
        <v/>
      </c>
      <c r="J565" s="11">
        <f>'Home-Coverage'!I136</f>
        <v/>
      </c>
      <c r="K565" s="8">
        <f>'Home-Coverage'!J136</f>
        <v/>
      </c>
      <c r="L565" s="12">
        <f>'Home-Coverage'!K136</f>
        <v/>
      </c>
    </row>
    <row r="566" ht="18" customHeight="1" s="96">
      <c r="A566" s="2" t="inlineStr">
        <is>
          <t>Person C</t>
        </is>
      </c>
      <c r="B566" s="3">
        <f>'Home-Coverage'!A137</f>
        <v/>
      </c>
      <c r="C566" s="2">
        <f>'Home-Coverage'!A137</f>
        <v/>
      </c>
      <c r="D566" s="3">
        <f>'Home-Coverage'!C137</f>
        <v/>
      </c>
      <c r="E566" s="3">
        <f>'Home-Coverage'!D137</f>
        <v/>
      </c>
      <c r="F566" s="3">
        <f>'Home-Coverage'!E137</f>
        <v/>
      </c>
      <c r="G566" s="4">
        <f>'Home-Coverage'!F137</f>
        <v/>
      </c>
      <c r="H566" s="5">
        <f>'Home-Coverage'!G137</f>
        <v/>
      </c>
      <c r="I566" s="5">
        <f>'Home-Coverage'!H137</f>
        <v/>
      </c>
      <c r="J566" s="6">
        <f>'Home-Coverage'!I137</f>
        <v/>
      </c>
      <c r="K566" s="3">
        <f>'Home-Coverage'!J137</f>
        <v/>
      </c>
      <c r="L566" s="13">
        <f>'Home-Coverage'!K137</f>
        <v/>
      </c>
    </row>
    <row r="567" ht="18" customHeight="1" s="96">
      <c r="A567" s="93" t="inlineStr">
        <is>
          <t>Person C</t>
        </is>
      </c>
      <c r="B567" s="8">
        <f>'Home-Coverage'!A138</f>
        <v/>
      </c>
      <c r="C567" s="93">
        <f>'Home-Coverage'!A138</f>
        <v/>
      </c>
      <c r="D567" s="8">
        <f>'Home-Coverage'!C138</f>
        <v/>
      </c>
      <c r="E567" s="8">
        <f>'Home-Coverage'!D138</f>
        <v/>
      </c>
      <c r="F567" s="8">
        <f>'Home-Coverage'!E138</f>
        <v/>
      </c>
      <c r="G567" s="9">
        <f>'Home-Coverage'!F138</f>
        <v/>
      </c>
      <c r="H567" s="10">
        <f>'Home-Coverage'!G138</f>
        <v/>
      </c>
      <c r="I567" s="10">
        <f>'Home-Coverage'!H138</f>
        <v/>
      </c>
      <c r="J567" s="11">
        <f>'Home-Coverage'!I138</f>
        <v/>
      </c>
      <c r="K567" s="8">
        <f>'Home-Coverage'!J138</f>
        <v/>
      </c>
      <c r="L567" s="12">
        <f>'Home-Coverage'!K138</f>
        <v/>
      </c>
    </row>
    <row r="568" ht="18" customHeight="1" s="96">
      <c r="A568" s="2" t="inlineStr">
        <is>
          <t>Person C</t>
        </is>
      </c>
      <c r="B568" s="3">
        <f>'Home-Coverage'!A139</f>
        <v/>
      </c>
      <c r="C568" s="2">
        <f>'Home-Coverage'!A139</f>
        <v/>
      </c>
      <c r="D568" s="3">
        <f>'Home-Coverage'!C139</f>
        <v/>
      </c>
      <c r="E568" s="3">
        <f>'Home-Coverage'!D139</f>
        <v/>
      </c>
      <c r="F568" s="3">
        <f>'Home-Coverage'!E139</f>
        <v/>
      </c>
      <c r="G568" s="4">
        <f>'Home-Coverage'!F139</f>
        <v/>
      </c>
      <c r="H568" s="5">
        <f>'Home-Coverage'!G139</f>
        <v/>
      </c>
      <c r="I568" s="5">
        <f>'Home-Coverage'!H139</f>
        <v/>
      </c>
      <c r="J568" s="6">
        <f>'Home-Coverage'!I139</f>
        <v/>
      </c>
      <c r="K568" s="3">
        <f>'Home-Coverage'!J139</f>
        <v/>
      </c>
      <c r="L568" s="13">
        <f>'Home-Coverage'!K139</f>
        <v/>
      </c>
    </row>
    <row r="569" ht="18" customHeight="1" s="96">
      <c r="A569" s="93" t="inlineStr">
        <is>
          <t>Person C</t>
        </is>
      </c>
      <c r="B569" s="8">
        <f>'Home-Coverage'!A140</f>
        <v/>
      </c>
      <c r="C569" s="93">
        <f>'Home-Coverage'!A140</f>
        <v/>
      </c>
      <c r="D569" s="8">
        <f>'Home-Coverage'!C140</f>
        <v/>
      </c>
      <c r="E569" s="8">
        <f>'Home-Coverage'!D140</f>
        <v/>
      </c>
      <c r="F569" s="8">
        <f>'Home-Coverage'!E140</f>
        <v/>
      </c>
      <c r="G569" s="9">
        <f>'Home-Coverage'!F140</f>
        <v/>
      </c>
      <c r="H569" s="10">
        <f>'Home-Coverage'!G140</f>
        <v/>
      </c>
      <c r="I569" s="10">
        <f>'Home-Coverage'!H140</f>
        <v/>
      </c>
      <c r="J569" s="11">
        <f>'Home-Coverage'!I140</f>
        <v/>
      </c>
      <c r="K569" s="8">
        <f>'Home-Coverage'!J140</f>
        <v/>
      </c>
      <c r="L569" s="12">
        <f>'Home-Coverage'!K140</f>
        <v/>
      </c>
    </row>
    <row r="570" ht="18" customHeight="1" s="96">
      <c r="A570" s="2" t="inlineStr">
        <is>
          <t>Person C</t>
        </is>
      </c>
      <c r="B570" s="3">
        <f>'Home-Coverage'!A141</f>
        <v/>
      </c>
      <c r="C570" s="2">
        <f>'Home-Coverage'!A141</f>
        <v/>
      </c>
      <c r="D570" s="3">
        <f>'Home-Coverage'!C141</f>
        <v/>
      </c>
      <c r="E570" s="3">
        <f>'Home-Coverage'!D141</f>
        <v/>
      </c>
      <c r="F570" s="3">
        <f>'Home-Coverage'!E141</f>
        <v/>
      </c>
      <c r="G570" s="4">
        <f>'Home-Coverage'!F141</f>
        <v/>
      </c>
      <c r="H570" s="5">
        <f>'Home-Coverage'!G141</f>
        <v/>
      </c>
      <c r="I570" s="5">
        <f>'Home-Coverage'!H141</f>
        <v/>
      </c>
      <c r="J570" s="6">
        <f>'Home-Coverage'!I141</f>
        <v/>
      </c>
      <c r="K570" s="3">
        <f>'Home-Coverage'!J141</f>
        <v/>
      </c>
      <c r="L570" s="13">
        <f>'Home-Coverage'!K141</f>
        <v/>
      </c>
    </row>
    <row r="571" ht="18" customHeight="1" s="96">
      <c r="A571" s="93" t="inlineStr">
        <is>
          <t>Person C</t>
        </is>
      </c>
      <c r="B571" s="8">
        <f>'Home-Coverage'!A142</f>
        <v/>
      </c>
      <c r="C571" s="93">
        <f>'Home-Coverage'!A142</f>
        <v/>
      </c>
      <c r="D571" s="8">
        <f>'Home-Coverage'!C142</f>
        <v/>
      </c>
      <c r="E571" s="8">
        <f>'Home-Coverage'!D142</f>
        <v/>
      </c>
      <c r="F571" s="8">
        <f>'Home-Coverage'!E142</f>
        <v/>
      </c>
      <c r="G571" s="9">
        <f>'Home-Coverage'!F142</f>
        <v/>
      </c>
      <c r="H571" s="10">
        <f>'Home-Coverage'!G142</f>
        <v/>
      </c>
      <c r="I571" s="10">
        <f>'Home-Coverage'!H142</f>
        <v/>
      </c>
      <c r="J571" s="11">
        <f>'Home-Coverage'!I142</f>
        <v/>
      </c>
      <c r="K571" s="8">
        <f>'Home-Coverage'!J142</f>
        <v/>
      </c>
      <c r="L571" s="12">
        <f>'Home-Coverage'!K142</f>
        <v/>
      </c>
    </row>
    <row r="572" ht="18" customHeight="1" s="96">
      <c r="A572" s="2" t="inlineStr">
        <is>
          <t>Person C</t>
        </is>
      </c>
      <c r="B572" s="3">
        <f>'Home-Coverage'!A143</f>
        <v/>
      </c>
      <c r="C572" s="2">
        <f>'Home-Coverage'!A143</f>
        <v/>
      </c>
      <c r="D572" s="3">
        <f>'Home-Coverage'!C143</f>
        <v/>
      </c>
      <c r="E572" s="3">
        <f>'Home-Coverage'!D143</f>
        <v/>
      </c>
      <c r="F572" s="3">
        <f>'Home-Coverage'!E143</f>
        <v/>
      </c>
      <c r="G572" s="4">
        <f>'Home-Coverage'!F143</f>
        <v/>
      </c>
      <c r="H572" s="5">
        <f>'Home-Coverage'!G143</f>
        <v/>
      </c>
      <c r="I572" s="5">
        <f>'Home-Coverage'!H143</f>
        <v/>
      </c>
      <c r="J572" s="6">
        <f>'Home-Coverage'!I143</f>
        <v/>
      </c>
      <c r="K572" s="3">
        <f>'Home-Coverage'!J143</f>
        <v/>
      </c>
      <c r="L572" s="13">
        <f>'Home-Coverage'!K143</f>
        <v/>
      </c>
    </row>
    <row r="573" ht="18" customHeight="1" s="96">
      <c r="A573" s="93" t="inlineStr">
        <is>
          <t>Person C</t>
        </is>
      </c>
      <c r="B573" s="8">
        <f>'Home-Coverage'!A144</f>
        <v/>
      </c>
      <c r="C573" s="93">
        <f>'Home-Coverage'!A144</f>
        <v/>
      </c>
      <c r="D573" s="8">
        <f>'Home-Coverage'!C144</f>
        <v/>
      </c>
      <c r="E573" s="8">
        <f>'Home-Coverage'!D144</f>
        <v/>
      </c>
      <c r="F573" s="8">
        <f>'Home-Coverage'!E144</f>
        <v/>
      </c>
      <c r="G573" s="9">
        <f>'Home-Coverage'!F144</f>
        <v/>
      </c>
      <c r="H573" s="10">
        <f>'Home-Coverage'!G144</f>
        <v/>
      </c>
      <c r="I573" s="10">
        <f>'Home-Coverage'!H144</f>
        <v/>
      </c>
      <c r="J573" s="11">
        <f>'Home-Coverage'!I144</f>
        <v/>
      </c>
      <c r="K573" s="8">
        <f>'Home-Coverage'!J144</f>
        <v/>
      </c>
      <c r="L573" s="12">
        <f>'Home-Coverage'!K144</f>
        <v/>
      </c>
    </row>
    <row r="574" ht="18" customHeight="1" s="96">
      <c r="A574" s="2" t="inlineStr">
        <is>
          <t>Person C</t>
        </is>
      </c>
      <c r="B574" s="3">
        <f>'Home-Coverage'!A145</f>
        <v/>
      </c>
      <c r="C574" s="2">
        <f>'Home-Coverage'!A145</f>
        <v/>
      </c>
      <c r="D574" s="3">
        <f>'Home-Coverage'!C145</f>
        <v/>
      </c>
      <c r="E574" s="3">
        <f>'Home-Coverage'!D145</f>
        <v/>
      </c>
      <c r="F574" s="3">
        <f>'Home-Coverage'!E145</f>
        <v/>
      </c>
      <c r="G574" s="4">
        <f>'Home-Coverage'!F145</f>
        <v/>
      </c>
      <c r="H574" s="5">
        <f>'Home-Coverage'!G145</f>
        <v/>
      </c>
      <c r="I574" s="5">
        <f>'Home-Coverage'!H145</f>
        <v/>
      </c>
      <c r="J574" s="6">
        <f>'Home-Coverage'!I145</f>
        <v/>
      </c>
      <c r="K574" s="3">
        <f>'Home-Coverage'!J145</f>
        <v/>
      </c>
      <c r="L574" s="13">
        <f>'Home-Coverage'!K145</f>
        <v/>
      </c>
    </row>
    <row r="575" ht="18" customHeight="1" s="96">
      <c r="A575" s="93" t="inlineStr">
        <is>
          <t>Person C</t>
        </is>
      </c>
      <c r="B575" s="8">
        <f>'Home-Coverage'!A146</f>
        <v/>
      </c>
      <c r="C575" s="93">
        <f>'Home-Coverage'!A146</f>
        <v/>
      </c>
      <c r="D575" s="8">
        <f>'Home-Coverage'!C146</f>
        <v/>
      </c>
      <c r="E575" s="8">
        <f>'Home-Coverage'!D146</f>
        <v/>
      </c>
      <c r="F575" s="8">
        <f>'Home-Coverage'!E146</f>
        <v/>
      </c>
      <c r="G575" s="9">
        <f>'Home-Coverage'!F146</f>
        <v/>
      </c>
      <c r="H575" s="10">
        <f>'Home-Coverage'!G146</f>
        <v/>
      </c>
      <c r="I575" s="10">
        <f>'Home-Coverage'!H146</f>
        <v/>
      </c>
      <c r="J575" s="11">
        <f>'Home-Coverage'!I146</f>
        <v/>
      </c>
      <c r="K575" s="8">
        <f>'Home-Coverage'!J146</f>
        <v/>
      </c>
      <c r="L575" s="12">
        <f>'Home-Coverage'!K146</f>
        <v/>
      </c>
    </row>
    <row r="576" ht="18" customHeight="1" s="96">
      <c r="A576" s="2" t="inlineStr">
        <is>
          <t>Person C</t>
        </is>
      </c>
      <c r="B576" s="3">
        <f>'Home-Coverage'!A147</f>
        <v/>
      </c>
      <c r="C576" s="2">
        <f>'Home-Coverage'!A147</f>
        <v/>
      </c>
      <c r="D576" s="3">
        <f>'Home-Coverage'!C147</f>
        <v/>
      </c>
      <c r="E576" s="3">
        <f>'Home-Coverage'!D147</f>
        <v/>
      </c>
      <c r="F576" s="3">
        <f>'Home-Coverage'!E147</f>
        <v/>
      </c>
      <c r="G576" s="4">
        <f>'Home-Coverage'!F147</f>
        <v/>
      </c>
      <c r="H576" s="5">
        <f>'Home-Coverage'!G147</f>
        <v/>
      </c>
      <c r="I576" s="5">
        <f>'Home-Coverage'!H147</f>
        <v/>
      </c>
      <c r="J576" s="6">
        <f>'Home-Coverage'!I147</f>
        <v/>
      </c>
      <c r="K576" s="3">
        <f>'Home-Coverage'!J147</f>
        <v/>
      </c>
      <c r="L576" s="13">
        <f>'Home-Coverage'!K147</f>
        <v/>
      </c>
    </row>
    <row r="577" ht="18" customHeight="1" s="96">
      <c r="A577" s="93" t="inlineStr">
        <is>
          <t>Person C</t>
        </is>
      </c>
      <c r="B577" s="8">
        <f>'Home-Coverage'!A148</f>
        <v/>
      </c>
      <c r="C577" s="93">
        <f>'Home-Coverage'!A148</f>
        <v/>
      </c>
      <c r="D577" s="8">
        <f>'Home-Coverage'!C148</f>
        <v/>
      </c>
      <c r="E577" s="8">
        <f>'Home-Coverage'!D148</f>
        <v/>
      </c>
      <c r="F577" s="8">
        <f>'Home-Coverage'!E148</f>
        <v/>
      </c>
      <c r="G577" s="9">
        <f>'Home-Coverage'!F148</f>
        <v/>
      </c>
      <c r="H577" s="10">
        <f>'Home-Coverage'!G148</f>
        <v/>
      </c>
      <c r="I577" s="10">
        <f>'Home-Coverage'!H148</f>
        <v/>
      </c>
      <c r="J577" s="11">
        <f>'Home-Coverage'!I148</f>
        <v/>
      </c>
      <c r="K577" s="8">
        <f>'Home-Coverage'!J148</f>
        <v/>
      </c>
      <c r="L577" s="12">
        <f>'Home-Coverage'!K148</f>
        <v/>
      </c>
    </row>
    <row r="578" ht="18" customHeight="1" s="96">
      <c r="A578" s="2" t="inlineStr">
        <is>
          <t>Person C</t>
        </is>
      </c>
      <c r="B578" s="3">
        <f>'Home-Coverage'!A149</f>
        <v/>
      </c>
      <c r="C578" s="2">
        <f>'Home-Coverage'!A149</f>
        <v/>
      </c>
      <c r="D578" s="3">
        <f>'Home-Coverage'!C149</f>
        <v/>
      </c>
      <c r="E578" s="3">
        <f>'Home-Coverage'!D149</f>
        <v/>
      </c>
      <c r="F578" s="3">
        <f>'Home-Coverage'!E149</f>
        <v/>
      </c>
      <c r="G578" s="4">
        <f>'Home-Coverage'!F149</f>
        <v/>
      </c>
      <c r="H578" s="5">
        <f>'Home-Coverage'!G149</f>
        <v/>
      </c>
      <c r="I578" s="5">
        <f>'Home-Coverage'!H149</f>
        <v/>
      </c>
      <c r="J578" s="6">
        <f>'Home-Coverage'!I149</f>
        <v/>
      </c>
      <c r="K578" s="3">
        <f>'Home-Coverage'!J149</f>
        <v/>
      </c>
      <c r="L578" s="13">
        <f>'Home-Coverage'!K149</f>
        <v/>
      </c>
    </row>
    <row r="579" ht="18" customHeight="1" s="96">
      <c r="A579" s="93" t="inlineStr">
        <is>
          <t>Person C</t>
        </is>
      </c>
      <c r="B579" s="8">
        <f>'Home-Coverage'!A150</f>
        <v/>
      </c>
      <c r="C579" s="93">
        <f>'Home-Coverage'!A150</f>
        <v/>
      </c>
      <c r="D579" s="8">
        <f>'Home-Coverage'!C150</f>
        <v/>
      </c>
      <c r="E579" s="8">
        <f>'Home-Coverage'!D150</f>
        <v/>
      </c>
      <c r="F579" s="8">
        <f>'Home-Coverage'!E150</f>
        <v/>
      </c>
      <c r="G579" s="9">
        <f>'Home-Coverage'!F150</f>
        <v/>
      </c>
      <c r="H579" s="10">
        <f>'Home-Coverage'!G150</f>
        <v/>
      </c>
      <c r="I579" s="10">
        <f>'Home-Coverage'!H150</f>
        <v/>
      </c>
      <c r="J579" s="11">
        <f>'Home-Coverage'!I150</f>
        <v/>
      </c>
      <c r="K579" s="8">
        <f>'Home-Coverage'!J150</f>
        <v/>
      </c>
      <c r="L579" s="12">
        <f>'Home-Coverage'!K150</f>
        <v/>
      </c>
    </row>
    <row r="580" ht="18" customHeight="1" s="96">
      <c r="A580" s="2" t="inlineStr">
        <is>
          <t>Person C</t>
        </is>
      </c>
      <c r="B580" s="3">
        <f>'Home-Coverage'!A151</f>
        <v/>
      </c>
      <c r="C580" s="2">
        <f>'Home-Coverage'!A151</f>
        <v/>
      </c>
      <c r="D580" s="3">
        <f>'Home-Coverage'!C151</f>
        <v/>
      </c>
      <c r="E580" s="3">
        <f>'Home-Coverage'!D151</f>
        <v/>
      </c>
      <c r="F580" s="3">
        <f>'Home-Coverage'!E151</f>
        <v/>
      </c>
      <c r="G580" s="4">
        <f>'Home-Coverage'!F151</f>
        <v/>
      </c>
      <c r="H580" s="5">
        <f>'Home-Coverage'!G151</f>
        <v/>
      </c>
      <c r="I580" s="5">
        <f>'Home-Coverage'!H151</f>
        <v/>
      </c>
      <c r="J580" s="6">
        <f>'Home-Coverage'!I151</f>
        <v/>
      </c>
      <c r="K580" s="3">
        <f>'Home-Coverage'!J151</f>
        <v/>
      </c>
      <c r="L580" s="13">
        <f>'Home-Coverage'!K151</f>
        <v/>
      </c>
    </row>
    <row r="581" ht="18" customHeight="1" s="96">
      <c r="A581" s="93" t="inlineStr">
        <is>
          <t>Person C</t>
        </is>
      </c>
      <c r="B581" s="8">
        <f>'Home-Coverage'!A152</f>
        <v/>
      </c>
      <c r="C581" s="93">
        <f>'Home-Coverage'!A152</f>
        <v/>
      </c>
      <c r="D581" s="8">
        <f>'Home-Coverage'!C152</f>
        <v/>
      </c>
      <c r="E581" s="8">
        <f>'Home-Coverage'!D152</f>
        <v/>
      </c>
      <c r="F581" s="8">
        <f>'Home-Coverage'!E152</f>
        <v/>
      </c>
      <c r="G581" s="9">
        <f>'Home-Coverage'!F152</f>
        <v/>
      </c>
      <c r="H581" s="10">
        <f>'Home-Coverage'!G152</f>
        <v/>
      </c>
      <c r="I581" s="10">
        <f>'Home-Coverage'!H152</f>
        <v/>
      </c>
      <c r="J581" s="11">
        <f>'Home-Coverage'!I152</f>
        <v/>
      </c>
      <c r="K581" s="8">
        <f>'Home-Coverage'!J152</f>
        <v/>
      </c>
      <c r="L581" s="12">
        <f>'Home-Coverage'!K152</f>
        <v/>
      </c>
    </row>
    <row r="582" ht="18" customHeight="1" s="96">
      <c r="A582" s="2" t="inlineStr">
        <is>
          <t>Person C</t>
        </is>
      </c>
      <c r="B582" s="3">
        <f>'Home-Coverage'!A153</f>
        <v/>
      </c>
      <c r="C582" s="2">
        <f>'Home-Coverage'!A153</f>
        <v/>
      </c>
      <c r="D582" s="3">
        <f>'Home-Coverage'!C153</f>
        <v/>
      </c>
      <c r="E582" s="3">
        <f>'Home-Coverage'!D153</f>
        <v/>
      </c>
      <c r="F582" s="3">
        <f>'Home-Coverage'!E153</f>
        <v/>
      </c>
      <c r="G582" s="4">
        <f>'Home-Coverage'!F153</f>
        <v/>
      </c>
      <c r="H582" s="5">
        <f>'Home-Coverage'!G153</f>
        <v/>
      </c>
      <c r="I582" s="5">
        <f>'Home-Coverage'!H153</f>
        <v/>
      </c>
      <c r="J582" s="6">
        <f>'Home-Coverage'!I153</f>
        <v/>
      </c>
      <c r="K582" s="3">
        <f>'Home-Coverage'!J153</f>
        <v/>
      </c>
      <c r="L582" s="13">
        <f>'Home-Coverage'!K153</f>
        <v/>
      </c>
    </row>
    <row r="583" ht="18" customHeight="1" s="96">
      <c r="A583" s="93" t="inlineStr">
        <is>
          <t>Person C</t>
        </is>
      </c>
      <c r="B583" s="8">
        <f>'Home-Coverage'!A154</f>
        <v/>
      </c>
      <c r="C583" s="93">
        <f>'Home-Coverage'!A154</f>
        <v/>
      </c>
      <c r="D583" s="8">
        <f>'Home-Coverage'!C154</f>
        <v/>
      </c>
      <c r="E583" s="8">
        <f>'Home-Coverage'!D154</f>
        <v/>
      </c>
      <c r="F583" s="8">
        <f>'Home-Coverage'!E154</f>
        <v/>
      </c>
      <c r="G583" s="9">
        <f>'Home-Coverage'!F154</f>
        <v/>
      </c>
      <c r="H583" s="10">
        <f>'Home-Coverage'!G154</f>
        <v/>
      </c>
      <c r="I583" s="10">
        <f>'Home-Coverage'!H154</f>
        <v/>
      </c>
      <c r="J583" s="11">
        <f>'Home-Coverage'!I154</f>
        <v/>
      </c>
      <c r="K583" s="8">
        <f>'Home-Coverage'!J154</f>
        <v/>
      </c>
      <c r="L583" s="12">
        <f>'Home-Coverage'!K154</f>
        <v/>
      </c>
    </row>
    <row r="584" ht="18" customHeight="1" s="96">
      <c r="A584" s="2" t="inlineStr">
        <is>
          <t>Person C</t>
        </is>
      </c>
      <c r="B584" s="3">
        <f>'Home-Coverage'!A155</f>
        <v/>
      </c>
      <c r="C584" s="2">
        <f>'Home-Coverage'!A155</f>
        <v/>
      </c>
      <c r="D584" s="3">
        <f>'Home-Coverage'!C155</f>
        <v/>
      </c>
      <c r="E584" s="3">
        <f>'Home-Coverage'!D155</f>
        <v/>
      </c>
      <c r="F584" s="3">
        <f>'Home-Coverage'!E155</f>
        <v/>
      </c>
      <c r="G584" s="4">
        <f>'Home-Coverage'!F155</f>
        <v/>
      </c>
      <c r="H584" s="5">
        <f>'Home-Coverage'!G155</f>
        <v/>
      </c>
      <c r="I584" s="5">
        <f>'Home-Coverage'!H155</f>
        <v/>
      </c>
      <c r="J584" s="6">
        <f>'Home-Coverage'!I155</f>
        <v/>
      </c>
      <c r="K584" s="3">
        <f>'Home-Coverage'!J155</f>
        <v/>
      </c>
      <c r="L584" s="13">
        <f>'Home-Coverage'!K155</f>
        <v/>
      </c>
    </row>
    <row r="585" ht="18" customHeight="1" s="96">
      <c r="A585" s="93" t="inlineStr">
        <is>
          <t>Person C</t>
        </is>
      </c>
      <c r="B585" s="8">
        <f>'Home-Coverage'!A156</f>
        <v/>
      </c>
      <c r="C585" s="93">
        <f>'Home-Coverage'!A156</f>
        <v/>
      </c>
      <c r="D585" s="8">
        <f>'Home-Coverage'!C156</f>
        <v/>
      </c>
      <c r="E585" s="8">
        <f>'Home-Coverage'!D156</f>
        <v/>
      </c>
      <c r="F585" s="8">
        <f>'Home-Coverage'!E156</f>
        <v/>
      </c>
      <c r="G585" s="9">
        <f>'Home-Coverage'!F156</f>
        <v/>
      </c>
      <c r="H585" s="10">
        <f>'Home-Coverage'!G156</f>
        <v/>
      </c>
      <c r="I585" s="10">
        <f>'Home-Coverage'!H156</f>
        <v/>
      </c>
      <c r="J585" s="11">
        <f>'Home-Coverage'!I156</f>
        <v/>
      </c>
      <c r="K585" s="8">
        <f>'Home-Coverage'!J156</f>
        <v/>
      </c>
      <c r="L585" s="12">
        <f>'Home-Coverage'!K156</f>
        <v/>
      </c>
    </row>
    <row r="586" ht="18" customHeight="1" s="96">
      <c r="A586" s="2" t="inlineStr">
        <is>
          <t>Person C</t>
        </is>
      </c>
      <c r="B586" s="3">
        <f>'Home-Coverage'!A157</f>
        <v/>
      </c>
      <c r="C586" s="2">
        <f>'Home-Coverage'!A157</f>
        <v/>
      </c>
      <c r="D586" s="3">
        <f>'Home-Coverage'!C157</f>
        <v/>
      </c>
      <c r="E586" s="3">
        <f>'Home-Coverage'!D157</f>
        <v/>
      </c>
      <c r="F586" s="3">
        <f>'Home-Coverage'!E157</f>
        <v/>
      </c>
      <c r="G586" s="4">
        <f>'Home-Coverage'!F157</f>
        <v/>
      </c>
      <c r="H586" s="5">
        <f>'Home-Coverage'!G157</f>
        <v/>
      </c>
      <c r="I586" s="5">
        <f>'Home-Coverage'!H157</f>
        <v/>
      </c>
      <c r="J586" s="6">
        <f>'Home-Coverage'!I157</f>
        <v/>
      </c>
      <c r="K586" s="3">
        <f>'Home-Coverage'!J157</f>
        <v/>
      </c>
      <c r="L586" s="13">
        <f>'Home-Coverage'!K157</f>
        <v/>
      </c>
    </row>
    <row r="587" ht="18" customHeight="1" s="96">
      <c r="A587" s="93" t="inlineStr">
        <is>
          <t>Person C</t>
        </is>
      </c>
      <c r="B587" s="8">
        <f>'Home-Coverage'!A158</f>
        <v/>
      </c>
      <c r="C587" s="93">
        <f>'Home-Coverage'!A158</f>
        <v/>
      </c>
      <c r="D587" s="8">
        <f>'Home-Coverage'!C158</f>
        <v/>
      </c>
      <c r="E587" s="8">
        <f>'Home-Coverage'!D158</f>
        <v/>
      </c>
      <c r="F587" s="8">
        <f>'Home-Coverage'!E158</f>
        <v/>
      </c>
      <c r="G587" s="9">
        <f>'Home-Coverage'!F158</f>
        <v/>
      </c>
      <c r="H587" s="10">
        <f>'Home-Coverage'!G158</f>
        <v/>
      </c>
      <c r="I587" s="10">
        <f>'Home-Coverage'!H158</f>
        <v/>
      </c>
      <c r="J587" s="11">
        <f>'Home-Coverage'!I158</f>
        <v/>
      </c>
      <c r="K587" s="8">
        <f>'Home-Coverage'!J158</f>
        <v/>
      </c>
      <c r="L587" s="12">
        <f>'Home-Coverage'!K158</f>
        <v/>
      </c>
    </row>
    <row r="588" ht="18" customHeight="1" s="96">
      <c r="A588" s="2" t="inlineStr">
        <is>
          <t>Person C</t>
        </is>
      </c>
      <c r="B588" s="3">
        <f>'Home-Coverage'!A159</f>
        <v/>
      </c>
      <c r="C588" s="2">
        <f>'Home-Coverage'!A159</f>
        <v/>
      </c>
      <c r="D588" s="3">
        <f>'Home-Coverage'!C159</f>
        <v/>
      </c>
      <c r="E588" s="3">
        <f>'Home-Coverage'!D159</f>
        <v/>
      </c>
      <c r="F588" s="3">
        <f>'Home-Coverage'!E159</f>
        <v/>
      </c>
      <c r="G588" s="4">
        <f>'Home-Coverage'!F159</f>
        <v/>
      </c>
      <c r="H588" s="5">
        <f>'Home-Coverage'!G159</f>
        <v/>
      </c>
      <c r="I588" s="5">
        <f>'Home-Coverage'!H159</f>
        <v/>
      </c>
      <c r="J588" s="6">
        <f>'Home-Coverage'!I159</f>
        <v/>
      </c>
      <c r="K588" s="3">
        <f>'Home-Coverage'!J159</f>
        <v/>
      </c>
      <c r="L588" s="13">
        <f>'Home-Coverage'!K159</f>
        <v/>
      </c>
    </row>
    <row r="589" ht="18" customHeight="1" s="96">
      <c r="A589" s="93" t="inlineStr">
        <is>
          <t>Person C</t>
        </is>
      </c>
      <c r="B589" s="8">
        <f>'Home-Coverage'!A160</f>
        <v/>
      </c>
      <c r="C589" s="93">
        <f>'Home-Coverage'!A160</f>
        <v/>
      </c>
      <c r="D589" s="8">
        <f>'Home-Coverage'!C160</f>
        <v/>
      </c>
      <c r="E589" s="8">
        <f>'Home-Coverage'!D160</f>
        <v/>
      </c>
      <c r="F589" s="8">
        <f>'Home-Coverage'!E160</f>
        <v/>
      </c>
      <c r="G589" s="9">
        <f>'Home-Coverage'!F160</f>
        <v/>
      </c>
      <c r="H589" s="10">
        <f>'Home-Coverage'!G160</f>
        <v/>
      </c>
      <c r="I589" s="10">
        <f>'Home-Coverage'!H160</f>
        <v/>
      </c>
      <c r="J589" s="11">
        <f>'Home-Coverage'!I160</f>
        <v/>
      </c>
      <c r="K589" s="8">
        <f>'Home-Coverage'!J160</f>
        <v/>
      </c>
      <c r="L589" s="12">
        <f>'Home-Coverage'!K160</f>
        <v/>
      </c>
    </row>
    <row r="590" ht="18" customHeight="1" s="96">
      <c r="A590" s="2" t="inlineStr">
        <is>
          <t>Person C</t>
        </is>
      </c>
      <c r="B590" s="3">
        <f>'Home-Coverage'!A161</f>
        <v/>
      </c>
      <c r="C590" s="2">
        <f>'Home-Coverage'!A161</f>
        <v/>
      </c>
      <c r="D590" s="3">
        <f>'Home-Coverage'!C161</f>
        <v/>
      </c>
      <c r="E590" s="3">
        <f>'Home-Coverage'!D161</f>
        <v/>
      </c>
      <c r="F590" s="3">
        <f>'Home-Coverage'!E161</f>
        <v/>
      </c>
      <c r="G590" s="4">
        <f>'Home-Coverage'!F161</f>
        <v/>
      </c>
      <c r="H590" s="5">
        <f>'Home-Coverage'!G161</f>
        <v/>
      </c>
      <c r="I590" s="5">
        <f>'Home-Coverage'!H161</f>
        <v/>
      </c>
      <c r="J590" s="6">
        <f>'Home-Coverage'!I161</f>
        <v/>
      </c>
      <c r="K590" s="3">
        <f>'Home-Coverage'!J161</f>
        <v/>
      </c>
      <c r="L590" s="13">
        <f>'Home-Coverage'!K161</f>
        <v/>
      </c>
    </row>
    <row r="591" ht="18" customHeight="1" s="96">
      <c r="A591" s="93" t="inlineStr">
        <is>
          <t>Person C</t>
        </is>
      </c>
      <c r="B591" s="8">
        <f>'Home-Coverage'!A162</f>
        <v/>
      </c>
      <c r="C591" s="93">
        <f>'Home-Coverage'!A162</f>
        <v/>
      </c>
      <c r="D591" s="8">
        <f>'Home-Coverage'!C162</f>
        <v/>
      </c>
      <c r="E591" s="8">
        <f>'Home-Coverage'!D162</f>
        <v/>
      </c>
      <c r="F591" s="8">
        <f>'Home-Coverage'!E162</f>
        <v/>
      </c>
      <c r="G591" s="9">
        <f>'Home-Coverage'!F162</f>
        <v/>
      </c>
      <c r="H591" s="10">
        <f>'Home-Coverage'!G162</f>
        <v/>
      </c>
      <c r="I591" s="10">
        <f>'Home-Coverage'!H162</f>
        <v/>
      </c>
      <c r="J591" s="11">
        <f>'Home-Coverage'!I162</f>
        <v/>
      </c>
      <c r="K591" s="8">
        <f>'Home-Coverage'!J162</f>
        <v/>
      </c>
      <c r="L591" s="12">
        <f>'Home-Coverage'!K162</f>
        <v/>
      </c>
    </row>
    <row r="592" ht="18" customHeight="1" s="96">
      <c r="A592" s="2" t="inlineStr">
        <is>
          <t>Person C</t>
        </is>
      </c>
      <c r="B592" s="3">
        <f>'Home-Coverage'!A163</f>
        <v/>
      </c>
      <c r="C592" s="2">
        <f>'Home-Coverage'!A163</f>
        <v/>
      </c>
      <c r="D592" s="3">
        <f>'Home-Coverage'!C163</f>
        <v/>
      </c>
      <c r="E592" s="3">
        <f>'Home-Coverage'!D163</f>
        <v/>
      </c>
      <c r="F592" s="3">
        <f>'Home-Coverage'!E163</f>
        <v/>
      </c>
      <c r="G592" s="4">
        <f>'Home-Coverage'!F163</f>
        <v/>
      </c>
      <c r="H592" s="5">
        <f>'Home-Coverage'!G163</f>
        <v/>
      </c>
      <c r="I592" s="5">
        <f>'Home-Coverage'!H163</f>
        <v/>
      </c>
      <c r="J592" s="6">
        <f>'Home-Coverage'!I163</f>
        <v/>
      </c>
      <c r="K592" s="3">
        <f>'Home-Coverage'!J163</f>
        <v/>
      </c>
      <c r="L592" s="13">
        <f>'Home-Coverage'!K163</f>
        <v/>
      </c>
    </row>
    <row r="593" ht="18" customHeight="1" s="96">
      <c r="A593" s="93" t="inlineStr">
        <is>
          <t>Person C</t>
        </is>
      </c>
      <c r="B593" s="8">
        <f>'Home-Coverage'!A164</f>
        <v/>
      </c>
      <c r="C593" s="93">
        <f>'Home-Coverage'!A164</f>
        <v/>
      </c>
      <c r="D593" s="8">
        <f>'Home-Coverage'!C164</f>
        <v/>
      </c>
      <c r="E593" s="8">
        <f>'Home-Coverage'!D164</f>
        <v/>
      </c>
      <c r="F593" s="8">
        <f>'Home-Coverage'!E164</f>
        <v/>
      </c>
      <c r="G593" s="9">
        <f>'Home-Coverage'!F164</f>
        <v/>
      </c>
      <c r="H593" s="10">
        <f>'Home-Coverage'!G164</f>
        <v/>
      </c>
      <c r="I593" s="10">
        <f>'Home-Coverage'!H164</f>
        <v/>
      </c>
      <c r="J593" s="11">
        <f>'Home-Coverage'!I164</f>
        <v/>
      </c>
      <c r="K593" s="8">
        <f>'Home-Coverage'!J164</f>
        <v/>
      </c>
      <c r="L593" s="12">
        <f>'Home-Coverage'!K164</f>
        <v/>
      </c>
    </row>
    <row r="594" ht="18" customHeight="1" s="96">
      <c r="A594" s="2" t="inlineStr">
        <is>
          <t>Person C</t>
        </is>
      </c>
      <c r="B594" s="3">
        <f>'Home-Coverage'!A165</f>
        <v/>
      </c>
      <c r="C594" s="2">
        <f>'Home-Coverage'!A165</f>
        <v/>
      </c>
      <c r="D594" s="3">
        <f>'Home-Coverage'!C165</f>
        <v/>
      </c>
      <c r="E594" s="3">
        <f>'Home-Coverage'!D165</f>
        <v/>
      </c>
      <c r="F594" s="3">
        <f>'Home-Coverage'!E165</f>
        <v/>
      </c>
      <c r="G594" s="4">
        <f>'Home-Coverage'!F165</f>
        <v/>
      </c>
      <c r="H594" s="5">
        <f>'Home-Coverage'!G165</f>
        <v/>
      </c>
      <c r="I594" s="5">
        <f>'Home-Coverage'!H165</f>
        <v/>
      </c>
      <c r="J594" s="6">
        <f>'Home-Coverage'!I165</f>
        <v/>
      </c>
      <c r="K594" s="3">
        <f>'Home-Coverage'!J165</f>
        <v/>
      </c>
      <c r="L594" s="13">
        <f>'Home-Coverage'!K165</f>
        <v/>
      </c>
    </row>
    <row r="595" ht="18" customHeight="1" s="96">
      <c r="A595" s="93" t="inlineStr">
        <is>
          <t>Person C</t>
        </is>
      </c>
      <c r="B595" s="8">
        <f>'Home-Coverage'!A166</f>
        <v/>
      </c>
      <c r="C595" s="93">
        <f>'Home-Coverage'!A166</f>
        <v/>
      </c>
      <c r="D595" s="8">
        <f>'Home-Coverage'!C166</f>
        <v/>
      </c>
      <c r="E595" s="8">
        <f>'Home-Coverage'!D166</f>
        <v/>
      </c>
      <c r="F595" s="8">
        <f>'Home-Coverage'!E166</f>
        <v/>
      </c>
      <c r="G595" s="9">
        <f>'Home-Coverage'!F166</f>
        <v/>
      </c>
      <c r="H595" s="10">
        <f>'Home-Coverage'!G166</f>
        <v/>
      </c>
      <c r="I595" s="10">
        <f>'Home-Coverage'!H166</f>
        <v/>
      </c>
      <c r="J595" s="11">
        <f>'Home-Coverage'!I166</f>
        <v/>
      </c>
      <c r="K595" s="8">
        <f>'Home-Coverage'!J166</f>
        <v/>
      </c>
      <c r="L595" s="12">
        <f>'Home-Coverage'!K166</f>
        <v/>
      </c>
    </row>
    <row r="596" ht="18" customHeight="1" s="96">
      <c r="A596" s="2" t="inlineStr">
        <is>
          <t>Person C</t>
        </is>
      </c>
      <c r="B596" s="3">
        <f>'Home-Coverage'!A167</f>
        <v/>
      </c>
      <c r="C596" s="2">
        <f>'Home-Coverage'!A167</f>
        <v/>
      </c>
      <c r="D596" s="3">
        <f>'Home-Coverage'!C167</f>
        <v/>
      </c>
      <c r="E596" s="3">
        <f>'Home-Coverage'!D167</f>
        <v/>
      </c>
      <c r="F596" s="3">
        <f>'Home-Coverage'!E167</f>
        <v/>
      </c>
      <c r="G596" s="4">
        <f>'Home-Coverage'!F167</f>
        <v/>
      </c>
      <c r="H596" s="5">
        <f>'Home-Coverage'!G167</f>
        <v/>
      </c>
      <c r="I596" s="5">
        <f>'Home-Coverage'!H167</f>
        <v/>
      </c>
      <c r="J596" s="6">
        <f>'Home-Coverage'!I167</f>
        <v/>
      </c>
      <c r="K596" s="3">
        <f>'Home-Coverage'!J167</f>
        <v/>
      </c>
      <c r="L596" s="13">
        <f>'Home-Coverage'!K167</f>
        <v/>
      </c>
    </row>
    <row r="597" ht="18" customHeight="1" s="96">
      <c r="A597" s="93" t="inlineStr">
        <is>
          <t>Person C</t>
        </is>
      </c>
      <c r="B597" s="8">
        <f>'Home-Coverage'!A168</f>
        <v/>
      </c>
      <c r="C597" s="93">
        <f>'Home-Coverage'!A168</f>
        <v/>
      </c>
      <c r="D597" s="8">
        <f>'Home-Coverage'!C168</f>
        <v/>
      </c>
      <c r="E597" s="8">
        <f>'Home-Coverage'!D168</f>
        <v/>
      </c>
      <c r="F597" s="8">
        <f>'Home-Coverage'!E168</f>
        <v/>
      </c>
      <c r="G597" s="9">
        <f>'Home-Coverage'!F168</f>
        <v/>
      </c>
      <c r="H597" s="10">
        <f>'Home-Coverage'!G168</f>
        <v/>
      </c>
      <c r="I597" s="10">
        <f>'Home-Coverage'!H168</f>
        <v/>
      </c>
      <c r="J597" s="11">
        <f>'Home-Coverage'!I168</f>
        <v/>
      </c>
      <c r="K597" s="8">
        <f>'Home-Coverage'!J168</f>
        <v/>
      </c>
      <c r="L597" s="12">
        <f>'Home-Coverage'!K168</f>
        <v/>
      </c>
    </row>
    <row r="598" ht="18" customHeight="1" s="96">
      <c r="A598" s="2" t="inlineStr">
        <is>
          <t>Person C</t>
        </is>
      </c>
      <c r="B598" s="3">
        <f>'Home-Coverage'!A169</f>
        <v/>
      </c>
      <c r="C598" s="2">
        <f>'Home-Coverage'!A169</f>
        <v/>
      </c>
      <c r="D598" s="3">
        <f>'Home-Coverage'!C169</f>
        <v/>
      </c>
      <c r="E598" s="3">
        <f>'Home-Coverage'!D169</f>
        <v/>
      </c>
      <c r="F598" s="3">
        <f>'Home-Coverage'!E169</f>
        <v/>
      </c>
      <c r="G598" s="4">
        <f>'Home-Coverage'!F169</f>
        <v/>
      </c>
      <c r="H598" s="5">
        <f>'Home-Coverage'!G169</f>
        <v/>
      </c>
      <c r="I598" s="5">
        <f>'Home-Coverage'!H169</f>
        <v/>
      </c>
      <c r="J598" s="6">
        <f>'Home-Coverage'!I169</f>
        <v/>
      </c>
      <c r="K598" s="3">
        <f>'Home-Coverage'!J169</f>
        <v/>
      </c>
      <c r="L598" s="13">
        <f>'Home-Coverage'!K169</f>
        <v/>
      </c>
    </row>
    <row r="599" ht="18" customHeight="1" s="96">
      <c r="A599" s="93" t="inlineStr">
        <is>
          <t>Person C</t>
        </is>
      </c>
      <c r="B599" s="8">
        <f>'Home-Coverage'!A170</f>
        <v/>
      </c>
      <c r="C599" s="93">
        <f>'Home-Coverage'!A170</f>
        <v/>
      </c>
      <c r="D599" s="8">
        <f>'Home-Coverage'!C170</f>
        <v/>
      </c>
      <c r="E599" s="8">
        <f>'Home-Coverage'!D170</f>
        <v/>
      </c>
      <c r="F599" s="8">
        <f>'Home-Coverage'!E170</f>
        <v/>
      </c>
      <c r="G599" s="9">
        <f>'Home-Coverage'!F170</f>
        <v/>
      </c>
      <c r="H599" s="10">
        <f>'Home-Coverage'!G170</f>
        <v/>
      </c>
      <c r="I599" s="10">
        <f>'Home-Coverage'!H170</f>
        <v/>
      </c>
      <c r="J599" s="11">
        <f>'Home-Coverage'!I170</f>
        <v/>
      </c>
      <c r="K599" s="8">
        <f>'Home-Coverage'!J170</f>
        <v/>
      </c>
      <c r="L599" s="12">
        <f>'Home-Coverage'!K170</f>
        <v/>
      </c>
    </row>
    <row r="600" ht="18" customHeight="1" s="96">
      <c r="A600" s="2" t="inlineStr">
        <is>
          <t>Person C</t>
        </is>
      </c>
      <c r="B600" s="3">
        <f>'Home-Coverage'!A171</f>
        <v/>
      </c>
      <c r="C600" s="2">
        <f>'Home-Coverage'!A171</f>
        <v/>
      </c>
      <c r="D600" s="3">
        <f>'Home-Coverage'!C171</f>
        <v/>
      </c>
      <c r="E600" s="3">
        <f>'Home-Coverage'!D171</f>
        <v/>
      </c>
      <c r="F600" s="3">
        <f>'Home-Coverage'!E171</f>
        <v/>
      </c>
      <c r="G600" s="4">
        <f>'Home-Coverage'!F171</f>
        <v/>
      </c>
      <c r="H600" s="5">
        <f>'Home-Coverage'!G171</f>
        <v/>
      </c>
      <c r="I600" s="5">
        <f>'Home-Coverage'!H171</f>
        <v/>
      </c>
      <c r="J600" s="6">
        <f>'Home-Coverage'!I171</f>
        <v/>
      </c>
      <c r="K600" s="3">
        <f>'Home-Coverage'!J171</f>
        <v/>
      </c>
      <c r="L600" s="13">
        <f>'Home-Coverage'!K171</f>
        <v/>
      </c>
    </row>
    <row r="601" ht="18" customHeight="1" s="96">
      <c r="A601" s="93" t="inlineStr">
        <is>
          <t>Person C</t>
        </is>
      </c>
      <c r="B601" s="8">
        <f>'Home-Coverage'!A172</f>
        <v/>
      </c>
      <c r="C601" s="93">
        <f>'Home-Coverage'!A172</f>
        <v/>
      </c>
      <c r="D601" s="8">
        <f>'Home-Coverage'!C172</f>
        <v/>
      </c>
      <c r="E601" s="8">
        <f>'Home-Coverage'!D172</f>
        <v/>
      </c>
      <c r="F601" s="8">
        <f>'Home-Coverage'!E172</f>
        <v/>
      </c>
      <c r="G601" s="9">
        <f>'Home-Coverage'!F172</f>
        <v/>
      </c>
      <c r="H601" s="10">
        <f>'Home-Coverage'!G172</f>
        <v/>
      </c>
      <c r="I601" s="10">
        <f>'Home-Coverage'!H172</f>
        <v/>
      </c>
      <c r="J601" s="11">
        <f>'Home-Coverage'!I172</f>
        <v/>
      </c>
      <c r="K601" s="8">
        <f>'Home-Coverage'!J172</f>
        <v/>
      </c>
      <c r="L601" s="12">
        <f>'Home-Coverage'!K172</f>
        <v/>
      </c>
    </row>
    <row r="602" ht="18" customHeight="1" s="96">
      <c r="A602" s="2" t="inlineStr">
        <is>
          <t>Person C</t>
        </is>
      </c>
      <c r="B602" s="3">
        <f>'Home-Coverage'!A173</f>
        <v/>
      </c>
      <c r="C602" s="2">
        <f>'Home-Coverage'!A173</f>
        <v/>
      </c>
      <c r="D602" s="3">
        <f>'Home-Coverage'!C173</f>
        <v/>
      </c>
      <c r="E602" s="3">
        <f>'Home-Coverage'!D173</f>
        <v/>
      </c>
      <c r="F602" s="3">
        <f>'Home-Coverage'!E173</f>
        <v/>
      </c>
      <c r="G602" s="4">
        <f>'Home-Coverage'!F173</f>
        <v/>
      </c>
      <c r="H602" s="5">
        <f>'Home-Coverage'!G173</f>
        <v/>
      </c>
      <c r="I602" s="5">
        <f>'Home-Coverage'!H173</f>
        <v/>
      </c>
      <c r="J602" s="6">
        <f>'Home-Coverage'!I173</f>
        <v/>
      </c>
      <c r="K602" s="3">
        <f>'Home-Coverage'!J173</f>
        <v/>
      </c>
      <c r="L602" s="13">
        <f>'Home-Coverage'!K173</f>
        <v/>
      </c>
    </row>
    <row r="603" ht="18" customHeight="1" s="96">
      <c r="A603" s="93" t="inlineStr">
        <is>
          <t>Person C</t>
        </is>
      </c>
      <c r="B603" s="8">
        <f>'Home-Coverage'!A174</f>
        <v/>
      </c>
      <c r="C603" s="93">
        <f>'Home-Coverage'!A174</f>
        <v/>
      </c>
      <c r="D603" s="8">
        <f>'Home-Coverage'!C174</f>
        <v/>
      </c>
      <c r="E603" s="8">
        <f>'Home-Coverage'!D174</f>
        <v/>
      </c>
      <c r="F603" s="8">
        <f>'Home-Coverage'!E174</f>
        <v/>
      </c>
      <c r="G603" s="9">
        <f>'Home-Coverage'!F174</f>
        <v/>
      </c>
      <c r="H603" s="10">
        <f>'Home-Coverage'!G174</f>
        <v/>
      </c>
      <c r="I603" s="10">
        <f>'Home-Coverage'!H174</f>
        <v/>
      </c>
      <c r="J603" s="11">
        <f>'Home-Coverage'!I174</f>
        <v/>
      </c>
      <c r="K603" s="8">
        <f>'Home-Coverage'!J174</f>
        <v/>
      </c>
      <c r="L603" s="12">
        <f>'Home-Coverage'!K174</f>
        <v/>
      </c>
    </row>
    <row r="604" ht="18" customHeight="1" s="96">
      <c r="A604" s="2" t="inlineStr">
        <is>
          <t>Person C</t>
        </is>
      </c>
      <c r="B604" s="3">
        <f>'Home-Coverage'!A175</f>
        <v/>
      </c>
      <c r="C604" s="2">
        <f>'Home-Coverage'!A175</f>
        <v/>
      </c>
      <c r="D604" s="3">
        <f>'Home-Coverage'!C175</f>
        <v/>
      </c>
      <c r="E604" s="3">
        <f>'Home-Coverage'!D175</f>
        <v/>
      </c>
      <c r="F604" s="3">
        <f>'Home-Coverage'!E175</f>
        <v/>
      </c>
      <c r="G604" s="4">
        <f>'Home-Coverage'!F175</f>
        <v/>
      </c>
      <c r="H604" s="5">
        <f>'Home-Coverage'!G175</f>
        <v/>
      </c>
      <c r="I604" s="5">
        <f>'Home-Coverage'!H175</f>
        <v/>
      </c>
      <c r="J604" s="6">
        <f>'Home-Coverage'!I175</f>
        <v/>
      </c>
      <c r="K604" s="3">
        <f>'Home-Coverage'!J175</f>
        <v/>
      </c>
      <c r="L604" s="13">
        <f>'Home-Coverage'!K175</f>
        <v/>
      </c>
    </row>
    <row r="605" ht="18" customHeight="1" s="96">
      <c r="A605" s="93" t="inlineStr">
        <is>
          <t>Person C</t>
        </is>
      </c>
      <c r="B605" s="8">
        <f>'Home-Coverage'!A176</f>
        <v/>
      </c>
      <c r="C605" s="93">
        <f>'Home-Coverage'!A176</f>
        <v/>
      </c>
      <c r="D605" s="8">
        <f>'Home-Coverage'!C176</f>
        <v/>
      </c>
      <c r="E605" s="8">
        <f>'Home-Coverage'!D176</f>
        <v/>
      </c>
      <c r="F605" s="8">
        <f>'Home-Coverage'!E176</f>
        <v/>
      </c>
      <c r="G605" s="9">
        <f>'Home-Coverage'!F176</f>
        <v/>
      </c>
      <c r="H605" s="10">
        <f>'Home-Coverage'!G176</f>
        <v/>
      </c>
      <c r="I605" s="10">
        <f>'Home-Coverage'!H176</f>
        <v/>
      </c>
      <c r="J605" s="11">
        <f>'Home-Coverage'!I176</f>
        <v/>
      </c>
      <c r="K605" s="8">
        <f>'Home-Coverage'!J176</f>
        <v/>
      </c>
      <c r="L605" s="12">
        <f>'Home-Coverage'!K176</f>
        <v/>
      </c>
    </row>
    <row r="606" ht="18" customHeight="1" s="96">
      <c r="A606" s="2" t="inlineStr">
        <is>
          <t>Person C</t>
        </is>
      </c>
      <c r="B606" s="3">
        <f>'Home-Coverage'!A177</f>
        <v/>
      </c>
      <c r="C606" s="2">
        <f>'Home-Coverage'!A177</f>
        <v/>
      </c>
      <c r="D606" s="3">
        <f>'Home-Coverage'!C177</f>
        <v/>
      </c>
      <c r="E606" s="3">
        <f>'Home-Coverage'!D177</f>
        <v/>
      </c>
      <c r="F606" s="3">
        <f>'Home-Coverage'!E177</f>
        <v/>
      </c>
      <c r="G606" s="4">
        <f>'Home-Coverage'!F177</f>
        <v/>
      </c>
      <c r="H606" s="5">
        <f>'Home-Coverage'!G177</f>
        <v/>
      </c>
      <c r="I606" s="5">
        <f>'Home-Coverage'!H177</f>
        <v/>
      </c>
      <c r="J606" s="6">
        <f>'Home-Coverage'!I177</f>
        <v/>
      </c>
      <c r="K606" s="3">
        <f>'Home-Coverage'!J177</f>
        <v/>
      </c>
      <c r="L606" s="13">
        <f>'Home-Coverage'!K177</f>
        <v/>
      </c>
    </row>
    <row r="607" ht="18" customHeight="1" s="96">
      <c r="A607" s="93" t="inlineStr">
        <is>
          <t>Person C</t>
        </is>
      </c>
      <c r="B607" s="8">
        <f>'Home-Coverage'!A178</f>
        <v/>
      </c>
      <c r="C607" s="93">
        <f>'Home-Coverage'!A178</f>
        <v/>
      </c>
      <c r="D607" s="8">
        <f>'Home-Coverage'!C178</f>
        <v/>
      </c>
      <c r="E607" s="8">
        <f>'Home-Coverage'!D178</f>
        <v/>
      </c>
      <c r="F607" s="8">
        <f>'Home-Coverage'!E178</f>
        <v/>
      </c>
      <c r="G607" s="9">
        <f>'Home-Coverage'!F178</f>
        <v/>
      </c>
      <c r="H607" s="10">
        <f>'Home-Coverage'!G178</f>
        <v/>
      </c>
      <c r="I607" s="10">
        <f>'Home-Coverage'!H178</f>
        <v/>
      </c>
      <c r="J607" s="11">
        <f>'Home-Coverage'!I178</f>
        <v/>
      </c>
      <c r="K607" s="8">
        <f>'Home-Coverage'!J178</f>
        <v/>
      </c>
      <c r="L607" s="12">
        <f>'Home-Coverage'!K178</f>
        <v/>
      </c>
    </row>
    <row r="608" ht="18" customHeight="1" s="96">
      <c r="A608" s="2" t="inlineStr">
        <is>
          <t>Person C</t>
        </is>
      </c>
      <c r="B608" s="3">
        <f>'Home-Coverage'!A179</f>
        <v/>
      </c>
      <c r="C608" s="2">
        <f>'Home-Coverage'!A179</f>
        <v/>
      </c>
      <c r="D608" s="3">
        <f>'Home-Coverage'!C179</f>
        <v/>
      </c>
      <c r="E608" s="3">
        <f>'Home-Coverage'!D179</f>
        <v/>
      </c>
      <c r="F608" s="3">
        <f>'Home-Coverage'!E179</f>
        <v/>
      </c>
      <c r="G608" s="4">
        <f>'Home-Coverage'!F179</f>
        <v/>
      </c>
      <c r="H608" s="5">
        <f>'Home-Coverage'!G179</f>
        <v/>
      </c>
      <c r="I608" s="5">
        <f>'Home-Coverage'!H179</f>
        <v/>
      </c>
      <c r="J608" s="6">
        <f>'Home-Coverage'!I179</f>
        <v/>
      </c>
      <c r="K608" s="3">
        <f>'Home-Coverage'!J179</f>
        <v/>
      </c>
      <c r="L608" s="13">
        <f>'Home-Coverage'!K179</f>
        <v/>
      </c>
    </row>
    <row r="609" ht="18" customHeight="1" s="96">
      <c r="A609" s="93" t="inlineStr">
        <is>
          <t>Person C</t>
        </is>
      </c>
      <c r="B609" s="8">
        <f>'Home-Coverage'!A180</f>
        <v/>
      </c>
      <c r="C609" s="93">
        <f>'Home-Coverage'!A180</f>
        <v/>
      </c>
      <c r="D609" s="8">
        <f>'Home-Coverage'!C180</f>
        <v/>
      </c>
      <c r="E609" s="8">
        <f>'Home-Coverage'!D180</f>
        <v/>
      </c>
      <c r="F609" s="8">
        <f>'Home-Coverage'!E180</f>
        <v/>
      </c>
      <c r="G609" s="9">
        <f>'Home-Coverage'!F180</f>
        <v/>
      </c>
      <c r="H609" s="10">
        <f>'Home-Coverage'!G180</f>
        <v/>
      </c>
      <c r="I609" s="10">
        <f>'Home-Coverage'!H180</f>
        <v/>
      </c>
      <c r="J609" s="11">
        <f>'Home-Coverage'!I180</f>
        <v/>
      </c>
      <c r="K609" s="8">
        <f>'Home-Coverage'!J180</f>
        <v/>
      </c>
      <c r="L609" s="12">
        <f>'Home-Coverage'!K180</f>
        <v/>
      </c>
    </row>
    <row r="610" ht="18" customHeight="1" s="96">
      <c r="A610" s="2" t="inlineStr">
        <is>
          <t>Person C</t>
        </is>
      </c>
      <c r="B610" s="3">
        <f>'Home-Coverage'!A181</f>
        <v/>
      </c>
      <c r="C610" s="2">
        <f>'Home-Coverage'!A181</f>
        <v/>
      </c>
      <c r="D610" s="3">
        <f>'Home-Coverage'!C181</f>
        <v/>
      </c>
      <c r="E610" s="3">
        <f>'Home-Coverage'!D181</f>
        <v/>
      </c>
      <c r="F610" s="3">
        <f>'Home-Coverage'!E181</f>
        <v/>
      </c>
      <c r="G610" s="4">
        <f>'Home-Coverage'!F181</f>
        <v/>
      </c>
      <c r="H610" s="5">
        <f>'Home-Coverage'!G181</f>
        <v/>
      </c>
      <c r="I610" s="5">
        <f>'Home-Coverage'!H181</f>
        <v/>
      </c>
      <c r="J610" s="6">
        <f>'Home-Coverage'!I181</f>
        <v/>
      </c>
      <c r="K610" s="3">
        <f>'Home-Coverage'!J181</f>
        <v/>
      </c>
      <c r="L610" s="13">
        <f>'Home-Coverage'!K181</f>
        <v/>
      </c>
    </row>
    <row r="611" ht="18" customHeight="1" s="96">
      <c r="A611" s="93" t="inlineStr">
        <is>
          <t>Person C</t>
        </is>
      </c>
      <c r="B611" s="8">
        <f>'Home-Coverage'!A182</f>
        <v/>
      </c>
      <c r="C611" s="93">
        <f>'Home-Coverage'!A182</f>
        <v/>
      </c>
      <c r="D611" s="8">
        <f>'Home-Coverage'!C182</f>
        <v/>
      </c>
      <c r="E611" s="8">
        <f>'Home-Coverage'!D182</f>
        <v/>
      </c>
      <c r="F611" s="8">
        <f>'Home-Coverage'!E182</f>
        <v/>
      </c>
      <c r="G611" s="9">
        <f>'Home-Coverage'!F182</f>
        <v/>
      </c>
      <c r="H611" s="10">
        <f>'Home-Coverage'!G182</f>
        <v/>
      </c>
      <c r="I611" s="10">
        <f>'Home-Coverage'!H182</f>
        <v/>
      </c>
      <c r="J611" s="11">
        <f>'Home-Coverage'!I182</f>
        <v/>
      </c>
      <c r="K611" s="8">
        <f>'Home-Coverage'!J182</f>
        <v/>
      </c>
      <c r="L611" s="12">
        <f>'Home-Coverage'!K182</f>
        <v/>
      </c>
    </row>
    <row r="612" ht="18" customHeight="1" s="96">
      <c r="A612" s="2" t="inlineStr">
        <is>
          <t>Person C</t>
        </is>
      </c>
      <c r="B612" s="3">
        <f>'Home-Coverage'!A183</f>
        <v/>
      </c>
      <c r="C612" s="2">
        <f>'Home-Coverage'!A183</f>
        <v/>
      </c>
      <c r="D612" s="3">
        <f>'Home-Coverage'!C183</f>
        <v/>
      </c>
      <c r="E612" s="3">
        <f>'Home-Coverage'!D183</f>
        <v/>
      </c>
      <c r="F612" s="3">
        <f>'Home-Coverage'!E183</f>
        <v/>
      </c>
      <c r="G612" s="4">
        <f>'Home-Coverage'!F183</f>
        <v/>
      </c>
      <c r="H612" s="5">
        <f>'Home-Coverage'!G183</f>
        <v/>
      </c>
      <c r="I612" s="5">
        <f>'Home-Coverage'!H183</f>
        <v/>
      </c>
      <c r="J612" s="6">
        <f>'Home-Coverage'!I183</f>
        <v/>
      </c>
      <c r="K612" s="3">
        <f>'Home-Coverage'!J183</f>
        <v/>
      </c>
      <c r="L612" s="13">
        <f>'Home-Coverage'!K183</f>
        <v/>
      </c>
    </row>
    <row r="613" ht="18" customHeight="1" s="96">
      <c r="A613" s="93" t="inlineStr">
        <is>
          <t>Person C</t>
        </is>
      </c>
      <c r="B613" s="8">
        <f>'Home-Coverage'!A184</f>
        <v/>
      </c>
      <c r="C613" s="93">
        <f>'Home-Coverage'!A184</f>
        <v/>
      </c>
      <c r="D613" s="8">
        <f>'Home-Coverage'!C184</f>
        <v/>
      </c>
      <c r="E613" s="8">
        <f>'Home-Coverage'!D184</f>
        <v/>
      </c>
      <c r="F613" s="8">
        <f>'Home-Coverage'!E184</f>
        <v/>
      </c>
      <c r="G613" s="9">
        <f>'Home-Coverage'!F184</f>
        <v/>
      </c>
      <c r="H613" s="10">
        <f>'Home-Coverage'!G184</f>
        <v/>
      </c>
      <c r="I613" s="10">
        <f>'Home-Coverage'!H184</f>
        <v/>
      </c>
      <c r="J613" s="11">
        <f>'Home-Coverage'!I184</f>
        <v/>
      </c>
      <c r="K613" s="8">
        <f>'Home-Coverage'!J184</f>
        <v/>
      </c>
      <c r="L613" s="12">
        <f>'Home-Coverage'!K184</f>
        <v/>
      </c>
    </row>
    <row r="614" ht="18" customHeight="1" s="96">
      <c r="A614" s="2" t="inlineStr">
        <is>
          <t>Person C</t>
        </is>
      </c>
      <c r="B614" s="3">
        <f>'Home-Coverage'!A185</f>
        <v/>
      </c>
      <c r="C614" s="2">
        <f>'Home-Coverage'!A185</f>
        <v/>
      </c>
      <c r="D614" s="3">
        <f>'Home-Coverage'!C185</f>
        <v/>
      </c>
      <c r="E614" s="3">
        <f>'Home-Coverage'!D185</f>
        <v/>
      </c>
      <c r="F614" s="3">
        <f>'Home-Coverage'!E185</f>
        <v/>
      </c>
      <c r="G614" s="4">
        <f>'Home-Coverage'!F185</f>
        <v/>
      </c>
      <c r="H614" s="5">
        <f>'Home-Coverage'!G185</f>
        <v/>
      </c>
      <c r="I614" s="5">
        <f>'Home-Coverage'!H185</f>
        <v/>
      </c>
      <c r="J614" s="6">
        <f>'Home-Coverage'!I185</f>
        <v/>
      </c>
      <c r="K614" s="3">
        <f>'Home-Coverage'!J185</f>
        <v/>
      </c>
      <c r="L614" s="13">
        <f>'Home-Coverage'!K185</f>
        <v/>
      </c>
    </row>
    <row r="615" ht="18" customHeight="1" s="96">
      <c r="A615" s="93" t="inlineStr">
        <is>
          <t>Person C</t>
        </is>
      </c>
      <c r="B615" s="8">
        <f>'Home-Coverage'!A186</f>
        <v/>
      </c>
      <c r="C615" s="93">
        <f>'Home-Coverage'!A186</f>
        <v/>
      </c>
      <c r="D615" s="8">
        <f>'Home-Coverage'!C186</f>
        <v/>
      </c>
      <c r="E615" s="8">
        <f>'Home-Coverage'!D186</f>
        <v/>
      </c>
      <c r="F615" s="8">
        <f>'Home-Coverage'!E186</f>
        <v/>
      </c>
      <c r="G615" s="9">
        <f>'Home-Coverage'!F186</f>
        <v/>
      </c>
      <c r="H615" s="10">
        <f>'Home-Coverage'!G186</f>
        <v/>
      </c>
      <c r="I615" s="10">
        <f>'Home-Coverage'!H186</f>
        <v/>
      </c>
      <c r="J615" s="11">
        <f>'Home-Coverage'!I186</f>
        <v/>
      </c>
      <c r="K615" s="8">
        <f>'Home-Coverage'!J186</f>
        <v/>
      </c>
      <c r="L615" s="12">
        <f>'Home-Coverage'!K186</f>
        <v/>
      </c>
    </row>
    <row r="616" ht="18" customHeight="1" s="96">
      <c r="A616" s="2" t="inlineStr">
        <is>
          <t>Person C</t>
        </is>
      </c>
      <c r="B616" s="3">
        <f>'Home-Coverage'!A187</f>
        <v/>
      </c>
      <c r="C616" s="2">
        <f>'Home-Coverage'!A187</f>
        <v/>
      </c>
      <c r="D616" s="3">
        <f>'Home-Coverage'!C187</f>
        <v/>
      </c>
      <c r="E616" s="3">
        <f>'Home-Coverage'!D187</f>
        <v/>
      </c>
      <c r="F616" s="3">
        <f>'Home-Coverage'!E187</f>
        <v/>
      </c>
      <c r="G616" s="4">
        <f>'Home-Coverage'!F187</f>
        <v/>
      </c>
      <c r="H616" s="5">
        <f>'Home-Coverage'!G187</f>
        <v/>
      </c>
      <c r="I616" s="5">
        <f>'Home-Coverage'!H187</f>
        <v/>
      </c>
      <c r="J616" s="6">
        <f>'Home-Coverage'!I187</f>
        <v/>
      </c>
      <c r="K616" s="3">
        <f>'Home-Coverage'!J187</f>
        <v/>
      </c>
      <c r="L616" s="13">
        <f>'Home-Coverage'!K187</f>
        <v/>
      </c>
    </row>
    <row r="617" ht="18" customHeight="1" s="96">
      <c r="A617" s="93" t="inlineStr">
        <is>
          <t>Person C</t>
        </is>
      </c>
      <c r="B617" s="8">
        <f>'Home-Coverage'!A188</f>
        <v/>
      </c>
      <c r="C617" s="93">
        <f>'Home-Coverage'!A188</f>
        <v/>
      </c>
      <c r="D617" s="8">
        <f>'Home-Coverage'!C188</f>
        <v/>
      </c>
      <c r="E617" s="8">
        <f>'Home-Coverage'!D188</f>
        <v/>
      </c>
      <c r="F617" s="8">
        <f>'Home-Coverage'!E188</f>
        <v/>
      </c>
      <c r="G617" s="9">
        <f>'Home-Coverage'!F188</f>
        <v/>
      </c>
      <c r="H617" s="10">
        <f>'Home-Coverage'!G188</f>
        <v/>
      </c>
      <c r="I617" s="10">
        <f>'Home-Coverage'!H188</f>
        <v/>
      </c>
      <c r="J617" s="11">
        <f>'Home-Coverage'!I188</f>
        <v/>
      </c>
      <c r="K617" s="8">
        <f>'Home-Coverage'!J188</f>
        <v/>
      </c>
      <c r="L617" s="12">
        <f>'Home-Coverage'!K188</f>
        <v/>
      </c>
    </row>
    <row r="618" ht="18" customHeight="1" s="96">
      <c r="A618" s="2" t="inlineStr">
        <is>
          <t>Person C</t>
        </is>
      </c>
      <c r="B618" s="3">
        <f>'Home-Coverage'!A189</f>
        <v/>
      </c>
      <c r="C618" s="2">
        <f>'Home-Coverage'!A189</f>
        <v/>
      </c>
      <c r="D618" s="3">
        <f>'Home-Coverage'!C189</f>
        <v/>
      </c>
      <c r="E618" s="3">
        <f>'Home-Coverage'!D189</f>
        <v/>
      </c>
      <c r="F618" s="3">
        <f>'Home-Coverage'!E189</f>
        <v/>
      </c>
      <c r="G618" s="4">
        <f>'Home-Coverage'!F189</f>
        <v/>
      </c>
      <c r="H618" s="5">
        <f>'Home-Coverage'!G189</f>
        <v/>
      </c>
      <c r="I618" s="5">
        <f>'Home-Coverage'!H189</f>
        <v/>
      </c>
      <c r="J618" s="6">
        <f>'Home-Coverage'!I189</f>
        <v/>
      </c>
      <c r="K618" s="3">
        <f>'Home-Coverage'!J189</f>
        <v/>
      </c>
      <c r="L618" s="13">
        <f>'Home-Coverage'!K189</f>
        <v/>
      </c>
    </row>
    <row r="619" ht="18" customHeight="1" s="96">
      <c r="A619" s="93" t="inlineStr">
        <is>
          <t>Person C</t>
        </is>
      </c>
      <c r="B619" s="8">
        <f>'Home-Coverage'!A190</f>
        <v/>
      </c>
      <c r="C619" s="93">
        <f>'Home-Coverage'!A190</f>
        <v/>
      </c>
      <c r="D619" s="8">
        <f>'Home-Coverage'!C190</f>
        <v/>
      </c>
      <c r="E619" s="8">
        <f>'Home-Coverage'!D190</f>
        <v/>
      </c>
      <c r="F619" s="8">
        <f>'Home-Coverage'!E190</f>
        <v/>
      </c>
      <c r="G619" s="9">
        <f>'Home-Coverage'!F190</f>
        <v/>
      </c>
      <c r="H619" s="10">
        <f>'Home-Coverage'!G190</f>
        <v/>
      </c>
      <c r="I619" s="10">
        <f>'Home-Coverage'!H190</f>
        <v/>
      </c>
      <c r="J619" s="11">
        <f>'Home-Coverage'!I190</f>
        <v/>
      </c>
      <c r="K619" s="8">
        <f>'Home-Coverage'!J190</f>
        <v/>
      </c>
      <c r="L619" s="12">
        <f>'Home-Coverage'!K190</f>
        <v/>
      </c>
    </row>
    <row r="620" ht="18" customHeight="1" s="96">
      <c r="A620" s="2" t="inlineStr">
        <is>
          <t>Person C</t>
        </is>
      </c>
      <c r="B620" s="3">
        <f>'Home-Coverage'!A191</f>
        <v/>
      </c>
      <c r="C620" s="2">
        <f>'Home-Coverage'!A191</f>
        <v/>
      </c>
      <c r="D620" s="3">
        <f>'Home-Coverage'!C191</f>
        <v/>
      </c>
      <c r="E620" s="3">
        <f>'Home-Coverage'!D191</f>
        <v/>
      </c>
      <c r="F620" s="3">
        <f>'Home-Coverage'!E191</f>
        <v/>
      </c>
      <c r="G620" s="4">
        <f>'Home-Coverage'!F191</f>
        <v/>
      </c>
      <c r="H620" s="5">
        <f>'Home-Coverage'!G191</f>
        <v/>
      </c>
      <c r="I620" s="5">
        <f>'Home-Coverage'!H191</f>
        <v/>
      </c>
      <c r="J620" s="6">
        <f>'Home-Coverage'!I191</f>
        <v/>
      </c>
      <c r="K620" s="3">
        <f>'Home-Coverage'!J191</f>
        <v/>
      </c>
      <c r="L620" s="13">
        <f>'Home-Coverage'!K191</f>
        <v/>
      </c>
    </row>
    <row r="621" ht="18" customHeight="1" s="96">
      <c r="A621" s="93" t="inlineStr">
        <is>
          <t>Person C</t>
        </is>
      </c>
      <c r="B621" s="8">
        <f>'Home-Coverage'!A192</f>
        <v/>
      </c>
      <c r="C621" s="93">
        <f>'Home-Coverage'!A192</f>
        <v/>
      </c>
      <c r="D621" s="8">
        <f>'Home-Coverage'!C192</f>
        <v/>
      </c>
      <c r="E621" s="8">
        <f>'Home-Coverage'!D192</f>
        <v/>
      </c>
      <c r="F621" s="8">
        <f>'Home-Coverage'!E192</f>
        <v/>
      </c>
      <c r="G621" s="9">
        <f>'Home-Coverage'!F192</f>
        <v/>
      </c>
      <c r="H621" s="10">
        <f>'Home-Coverage'!G192</f>
        <v/>
      </c>
      <c r="I621" s="10">
        <f>'Home-Coverage'!H192</f>
        <v/>
      </c>
      <c r="J621" s="11">
        <f>'Home-Coverage'!I192</f>
        <v/>
      </c>
      <c r="K621" s="8">
        <f>'Home-Coverage'!J192</f>
        <v/>
      </c>
      <c r="L621" s="12">
        <f>'Home-Coverage'!K192</f>
        <v/>
      </c>
    </row>
    <row r="622" ht="18" customHeight="1" s="96">
      <c r="A622" s="2" t="inlineStr">
        <is>
          <t>Person C</t>
        </is>
      </c>
      <c r="B622" s="3">
        <f>'Home-Coverage'!A193</f>
        <v/>
      </c>
      <c r="C622" s="2">
        <f>'Home-Coverage'!A193</f>
        <v/>
      </c>
      <c r="D622" s="3">
        <f>'Home-Coverage'!C193</f>
        <v/>
      </c>
      <c r="E622" s="3">
        <f>'Home-Coverage'!D193</f>
        <v/>
      </c>
      <c r="F622" s="3">
        <f>'Home-Coverage'!E193</f>
        <v/>
      </c>
      <c r="G622" s="4">
        <f>'Home-Coverage'!F193</f>
        <v/>
      </c>
      <c r="H622" s="5">
        <f>'Home-Coverage'!G193</f>
        <v/>
      </c>
      <c r="I622" s="5">
        <f>'Home-Coverage'!H193</f>
        <v/>
      </c>
      <c r="J622" s="6">
        <f>'Home-Coverage'!I193</f>
        <v/>
      </c>
      <c r="K622" s="3">
        <f>'Home-Coverage'!J193</f>
        <v/>
      </c>
      <c r="L622" s="13">
        <f>'Home-Coverage'!K193</f>
        <v/>
      </c>
    </row>
    <row r="623" ht="18" customHeight="1" s="96">
      <c r="A623" s="93" t="inlineStr">
        <is>
          <t>Person C</t>
        </is>
      </c>
      <c r="B623" s="8">
        <f>'Home-Coverage'!A194</f>
        <v/>
      </c>
      <c r="C623" s="93">
        <f>'Home-Coverage'!A194</f>
        <v/>
      </c>
      <c r="D623" s="8">
        <f>'Home-Coverage'!C194</f>
        <v/>
      </c>
      <c r="E623" s="8">
        <f>'Home-Coverage'!D194</f>
        <v/>
      </c>
      <c r="F623" s="8">
        <f>'Home-Coverage'!E194</f>
        <v/>
      </c>
      <c r="G623" s="9">
        <f>'Home-Coverage'!F194</f>
        <v/>
      </c>
      <c r="H623" s="10">
        <f>'Home-Coverage'!G194</f>
        <v/>
      </c>
      <c r="I623" s="10">
        <f>'Home-Coverage'!H194</f>
        <v/>
      </c>
      <c r="J623" s="11">
        <f>'Home-Coverage'!I194</f>
        <v/>
      </c>
      <c r="K623" s="8">
        <f>'Home-Coverage'!J194</f>
        <v/>
      </c>
      <c r="L623" s="12">
        <f>'Home-Coverage'!K194</f>
        <v/>
      </c>
    </row>
    <row r="624" ht="18" customHeight="1" s="96">
      <c r="A624" s="2" t="inlineStr">
        <is>
          <t>Person C</t>
        </is>
      </c>
      <c r="B624" s="3">
        <f>'Home-Coverage'!A195</f>
        <v/>
      </c>
      <c r="C624" s="2">
        <f>'Home-Coverage'!A195</f>
        <v/>
      </c>
      <c r="D624" s="3">
        <f>'Home-Coverage'!C195</f>
        <v/>
      </c>
      <c r="E624" s="3">
        <f>'Home-Coverage'!D195</f>
        <v/>
      </c>
      <c r="F624" s="3">
        <f>'Home-Coverage'!E195</f>
        <v/>
      </c>
      <c r="G624" s="4">
        <f>'Home-Coverage'!F195</f>
        <v/>
      </c>
      <c r="H624" s="5">
        <f>'Home-Coverage'!G195</f>
        <v/>
      </c>
      <c r="I624" s="5">
        <f>'Home-Coverage'!H195</f>
        <v/>
      </c>
      <c r="J624" s="6">
        <f>'Home-Coverage'!I195</f>
        <v/>
      </c>
      <c r="K624" s="3">
        <f>'Home-Coverage'!J195</f>
        <v/>
      </c>
      <c r="L624" s="13">
        <f>'Home-Coverage'!K195</f>
        <v/>
      </c>
    </row>
    <row r="625" ht="18" customHeight="1" s="96">
      <c r="A625" s="93" t="inlineStr">
        <is>
          <t>Person C</t>
        </is>
      </c>
      <c r="B625" s="8">
        <f>'Home-Coverage'!A196</f>
        <v/>
      </c>
      <c r="C625" s="93">
        <f>'Home-Coverage'!A196</f>
        <v/>
      </c>
      <c r="D625" s="8">
        <f>'Home-Coverage'!C196</f>
        <v/>
      </c>
      <c r="E625" s="8">
        <f>'Home-Coverage'!D196</f>
        <v/>
      </c>
      <c r="F625" s="8">
        <f>'Home-Coverage'!E196</f>
        <v/>
      </c>
      <c r="G625" s="9">
        <f>'Home-Coverage'!F196</f>
        <v/>
      </c>
      <c r="H625" s="10">
        <f>'Home-Coverage'!G196</f>
        <v/>
      </c>
      <c r="I625" s="10">
        <f>'Home-Coverage'!H196</f>
        <v/>
      </c>
      <c r="J625" s="11">
        <f>'Home-Coverage'!I196</f>
        <v/>
      </c>
      <c r="K625" s="8">
        <f>'Home-Coverage'!J196</f>
        <v/>
      </c>
      <c r="L625" s="12">
        <f>'Home-Coverage'!K196</f>
        <v/>
      </c>
    </row>
    <row r="626" ht="18" customHeight="1" s="96">
      <c r="A626" s="2" t="inlineStr">
        <is>
          <t>Person C</t>
        </is>
      </c>
      <c r="B626" s="3">
        <f>'Home-Coverage'!A197</f>
        <v/>
      </c>
      <c r="C626" s="2">
        <f>'Home-Coverage'!A197</f>
        <v/>
      </c>
      <c r="D626" s="3">
        <f>'Home-Coverage'!C197</f>
        <v/>
      </c>
      <c r="E626" s="3">
        <f>'Home-Coverage'!D197</f>
        <v/>
      </c>
      <c r="F626" s="3">
        <f>'Home-Coverage'!E197</f>
        <v/>
      </c>
      <c r="G626" s="4">
        <f>'Home-Coverage'!F197</f>
        <v/>
      </c>
      <c r="H626" s="5">
        <f>'Home-Coverage'!G197</f>
        <v/>
      </c>
      <c r="I626" s="5">
        <f>'Home-Coverage'!H197</f>
        <v/>
      </c>
      <c r="J626" s="6">
        <f>'Home-Coverage'!I197</f>
        <v/>
      </c>
      <c r="K626" s="3">
        <f>'Home-Coverage'!J197</f>
        <v/>
      </c>
      <c r="L626" s="13">
        <f>'Home-Coverage'!K197</f>
        <v/>
      </c>
    </row>
    <row r="627" ht="18" customHeight="1" s="96">
      <c r="A627" s="93" t="inlineStr">
        <is>
          <t>Person C</t>
        </is>
      </c>
      <c r="B627" s="8">
        <f>'Home-Coverage'!A198</f>
        <v/>
      </c>
      <c r="C627" s="93">
        <f>'Home-Coverage'!A198</f>
        <v/>
      </c>
      <c r="D627" s="8">
        <f>'Home-Coverage'!C198</f>
        <v/>
      </c>
      <c r="E627" s="8">
        <f>'Home-Coverage'!D198</f>
        <v/>
      </c>
      <c r="F627" s="8">
        <f>'Home-Coverage'!E198</f>
        <v/>
      </c>
      <c r="G627" s="9">
        <f>'Home-Coverage'!F198</f>
        <v/>
      </c>
      <c r="H627" s="10">
        <f>'Home-Coverage'!G198</f>
        <v/>
      </c>
      <c r="I627" s="10">
        <f>'Home-Coverage'!H198</f>
        <v/>
      </c>
      <c r="J627" s="11">
        <f>'Home-Coverage'!I198</f>
        <v/>
      </c>
      <c r="K627" s="8">
        <f>'Home-Coverage'!J198</f>
        <v/>
      </c>
      <c r="L627" s="12">
        <f>'Home-Coverage'!K198</f>
        <v/>
      </c>
    </row>
    <row r="628" ht="18" customHeight="1" s="96">
      <c r="A628" s="2" t="inlineStr">
        <is>
          <t>Person C</t>
        </is>
      </c>
      <c r="B628" s="3">
        <f>'Home-Coverage'!A199</f>
        <v/>
      </c>
      <c r="C628" s="2">
        <f>'Home-Coverage'!A199</f>
        <v/>
      </c>
      <c r="D628" s="3">
        <f>'Home-Coverage'!C199</f>
        <v/>
      </c>
      <c r="E628" s="3">
        <f>'Home-Coverage'!D199</f>
        <v/>
      </c>
      <c r="F628" s="3">
        <f>'Home-Coverage'!E199</f>
        <v/>
      </c>
      <c r="G628" s="4">
        <f>'Home-Coverage'!F199</f>
        <v/>
      </c>
      <c r="H628" s="5">
        <f>'Home-Coverage'!G199</f>
        <v/>
      </c>
      <c r="I628" s="5">
        <f>'Home-Coverage'!H199</f>
        <v/>
      </c>
      <c r="J628" s="6">
        <f>'Home-Coverage'!I199</f>
        <v/>
      </c>
      <c r="K628" s="3">
        <f>'Home-Coverage'!J199</f>
        <v/>
      </c>
      <c r="L628" s="13">
        <f>'Home-Coverage'!K199</f>
        <v/>
      </c>
    </row>
    <row r="629" ht="18" customHeight="1" s="96">
      <c r="A629" s="93" t="inlineStr">
        <is>
          <t>Person C</t>
        </is>
      </c>
      <c r="B629" s="8">
        <f>'Home-Coverage'!A200</f>
        <v/>
      </c>
      <c r="C629" s="93">
        <f>'Home-Coverage'!A200</f>
        <v/>
      </c>
      <c r="D629" s="8">
        <f>'Home-Coverage'!C200</f>
        <v/>
      </c>
      <c r="E629" s="8">
        <f>'Home-Coverage'!D200</f>
        <v/>
      </c>
      <c r="F629" s="8">
        <f>'Home-Coverage'!E200</f>
        <v/>
      </c>
      <c r="G629" s="9">
        <f>'Home-Coverage'!F200</f>
        <v/>
      </c>
      <c r="H629" s="10">
        <f>'Home-Coverage'!G200</f>
        <v/>
      </c>
      <c r="I629" s="10">
        <f>'Home-Coverage'!H200</f>
        <v/>
      </c>
      <c r="J629" s="11">
        <f>'Home-Coverage'!I200</f>
        <v/>
      </c>
      <c r="K629" s="8">
        <f>'Home-Coverage'!J200</f>
        <v/>
      </c>
      <c r="L629" s="12">
        <f>'Home-Coverage'!K200</f>
        <v/>
      </c>
    </row>
    <row r="630" ht="18" customHeight="1" s="96">
      <c r="A630" s="2" t="inlineStr">
        <is>
          <t>Person C</t>
        </is>
      </c>
      <c r="B630" s="3">
        <f>'Home-Coverage'!A201</f>
        <v/>
      </c>
      <c r="C630" s="2">
        <f>'Home-Coverage'!A201</f>
        <v/>
      </c>
      <c r="D630" s="3">
        <f>'Home-Coverage'!C201</f>
        <v/>
      </c>
      <c r="E630" s="3">
        <f>'Home-Coverage'!D201</f>
        <v/>
      </c>
      <c r="F630" s="3">
        <f>'Home-Coverage'!E201</f>
        <v/>
      </c>
      <c r="G630" s="4">
        <f>'Home-Coverage'!F201</f>
        <v/>
      </c>
      <c r="H630" s="5">
        <f>'Home-Coverage'!G201</f>
        <v/>
      </c>
      <c r="I630" s="5">
        <f>'Home-Coverage'!H201</f>
        <v/>
      </c>
      <c r="J630" s="6">
        <f>'Home-Coverage'!I201</f>
        <v/>
      </c>
      <c r="K630" s="3">
        <f>'Home-Coverage'!J201</f>
        <v/>
      </c>
      <c r="L630" s="13">
        <f>'Home-Coverage'!K201</f>
        <v/>
      </c>
    </row>
    <row r="631" ht="21.75" customHeight="1" s="96">
      <c r="A631" s="93" t="inlineStr">
        <is>
          <t>Person C</t>
        </is>
      </c>
      <c r="B631" s="94" t="n"/>
      <c r="C631" s="94" t="n"/>
      <c r="D631" s="94" t="n"/>
      <c r="E631" s="94" t="n"/>
      <c r="F631" s="94" t="n"/>
      <c r="G631" s="95" t="n"/>
      <c r="H631" s="10">
        <f>'Home-Coverage'!G202</f>
        <v/>
      </c>
      <c r="I631" s="10">
        <f>'Home-Coverage'!H202</f>
        <v/>
      </c>
      <c r="J631" s="11">
        <f>'Home-Coverage'!I202</f>
        <v/>
      </c>
      <c r="K631" s="8">
        <f>'Home-Coverage'!J202</f>
        <v/>
      </c>
      <c r="L631" s="12">
        <f>'Home-Coverage'!K202</f>
        <v/>
      </c>
    </row>
    <row r="632" ht="15" customHeight="1" s="96">
      <c r="A632" s="14" t="inlineStr">
        <is>
          <t>GRAND TOTAL — ALL COVERAGE</t>
        </is>
      </c>
      <c r="B632" s="94" t="n"/>
      <c r="C632" s="94" t="n"/>
      <c r="D632" s="94" t="n"/>
      <c r="E632" s="94" t="n"/>
      <c r="F632" s="94" t="n"/>
      <c r="G632" s="95" t="n"/>
      <c r="H632" s="19">
        <f>'Madine- Coverage'!G203+'Zarrah- Coverage'!G203+'Home-Coverage'!G203</f>
        <v/>
      </c>
      <c r="I632" s="19">
        <f>'Madine- Coverage'!H203+'Zarrah- Coverage'!H203+'Home-Coverage'!H203</f>
        <v/>
      </c>
      <c r="J632" s="17" t="n"/>
      <c r="K632" s="17" t="n"/>
      <c r="L632" s="17" t="n"/>
    </row>
    <row r="634" ht="27.75" customHeight="1" s="96"/>
    <row r="635" ht="42" customHeight="1" s="96">
      <c r="A635" s="45" t="inlineStr">
        <is>
          <t>SECTION C — SALES CONVERSION DETAIL (ALL PERSONS)</t>
        </is>
      </c>
      <c r="O635" s="100" t="n"/>
    </row>
    <row r="636" ht="18" customHeight="1" s="96">
      <c r="A636" s="41" t="inlineStr">
        <is>
          <t>TOTAL GP
(VAT EX)</t>
        </is>
      </c>
      <c r="B636" s="20" t="inlineStr">
        <is>
          <t>TOTAL GP
(VAT EX)</t>
        </is>
      </c>
      <c r="C636" s="20" t="inlineStr">
        <is>
          <t>TOTAL GP
(VAT EX)</t>
        </is>
      </c>
      <c r="D636" s="20" t="inlineStr">
        <is>
          <t>TOTAL GP
(VAT EX)</t>
        </is>
      </c>
      <c r="E636" s="20" t="inlineStr">
        <is>
          <t>TOTAL GP
(VAT EX)</t>
        </is>
      </c>
      <c r="F636" s="20" t="inlineStr">
        <is>
          <t>TOTAL GP
(VAT EX)</t>
        </is>
      </c>
      <c r="G636" s="20" t="inlineStr">
        <is>
          <t>TOTAL GP
(VAT EX)</t>
        </is>
      </c>
      <c r="H636" s="20" t="inlineStr">
        <is>
          <t>TOTAL GP
(VAT EX)</t>
        </is>
      </c>
      <c r="I636" s="20" t="inlineStr">
        <is>
          <t>TOTAL GP
(VAT EX)</t>
        </is>
      </c>
      <c r="J636" s="20" t="inlineStr">
        <is>
          <t>TOTAL GP
(VAT EX)</t>
        </is>
      </c>
      <c r="K636" s="20" t="inlineStr">
        <is>
          <t>TOTAL GP
(VAT EX)</t>
        </is>
      </c>
      <c r="L636" s="20" t="inlineStr">
        <is>
          <t>TOTAL GP
(VAT EX)</t>
        </is>
      </c>
      <c r="M636" s="20" t="inlineStr">
        <is>
          <t>TOTAL GP
(VAT EX)</t>
        </is>
      </c>
      <c r="N636" s="20" t="inlineStr">
        <is>
          <t>TOTAL GP
(VAT EX)</t>
        </is>
      </c>
      <c r="O636" s="20" t="inlineStr">
        <is>
          <t>TOTAL GP
(VAT EX)</t>
        </is>
      </c>
    </row>
    <row r="637" ht="18" customHeight="1" s="96">
      <c r="A637" s="2" t="inlineStr">
        <is>
          <t>Person A</t>
        </is>
      </c>
      <c r="B637" s="2">
        <f>'Madine- Conversion'!A3</f>
        <v/>
      </c>
      <c r="C637" s="3">
        <f>'Madine- Conversion'!B3</f>
        <v/>
      </c>
      <c r="D637" s="3">
        <f>'Madine- Conversion'!C3</f>
        <v/>
      </c>
      <c r="E637" s="3">
        <f>'Madine- Conversion'!D3</f>
        <v/>
      </c>
      <c r="F637" s="3">
        <f>'Madine- Conversion'!E3</f>
        <v/>
      </c>
      <c r="G637" s="4">
        <f>'Madine- Conversion'!F3</f>
        <v/>
      </c>
      <c r="H637" s="3">
        <f>'Madine- Conversion'!G3</f>
        <v/>
      </c>
      <c r="I637" s="5">
        <f>'Madine- Conversion'!H3</f>
        <v/>
      </c>
      <c r="J637" s="5">
        <f>'Madine- Conversion'!I3</f>
        <v/>
      </c>
      <c r="K637" s="6">
        <f>'Madine- Conversion'!J3</f>
        <v/>
      </c>
      <c r="L637" s="13">
        <f>'Madine- Conversion'!K3</f>
        <v/>
      </c>
      <c r="M637" s="6">
        <f>'Madine- Conversion'!N3</f>
        <v/>
      </c>
      <c r="N637" s="3">
        <f>'Madine- Conversion'!O3</f>
        <v/>
      </c>
      <c r="O637" s="3">
        <f>'Madine- Conversion'!P3</f>
        <v/>
      </c>
    </row>
    <row r="638" ht="18" customHeight="1" s="96">
      <c r="A638" s="93" t="inlineStr">
        <is>
          <t>Person A</t>
        </is>
      </c>
      <c r="B638" s="93">
        <f>'Madine- Conversion'!A4</f>
        <v/>
      </c>
      <c r="C638" s="8">
        <f>'Madine- Conversion'!B4</f>
        <v/>
      </c>
      <c r="D638" s="8">
        <f>'Madine- Conversion'!C4</f>
        <v/>
      </c>
      <c r="E638" s="8">
        <f>'Madine- Conversion'!D4</f>
        <v/>
      </c>
      <c r="F638" s="8">
        <f>'Madine- Conversion'!E4</f>
        <v/>
      </c>
      <c r="G638" s="9">
        <f>'Madine- Conversion'!F4</f>
        <v/>
      </c>
      <c r="H638" s="8">
        <f>'Madine- Conversion'!G4</f>
        <v/>
      </c>
      <c r="I638" s="10">
        <f>'Madine- Conversion'!H4</f>
        <v/>
      </c>
      <c r="J638" s="10">
        <f>'Madine- Conversion'!I4</f>
        <v/>
      </c>
      <c r="K638" s="11">
        <f>'Madine- Conversion'!J4</f>
        <v/>
      </c>
      <c r="L638" s="12">
        <f>'Madine- Conversion'!K4</f>
        <v/>
      </c>
      <c r="M638" s="11">
        <f>'Madine- Conversion'!N4</f>
        <v/>
      </c>
      <c r="N638" s="8">
        <f>'Madine- Conversion'!O4</f>
        <v/>
      </c>
      <c r="O638" s="8">
        <f>'Madine- Conversion'!P4</f>
        <v/>
      </c>
    </row>
    <row r="639" ht="18" customHeight="1" s="96">
      <c r="A639" s="2" t="inlineStr">
        <is>
          <t>Person A</t>
        </is>
      </c>
      <c r="B639" s="2">
        <f>'Madine- Conversion'!A5</f>
        <v/>
      </c>
      <c r="C639" s="3">
        <f>'Madine- Conversion'!B5</f>
        <v/>
      </c>
      <c r="D639" s="3">
        <f>'Madine- Conversion'!C5</f>
        <v/>
      </c>
      <c r="E639" s="3">
        <f>'Madine- Conversion'!D5</f>
        <v/>
      </c>
      <c r="F639" s="3">
        <f>'Madine- Conversion'!E5</f>
        <v/>
      </c>
      <c r="G639" s="4">
        <f>'Madine- Conversion'!F5</f>
        <v/>
      </c>
      <c r="H639" s="3">
        <f>'Madine- Conversion'!G5</f>
        <v/>
      </c>
      <c r="I639" s="5">
        <f>'Madine- Conversion'!H5</f>
        <v/>
      </c>
      <c r="J639" s="5">
        <f>'Madine- Conversion'!I5</f>
        <v/>
      </c>
      <c r="K639" s="6">
        <f>'Madine- Conversion'!J5</f>
        <v/>
      </c>
      <c r="L639" s="13">
        <f>'Madine- Conversion'!K5</f>
        <v/>
      </c>
      <c r="M639" s="6">
        <f>'Madine- Conversion'!N5</f>
        <v/>
      </c>
      <c r="N639" s="3">
        <f>'Madine- Conversion'!O5</f>
        <v/>
      </c>
      <c r="O639" s="3">
        <f>'Madine- Conversion'!P5</f>
        <v/>
      </c>
    </row>
    <row r="640" ht="18" customHeight="1" s="96">
      <c r="A640" s="93" t="inlineStr">
        <is>
          <t>Person A</t>
        </is>
      </c>
      <c r="B640" s="93">
        <f>'Madine- Conversion'!A6</f>
        <v/>
      </c>
      <c r="C640" s="8">
        <f>'Madine- Conversion'!B6</f>
        <v/>
      </c>
      <c r="D640" s="8">
        <f>'Madine- Conversion'!C6</f>
        <v/>
      </c>
      <c r="E640" s="8">
        <f>'Madine- Conversion'!D6</f>
        <v/>
      </c>
      <c r="F640" s="8">
        <f>'Madine- Conversion'!E6</f>
        <v/>
      </c>
      <c r="G640" s="9">
        <f>'Madine- Conversion'!F6</f>
        <v/>
      </c>
      <c r="H640" s="8">
        <f>'Madine- Conversion'!G6</f>
        <v/>
      </c>
      <c r="I640" s="10">
        <f>'Madine- Conversion'!H6</f>
        <v/>
      </c>
      <c r="J640" s="10">
        <f>'Madine- Conversion'!I6</f>
        <v/>
      </c>
      <c r="K640" s="11">
        <f>'Madine- Conversion'!J6</f>
        <v/>
      </c>
      <c r="L640" s="12">
        <f>'Madine- Conversion'!K6</f>
        <v/>
      </c>
      <c r="M640" s="11">
        <f>'Madine- Conversion'!N6</f>
        <v/>
      </c>
      <c r="N640" s="8">
        <f>'Madine- Conversion'!O6</f>
        <v/>
      </c>
      <c r="O640" s="8">
        <f>'Madine- Conversion'!P6</f>
        <v/>
      </c>
    </row>
    <row r="641" ht="18" customHeight="1" s="96">
      <c r="A641" s="2" t="inlineStr">
        <is>
          <t>Person A</t>
        </is>
      </c>
      <c r="B641" s="2">
        <f>'Madine- Conversion'!A7</f>
        <v/>
      </c>
      <c r="C641" s="3">
        <f>'Madine- Conversion'!B7</f>
        <v/>
      </c>
      <c r="D641" s="3">
        <f>'Madine- Conversion'!C7</f>
        <v/>
      </c>
      <c r="E641" s="3">
        <f>'Madine- Conversion'!D7</f>
        <v/>
      </c>
      <c r="F641" s="3">
        <f>'Madine- Conversion'!E7</f>
        <v/>
      </c>
      <c r="G641" s="4">
        <f>'Madine- Conversion'!F7</f>
        <v/>
      </c>
      <c r="H641" s="3">
        <f>'Madine- Conversion'!G7</f>
        <v/>
      </c>
      <c r="I641" s="5">
        <f>'Madine- Conversion'!H7</f>
        <v/>
      </c>
      <c r="J641" s="5">
        <f>'Madine- Conversion'!I7</f>
        <v/>
      </c>
      <c r="K641" s="6">
        <f>'Madine- Conversion'!J7</f>
        <v/>
      </c>
      <c r="L641" s="13">
        <f>'Madine- Conversion'!K7</f>
        <v/>
      </c>
      <c r="M641" s="6">
        <f>'Madine- Conversion'!N7</f>
        <v/>
      </c>
      <c r="N641" s="3">
        <f>'Madine- Conversion'!O7</f>
        <v/>
      </c>
      <c r="O641" s="3">
        <f>'Madine- Conversion'!P7</f>
        <v/>
      </c>
    </row>
    <row r="642" ht="18" customHeight="1" s="96">
      <c r="A642" s="93" t="inlineStr">
        <is>
          <t>Person A</t>
        </is>
      </c>
      <c r="B642" s="93">
        <f>'Madine- Conversion'!A8</f>
        <v/>
      </c>
      <c r="C642" s="8">
        <f>'Madine- Conversion'!B8</f>
        <v/>
      </c>
      <c r="D642" s="8">
        <f>'Madine- Conversion'!C8</f>
        <v/>
      </c>
      <c r="E642" s="8">
        <f>'Madine- Conversion'!D8</f>
        <v/>
      </c>
      <c r="F642" s="8">
        <f>'Madine- Conversion'!E8</f>
        <v/>
      </c>
      <c r="G642" s="9">
        <f>'Madine- Conversion'!F8</f>
        <v/>
      </c>
      <c r="H642" s="8">
        <f>'Madine- Conversion'!G8</f>
        <v/>
      </c>
      <c r="I642" s="10">
        <f>'Madine- Conversion'!H8</f>
        <v/>
      </c>
      <c r="J642" s="10">
        <f>'Madine- Conversion'!I8</f>
        <v/>
      </c>
      <c r="K642" s="11">
        <f>'Madine- Conversion'!J8</f>
        <v/>
      </c>
      <c r="L642" s="12">
        <f>'Madine- Conversion'!K8</f>
        <v/>
      </c>
      <c r="M642" s="11">
        <f>'Madine- Conversion'!N8</f>
        <v/>
      </c>
      <c r="N642" s="8">
        <f>'Madine- Conversion'!O8</f>
        <v/>
      </c>
      <c r="O642" s="8">
        <f>'Madine- Conversion'!P8</f>
        <v/>
      </c>
    </row>
    <row r="643" ht="18" customHeight="1" s="96">
      <c r="A643" s="2" t="inlineStr">
        <is>
          <t>Person A</t>
        </is>
      </c>
      <c r="B643" s="2">
        <f>'Madine- Conversion'!A9</f>
        <v/>
      </c>
      <c r="C643" s="3">
        <f>'Madine- Conversion'!B9</f>
        <v/>
      </c>
      <c r="D643" s="3">
        <f>'Madine- Conversion'!C9</f>
        <v/>
      </c>
      <c r="E643" s="3">
        <f>'Madine- Conversion'!D9</f>
        <v/>
      </c>
      <c r="F643" s="3">
        <f>'Madine- Conversion'!E9</f>
        <v/>
      </c>
      <c r="G643" s="4">
        <f>'Madine- Conversion'!F9</f>
        <v/>
      </c>
      <c r="H643" s="3">
        <f>'Madine- Conversion'!G9</f>
        <v/>
      </c>
      <c r="I643" s="5">
        <f>'Madine- Conversion'!H9</f>
        <v/>
      </c>
      <c r="J643" s="5">
        <f>'Madine- Conversion'!I9</f>
        <v/>
      </c>
      <c r="K643" s="6">
        <f>'Madine- Conversion'!J9</f>
        <v/>
      </c>
      <c r="L643" s="13">
        <f>'Madine- Conversion'!K9</f>
        <v/>
      </c>
      <c r="M643" s="6">
        <f>'Madine- Conversion'!N9</f>
        <v/>
      </c>
      <c r="N643" s="3">
        <f>'Madine- Conversion'!O9</f>
        <v/>
      </c>
      <c r="O643" s="3">
        <f>'Madine- Conversion'!P9</f>
        <v/>
      </c>
    </row>
    <row r="644" ht="18" customHeight="1" s="96">
      <c r="A644" s="93" t="inlineStr">
        <is>
          <t>Person A</t>
        </is>
      </c>
      <c r="B644" s="93">
        <f>'Madine- Conversion'!A10</f>
        <v/>
      </c>
      <c r="C644" s="8">
        <f>'Madine- Conversion'!B10</f>
        <v/>
      </c>
      <c r="D644" s="8">
        <f>'Madine- Conversion'!C10</f>
        <v/>
      </c>
      <c r="E644" s="8">
        <f>'Madine- Conversion'!D10</f>
        <v/>
      </c>
      <c r="F644" s="8">
        <f>'Madine- Conversion'!E10</f>
        <v/>
      </c>
      <c r="G644" s="9">
        <f>'Madine- Conversion'!F10</f>
        <v/>
      </c>
      <c r="H644" s="8">
        <f>'Madine- Conversion'!G10</f>
        <v/>
      </c>
      <c r="I644" s="10">
        <f>'Madine- Conversion'!H10</f>
        <v/>
      </c>
      <c r="J644" s="10">
        <f>'Madine- Conversion'!I10</f>
        <v/>
      </c>
      <c r="K644" s="11">
        <f>'Madine- Conversion'!J10</f>
        <v/>
      </c>
      <c r="L644" s="12">
        <f>'Madine- Conversion'!K10</f>
        <v/>
      </c>
      <c r="M644" s="11">
        <f>'Madine- Conversion'!N10</f>
        <v/>
      </c>
      <c r="N644" s="8">
        <f>'Madine- Conversion'!O10</f>
        <v/>
      </c>
      <c r="O644" s="8">
        <f>'Madine- Conversion'!P10</f>
        <v/>
      </c>
    </row>
    <row r="645" ht="18" customHeight="1" s="96">
      <c r="A645" s="2" t="inlineStr">
        <is>
          <t>Person A</t>
        </is>
      </c>
      <c r="B645" s="2">
        <f>'Madine- Conversion'!A11</f>
        <v/>
      </c>
      <c r="C645" s="3">
        <f>'Madine- Conversion'!B11</f>
        <v/>
      </c>
      <c r="D645" s="3">
        <f>'Madine- Conversion'!C11</f>
        <v/>
      </c>
      <c r="E645" s="3">
        <f>'Madine- Conversion'!D11</f>
        <v/>
      </c>
      <c r="F645" s="3">
        <f>'Madine- Conversion'!E11</f>
        <v/>
      </c>
      <c r="G645" s="4">
        <f>'Madine- Conversion'!F11</f>
        <v/>
      </c>
      <c r="H645" s="3">
        <f>'Madine- Conversion'!G11</f>
        <v/>
      </c>
      <c r="I645" s="5">
        <f>'Madine- Conversion'!H11</f>
        <v/>
      </c>
      <c r="J645" s="5">
        <f>'Madine- Conversion'!I11</f>
        <v/>
      </c>
      <c r="K645" s="6">
        <f>'Madine- Conversion'!J11</f>
        <v/>
      </c>
      <c r="L645" s="13">
        <f>'Madine- Conversion'!K11</f>
        <v/>
      </c>
      <c r="M645" s="6">
        <f>'Madine- Conversion'!N11</f>
        <v/>
      </c>
      <c r="N645" s="3">
        <f>'Madine- Conversion'!O11</f>
        <v/>
      </c>
      <c r="O645" s="3">
        <f>'Madine- Conversion'!P11</f>
        <v/>
      </c>
    </row>
    <row r="646" ht="18" customHeight="1" s="96">
      <c r="A646" s="93" t="inlineStr">
        <is>
          <t>Person A</t>
        </is>
      </c>
      <c r="B646" s="93">
        <f>'Madine- Conversion'!A12</f>
        <v/>
      </c>
      <c r="C646" s="8">
        <f>'Madine- Conversion'!B12</f>
        <v/>
      </c>
      <c r="D646" s="8">
        <f>'Madine- Conversion'!C12</f>
        <v/>
      </c>
      <c r="E646" s="8">
        <f>'Madine- Conversion'!D12</f>
        <v/>
      </c>
      <c r="F646" s="8">
        <f>'Madine- Conversion'!E12</f>
        <v/>
      </c>
      <c r="G646" s="9">
        <f>'Madine- Conversion'!F12</f>
        <v/>
      </c>
      <c r="H646" s="8">
        <f>'Madine- Conversion'!G12</f>
        <v/>
      </c>
      <c r="I646" s="10">
        <f>'Madine- Conversion'!H12</f>
        <v/>
      </c>
      <c r="J646" s="10">
        <f>'Madine- Conversion'!I12</f>
        <v/>
      </c>
      <c r="K646" s="11">
        <f>'Madine- Conversion'!J12</f>
        <v/>
      </c>
      <c r="L646" s="12">
        <f>'Madine- Conversion'!K12</f>
        <v/>
      </c>
      <c r="M646" s="11">
        <f>'Madine- Conversion'!N12</f>
        <v/>
      </c>
      <c r="N646" s="8">
        <f>'Madine- Conversion'!O12</f>
        <v/>
      </c>
      <c r="O646" s="8">
        <f>'Madine- Conversion'!P12</f>
        <v/>
      </c>
    </row>
    <row r="647" ht="18" customHeight="1" s="96">
      <c r="A647" s="2" t="inlineStr">
        <is>
          <t>Person A</t>
        </is>
      </c>
      <c r="B647" s="2">
        <f>'Madine- Conversion'!A13</f>
        <v/>
      </c>
      <c r="C647" s="3">
        <f>'Madine- Conversion'!B13</f>
        <v/>
      </c>
      <c r="D647" s="3">
        <f>'Madine- Conversion'!C13</f>
        <v/>
      </c>
      <c r="E647" s="3">
        <f>'Madine- Conversion'!D13</f>
        <v/>
      </c>
      <c r="F647" s="3">
        <f>'Madine- Conversion'!E13</f>
        <v/>
      </c>
      <c r="G647" s="4">
        <f>'Madine- Conversion'!F13</f>
        <v/>
      </c>
      <c r="H647" s="3">
        <f>'Madine- Conversion'!G13</f>
        <v/>
      </c>
      <c r="I647" s="5">
        <f>'Madine- Conversion'!H13</f>
        <v/>
      </c>
      <c r="J647" s="5">
        <f>'Madine- Conversion'!I13</f>
        <v/>
      </c>
      <c r="K647" s="6">
        <f>'Madine- Conversion'!J13</f>
        <v/>
      </c>
      <c r="L647" s="13">
        <f>'Madine- Conversion'!K13</f>
        <v/>
      </c>
      <c r="M647" s="6">
        <f>'Madine- Conversion'!N13</f>
        <v/>
      </c>
      <c r="N647" s="3">
        <f>'Madine- Conversion'!O13</f>
        <v/>
      </c>
      <c r="O647" s="3">
        <f>'Madine- Conversion'!P13</f>
        <v/>
      </c>
    </row>
    <row r="648" ht="18" customHeight="1" s="96">
      <c r="A648" s="93" t="inlineStr">
        <is>
          <t>Person A</t>
        </is>
      </c>
      <c r="B648" s="93">
        <f>'Madine- Conversion'!A14</f>
        <v/>
      </c>
      <c r="C648" s="8">
        <f>'Madine- Conversion'!B14</f>
        <v/>
      </c>
      <c r="D648" s="8">
        <f>'Madine- Conversion'!C14</f>
        <v/>
      </c>
      <c r="E648" s="8">
        <f>'Madine- Conversion'!D14</f>
        <v/>
      </c>
      <c r="F648" s="8">
        <f>'Madine- Conversion'!E14</f>
        <v/>
      </c>
      <c r="G648" s="9">
        <f>'Madine- Conversion'!F14</f>
        <v/>
      </c>
      <c r="H648" s="8">
        <f>'Madine- Conversion'!G14</f>
        <v/>
      </c>
      <c r="I648" s="10">
        <f>'Madine- Conversion'!H14</f>
        <v/>
      </c>
      <c r="J648" s="10">
        <f>'Madine- Conversion'!I14</f>
        <v/>
      </c>
      <c r="K648" s="11">
        <f>'Madine- Conversion'!J14</f>
        <v/>
      </c>
      <c r="L648" s="12">
        <f>'Madine- Conversion'!K14</f>
        <v/>
      </c>
      <c r="M648" s="11">
        <f>'Madine- Conversion'!N14</f>
        <v/>
      </c>
      <c r="N648" s="8">
        <f>'Madine- Conversion'!O14</f>
        <v/>
      </c>
      <c r="O648" s="8">
        <f>'Madine- Conversion'!P14</f>
        <v/>
      </c>
    </row>
    <row r="649" ht="18" customHeight="1" s="96">
      <c r="A649" s="2" t="inlineStr">
        <is>
          <t>Person A</t>
        </is>
      </c>
      <c r="B649" s="2">
        <f>'Madine- Conversion'!A15</f>
        <v/>
      </c>
      <c r="C649" s="3">
        <f>'Madine- Conversion'!B15</f>
        <v/>
      </c>
      <c r="D649" s="3">
        <f>'Madine- Conversion'!C15</f>
        <v/>
      </c>
      <c r="E649" s="3">
        <f>'Madine- Conversion'!D15</f>
        <v/>
      </c>
      <c r="F649" s="3">
        <f>'Madine- Conversion'!E15</f>
        <v/>
      </c>
      <c r="G649" s="4">
        <f>'Madine- Conversion'!F15</f>
        <v/>
      </c>
      <c r="H649" s="3">
        <f>'Madine- Conversion'!G15</f>
        <v/>
      </c>
      <c r="I649" s="5">
        <f>'Madine- Conversion'!H15</f>
        <v/>
      </c>
      <c r="J649" s="5">
        <f>'Madine- Conversion'!I15</f>
        <v/>
      </c>
      <c r="K649" s="6">
        <f>'Madine- Conversion'!J15</f>
        <v/>
      </c>
      <c r="L649" s="13">
        <f>'Madine- Conversion'!K15</f>
        <v/>
      </c>
      <c r="M649" s="6">
        <f>'Madine- Conversion'!N15</f>
        <v/>
      </c>
      <c r="N649" s="3">
        <f>'Madine- Conversion'!O15</f>
        <v/>
      </c>
      <c r="O649" s="3">
        <f>'Madine- Conversion'!P15</f>
        <v/>
      </c>
    </row>
    <row r="650" ht="18" customHeight="1" s="96">
      <c r="A650" s="93" t="inlineStr">
        <is>
          <t>Person A</t>
        </is>
      </c>
      <c r="B650" s="93">
        <f>'Madine- Conversion'!A16</f>
        <v/>
      </c>
      <c r="C650" s="8">
        <f>'Madine- Conversion'!B16</f>
        <v/>
      </c>
      <c r="D650" s="8">
        <f>'Madine- Conversion'!C16</f>
        <v/>
      </c>
      <c r="E650" s="8">
        <f>'Madine- Conversion'!D16</f>
        <v/>
      </c>
      <c r="F650" s="8">
        <f>'Madine- Conversion'!E16</f>
        <v/>
      </c>
      <c r="G650" s="9">
        <f>'Madine- Conversion'!F16</f>
        <v/>
      </c>
      <c r="H650" s="8">
        <f>'Madine- Conversion'!G16</f>
        <v/>
      </c>
      <c r="I650" s="10">
        <f>'Madine- Conversion'!H16</f>
        <v/>
      </c>
      <c r="J650" s="10">
        <f>'Madine- Conversion'!I16</f>
        <v/>
      </c>
      <c r="K650" s="11">
        <f>'Madine- Conversion'!J16</f>
        <v/>
      </c>
      <c r="L650" s="12">
        <f>'Madine- Conversion'!K16</f>
        <v/>
      </c>
      <c r="M650" s="11">
        <f>'Madine- Conversion'!N16</f>
        <v/>
      </c>
      <c r="N650" s="8">
        <f>'Madine- Conversion'!O16</f>
        <v/>
      </c>
      <c r="O650" s="8">
        <f>'Madine- Conversion'!P16</f>
        <v/>
      </c>
    </row>
    <row r="651" ht="18" customHeight="1" s="96">
      <c r="A651" s="2" t="inlineStr">
        <is>
          <t>Person A</t>
        </is>
      </c>
      <c r="B651" s="2">
        <f>'Madine- Conversion'!A17</f>
        <v/>
      </c>
      <c r="C651" s="3">
        <f>'Madine- Conversion'!B17</f>
        <v/>
      </c>
      <c r="D651" s="3">
        <f>'Madine- Conversion'!C17</f>
        <v/>
      </c>
      <c r="E651" s="3">
        <f>'Madine- Conversion'!D17</f>
        <v/>
      </c>
      <c r="F651" s="3">
        <f>'Madine- Conversion'!E17</f>
        <v/>
      </c>
      <c r="G651" s="4">
        <f>'Madine- Conversion'!F17</f>
        <v/>
      </c>
      <c r="H651" s="3">
        <f>'Madine- Conversion'!G17</f>
        <v/>
      </c>
      <c r="I651" s="5">
        <f>'Madine- Conversion'!H17</f>
        <v/>
      </c>
      <c r="J651" s="5">
        <f>'Madine- Conversion'!I17</f>
        <v/>
      </c>
      <c r="K651" s="6">
        <f>'Madine- Conversion'!J17</f>
        <v/>
      </c>
      <c r="L651" s="13">
        <f>'Madine- Conversion'!K17</f>
        <v/>
      </c>
      <c r="M651" s="6">
        <f>'Madine- Conversion'!N17</f>
        <v/>
      </c>
      <c r="N651" s="3">
        <f>'Madine- Conversion'!O17</f>
        <v/>
      </c>
      <c r="O651" s="3">
        <f>'Madine- Conversion'!P17</f>
        <v/>
      </c>
    </row>
    <row r="652" ht="18" customHeight="1" s="96">
      <c r="A652" s="93" t="inlineStr">
        <is>
          <t>Person A</t>
        </is>
      </c>
      <c r="B652" s="93">
        <f>'Madine- Conversion'!A18</f>
        <v/>
      </c>
      <c r="C652" s="8">
        <f>'Madine- Conversion'!B18</f>
        <v/>
      </c>
      <c r="D652" s="8">
        <f>'Madine- Conversion'!C18</f>
        <v/>
      </c>
      <c r="E652" s="8">
        <f>'Madine- Conversion'!D18</f>
        <v/>
      </c>
      <c r="F652" s="8">
        <f>'Madine- Conversion'!E18</f>
        <v/>
      </c>
      <c r="G652" s="9">
        <f>'Madine- Conversion'!F18</f>
        <v/>
      </c>
      <c r="H652" s="8">
        <f>'Madine- Conversion'!G18</f>
        <v/>
      </c>
      <c r="I652" s="10">
        <f>'Madine- Conversion'!H18</f>
        <v/>
      </c>
      <c r="J652" s="10">
        <f>'Madine- Conversion'!I18</f>
        <v/>
      </c>
      <c r="K652" s="11">
        <f>'Madine- Conversion'!J18</f>
        <v/>
      </c>
      <c r="L652" s="12">
        <f>'Madine- Conversion'!K18</f>
        <v/>
      </c>
      <c r="M652" s="11">
        <f>'Madine- Conversion'!N18</f>
        <v/>
      </c>
      <c r="N652" s="8">
        <f>'Madine- Conversion'!O18</f>
        <v/>
      </c>
      <c r="O652" s="8">
        <f>'Madine- Conversion'!P18</f>
        <v/>
      </c>
    </row>
    <row r="653" ht="18" customHeight="1" s="96">
      <c r="A653" s="2" t="inlineStr">
        <is>
          <t>Person A</t>
        </is>
      </c>
      <c r="B653" s="2">
        <f>'Madine- Conversion'!A19</f>
        <v/>
      </c>
      <c r="C653" s="3">
        <f>'Madine- Conversion'!B19</f>
        <v/>
      </c>
      <c r="D653" s="3">
        <f>'Madine- Conversion'!C19</f>
        <v/>
      </c>
      <c r="E653" s="3">
        <f>'Madine- Conversion'!D19</f>
        <v/>
      </c>
      <c r="F653" s="3">
        <f>'Madine- Conversion'!E19</f>
        <v/>
      </c>
      <c r="G653" s="4">
        <f>'Madine- Conversion'!F19</f>
        <v/>
      </c>
      <c r="H653" s="3">
        <f>'Madine- Conversion'!G19</f>
        <v/>
      </c>
      <c r="I653" s="5">
        <f>'Madine- Conversion'!H19</f>
        <v/>
      </c>
      <c r="J653" s="5">
        <f>'Madine- Conversion'!I19</f>
        <v/>
      </c>
      <c r="K653" s="6">
        <f>'Madine- Conversion'!J19</f>
        <v/>
      </c>
      <c r="L653" s="13">
        <f>'Madine- Conversion'!K19</f>
        <v/>
      </c>
      <c r="M653" s="6">
        <f>'Madine- Conversion'!N19</f>
        <v/>
      </c>
      <c r="N653" s="3">
        <f>'Madine- Conversion'!O19</f>
        <v/>
      </c>
      <c r="O653" s="3">
        <f>'Madine- Conversion'!P19</f>
        <v/>
      </c>
    </row>
    <row r="654" ht="18" customHeight="1" s="96">
      <c r="A654" s="93" t="inlineStr">
        <is>
          <t>Person A</t>
        </is>
      </c>
      <c r="B654" s="93">
        <f>'Madine- Conversion'!A20</f>
        <v/>
      </c>
      <c r="C654" s="8">
        <f>'Madine- Conversion'!B20</f>
        <v/>
      </c>
      <c r="D654" s="8">
        <f>'Madine- Conversion'!C20</f>
        <v/>
      </c>
      <c r="E654" s="8">
        <f>'Madine- Conversion'!D20</f>
        <v/>
      </c>
      <c r="F654" s="8">
        <f>'Madine- Conversion'!E20</f>
        <v/>
      </c>
      <c r="G654" s="9">
        <f>'Madine- Conversion'!F20</f>
        <v/>
      </c>
      <c r="H654" s="8">
        <f>'Madine- Conversion'!G20</f>
        <v/>
      </c>
      <c r="I654" s="10">
        <f>'Madine- Conversion'!H20</f>
        <v/>
      </c>
      <c r="J654" s="10">
        <f>'Madine- Conversion'!I20</f>
        <v/>
      </c>
      <c r="K654" s="11">
        <f>'Madine- Conversion'!J20</f>
        <v/>
      </c>
      <c r="L654" s="12">
        <f>'Madine- Conversion'!K20</f>
        <v/>
      </c>
      <c r="M654" s="11">
        <f>'Madine- Conversion'!N20</f>
        <v/>
      </c>
      <c r="N654" s="8">
        <f>'Madine- Conversion'!O20</f>
        <v/>
      </c>
      <c r="O654" s="8">
        <f>'Madine- Conversion'!P20</f>
        <v/>
      </c>
    </row>
    <row r="655" ht="18" customHeight="1" s="96">
      <c r="A655" s="2" t="inlineStr">
        <is>
          <t>Person A</t>
        </is>
      </c>
      <c r="B655" s="2">
        <f>'Madine- Conversion'!A21</f>
        <v/>
      </c>
      <c r="C655" s="3">
        <f>'Madine- Conversion'!B21</f>
        <v/>
      </c>
      <c r="D655" s="3">
        <f>'Madine- Conversion'!C21</f>
        <v/>
      </c>
      <c r="E655" s="3">
        <f>'Madine- Conversion'!D21</f>
        <v/>
      </c>
      <c r="F655" s="3">
        <f>'Madine- Conversion'!E21</f>
        <v/>
      </c>
      <c r="G655" s="4">
        <f>'Madine- Conversion'!F21</f>
        <v/>
      </c>
      <c r="H655" s="3">
        <f>'Madine- Conversion'!G21</f>
        <v/>
      </c>
      <c r="I655" s="5">
        <f>'Madine- Conversion'!H21</f>
        <v/>
      </c>
      <c r="J655" s="5">
        <f>'Madine- Conversion'!I21</f>
        <v/>
      </c>
      <c r="K655" s="6">
        <f>'Madine- Conversion'!J21</f>
        <v/>
      </c>
      <c r="L655" s="13">
        <f>'Madine- Conversion'!K21</f>
        <v/>
      </c>
      <c r="M655" s="6">
        <f>'Madine- Conversion'!N21</f>
        <v/>
      </c>
      <c r="N655" s="3">
        <f>'Madine- Conversion'!O21</f>
        <v/>
      </c>
      <c r="O655" s="3">
        <f>'Madine- Conversion'!P21</f>
        <v/>
      </c>
    </row>
    <row r="656" ht="18" customHeight="1" s="96">
      <c r="A656" s="93" t="inlineStr">
        <is>
          <t>Person A</t>
        </is>
      </c>
      <c r="B656" s="93">
        <f>'Madine- Conversion'!A22</f>
        <v/>
      </c>
      <c r="C656" s="8">
        <f>'Madine- Conversion'!B22</f>
        <v/>
      </c>
      <c r="D656" s="8">
        <f>'Madine- Conversion'!C22</f>
        <v/>
      </c>
      <c r="E656" s="8">
        <f>'Madine- Conversion'!D22</f>
        <v/>
      </c>
      <c r="F656" s="8">
        <f>'Madine- Conversion'!E22</f>
        <v/>
      </c>
      <c r="G656" s="9">
        <f>'Madine- Conversion'!F22</f>
        <v/>
      </c>
      <c r="H656" s="8">
        <f>'Madine- Conversion'!G22</f>
        <v/>
      </c>
      <c r="I656" s="10">
        <f>'Madine- Conversion'!H22</f>
        <v/>
      </c>
      <c r="J656" s="10">
        <f>'Madine- Conversion'!I22</f>
        <v/>
      </c>
      <c r="K656" s="11">
        <f>'Madine- Conversion'!J22</f>
        <v/>
      </c>
      <c r="L656" s="12">
        <f>'Madine- Conversion'!K22</f>
        <v/>
      </c>
      <c r="M656" s="11">
        <f>'Madine- Conversion'!N22</f>
        <v/>
      </c>
      <c r="N656" s="8">
        <f>'Madine- Conversion'!O22</f>
        <v/>
      </c>
      <c r="O656" s="8">
        <f>'Madine- Conversion'!P22</f>
        <v/>
      </c>
    </row>
    <row r="657" ht="18" customHeight="1" s="96">
      <c r="A657" s="2" t="inlineStr">
        <is>
          <t>Person A</t>
        </is>
      </c>
      <c r="B657" s="2">
        <f>'Madine- Conversion'!A23</f>
        <v/>
      </c>
      <c r="C657" s="3">
        <f>'Madine- Conversion'!B23</f>
        <v/>
      </c>
      <c r="D657" s="3">
        <f>'Madine- Conversion'!C23</f>
        <v/>
      </c>
      <c r="E657" s="3">
        <f>'Madine- Conversion'!D23</f>
        <v/>
      </c>
      <c r="F657" s="3">
        <f>'Madine- Conversion'!E23</f>
        <v/>
      </c>
      <c r="G657" s="4">
        <f>'Madine- Conversion'!F23</f>
        <v/>
      </c>
      <c r="H657" s="3">
        <f>'Madine- Conversion'!G23</f>
        <v/>
      </c>
      <c r="I657" s="5">
        <f>'Madine- Conversion'!H23</f>
        <v/>
      </c>
      <c r="J657" s="5">
        <f>'Madine- Conversion'!I23</f>
        <v/>
      </c>
      <c r="K657" s="6">
        <f>'Madine- Conversion'!J23</f>
        <v/>
      </c>
      <c r="L657" s="13">
        <f>'Madine- Conversion'!K23</f>
        <v/>
      </c>
      <c r="M657" s="6">
        <f>'Madine- Conversion'!N23</f>
        <v/>
      </c>
      <c r="N657" s="3">
        <f>'Madine- Conversion'!O23</f>
        <v/>
      </c>
      <c r="O657" s="3">
        <f>'Madine- Conversion'!P23</f>
        <v/>
      </c>
    </row>
    <row r="658" ht="18" customHeight="1" s="96">
      <c r="A658" s="93" t="inlineStr">
        <is>
          <t>Person A</t>
        </is>
      </c>
      <c r="B658" s="93">
        <f>'Madine- Conversion'!A24</f>
        <v/>
      </c>
      <c r="C658" s="8">
        <f>'Madine- Conversion'!B24</f>
        <v/>
      </c>
      <c r="D658" s="8">
        <f>'Madine- Conversion'!C24</f>
        <v/>
      </c>
      <c r="E658" s="8">
        <f>'Madine- Conversion'!D24</f>
        <v/>
      </c>
      <c r="F658" s="8">
        <f>'Madine- Conversion'!E24</f>
        <v/>
      </c>
      <c r="G658" s="9">
        <f>'Madine- Conversion'!F24</f>
        <v/>
      </c>
      <c r="H658" s="8">
        <f>'Madine- Conversion'!G24</f>
        <v/>
      </c>
      <c r="I658" s="10">
        <f>'Madine- Conversion'!H24</f>
        <v/>
      </c>
      <c r="J658" s="10">
        <f>'Madine- Conversion'!I24</f>
        <v/>
      </c>
      <c r="K658" s="11">
        <f>'Madine- Conversion'!J24</f>
        <v/>
      </c>
      <c r="L658" s="12">
        <f>'Madine- Conversion'!K24</f>
        <v/>
      </c>
      <c r="M658" s="11">
        <f>'Madine- Conversion'!N24</f>
        <v/>
      </c>
      <c r="N658" s="8">
        <f>'Madine- Conversion'!O24</f>
        <v/>
      </c>
      <c r="O658" s="8">
        <f>'Madine- Conversion'!P24</f>
        <v/>
      </c>
    </row>
    <row r="659" ht="18" customHeight="1" s="96">
      <c r="A659" s="2" t="inlineStr">
        <is>
          <t>Person A</t>
        </is>
      </c>
      <c r="B659" s="2">
        <f>'Madine- Conversion'!A25</f>
        <v/>
      </c>
      <c r="C659" s="3">
        <f>'Madine- Conversion'!B25</f>
        <v/>
      </c>
      <c r="D659" s="3">
        <f>'Madine- Conversion'!C25</f>
        <v/>
      </c>
      <c r="E659" s="3">
        <f>'Madine- Conversion'!D25</f>
        <v/>
      </c>
      <c r="F659" s="3">
        <f>'Madine- Conversion'!E25</f>
        <v/>
      </c>
      <c r="G659" s="4">
        <f>'Madine- Conversion'!F25</f>
        <v/>
      </c>
      <c r="H659" s="3">
        <f>'Madine- Conversion'!G25</f>
        <v/>
      </c>
      <c r="I659" s="5">
        <f>'Madine- Conversion'!H25</f>
        <v/>
      </c>
      <c r="J659" s="5">
        <f>'Madine- Conversion'!I25</f>
        <v/>
      </c>
      <c r="K659" s="6">
        <f>'Madine- Conversion'!J25</f>
        <v/>
      </c>
      <c r="L659" s="13">
        <f>'Madine- Conversion'!K25</f>
        <v/>
      </c>
      <c r="M659" s="6">
        <f>'Madine- Conversion'!N25</f>
        <v/>
      </c>
      <c r="N659" s="3">
        <f>'Madine- Conversion'!O25</f>
        <v/>
      </c>
      <c r="O659" s="3">
        <f>'Madine- Conversion'!P25</f>
        <v/>
      </c>
    </row>
    <row r="660" ht="18" customHeight="1" s="96">
      <c r="A660" s="93" t="inlineStr">
        <is>
          <t>Person A</t>
        </is>
      </c>
      <c r="B660" s="93">
        <f>'Madine- Conversion'!A26</f>
        <v/>
      </c>
      <c r="C660" s="8">
        <f>'Madine- Conversion'!B26</f>
        <v/>
      </c>
      <c r="D660" s="8">
        <f>'Madine- Conversion'!C26</f>
        <v/>
      </c>
      <c r="E660" s="8">
        <f>'Madine- Conversion'!D26</f>
        <v/>
      </c>
      <c r="F660" s="8">
        <f>'Madine- Conversion'!E26</f>
        <v/>
      </c>
      <c r="G660" s="9">
        <f>'Madine- Conversion'!F26</f>
        <v/>
      </c>
      <c r="H660" s="8">
        <f>'Madine- Conversion'!G26</f>
        <v/>
      </c>
      <c r="I660" s="10">
        <f>'Madine- Conversion'!H26</f>
        <v/>
      </c>
      <c r="J660" s="10">
        <f>'Madine- Conversion'!I26</f>
        <v/>
      </c>
      <c r="K660" s="11">
        <f>'Madine- Conversion'!J26</f>
        <v/>
      </c>
      <c r="L660" s="12">
        <f>'Madine- Conversion'!K26</f>
        <v/>
      </c>
      <c r="M660" s="11">
        <f>'Madine- Conversion'!N26</f>
        <v/>
      </c>
      <c r="N660" s="8">
        <f>'Madine- Conversion'!O26</f>
        <v/>
      </c>
      <c r="O660" s="8">
        <f>'Madine- Conversion'!P26</f>
        <v/>
      </c>
    </row>
    <row r="661" ht="18" customHeight="1" s="96">
      <c r="A661" s="2" t="inlineStr">
        <is>
          <t>Person A</t>
        </is>
      </c>
      <c r="B661" s="2">
        <f>'Madine- Conversion'!A27</f>
        <v/>
      </c>
      <c r="C661" s="3">
        <f>'Madine- Conversion'!B27</f>
        <v/>
      </c>
      <c r="D661" s="3">
        <f>'Madine- Conversion'!C27</f>
        <v/>
      </c>
      <c r="E661" s="3">
        <f>'Madine- Conversion'!D27</f>
        <v/>
      </c>
      <c r="F661" s="3">
        <f>'Madine- Conversion'!E27</f>
        <v/>
      </c>
      <c r="G661" s="4">
        <f>'Madine- Conversion'!F27</f>
        <v/>
      </c>
      <c r="H661" s="3">
        <f>'Madine- Conversion'!G27</f>
        <v/>
      </c>
      <c r="I661" s="5">
        <f>'Madine- Conversion'!H27</f>
        <v/>
      </c>
      <c r="J661" s="5">
        <f>'Madine- Conversion'!I27</f>
        <v/>
      </c>
      <c r="K661" s="6">
        <f>'Madine- Conversion'!J27</f>
        <v/>
      </c>
      <c r="L661" s="13">
        <f>'Madine- Conversion'!K27</f>
        <v/>
      </c>
      <c r="M661" s="6">
        <f>'Madine- Conversion'!N27</f>
        <v/>
      </c>
      <c r="N661" s="3">
        <f>'Madine- Conversion'!O27</f>
        <v/>
      </c>
      <c r="O661" s="3">
        <f>'Madine- Conversion'!P27</f>
        <v/>
      </c>
    </row>
    <row r="662" ht="18" customHeight="1" s="96">
      <c r="A662" s="93" t="inlineStr">
        <is>
          <t>Person A</t>
        </is>
      </c>
      <c r="B662" s="93">
        <f>'Madine- Conversion'!A28</f>
        <v/>
      </c>
      <c r="C662" s="8">
        <f>'Madine- Conversion'!B28</f>
        <v/>
      </c>
      <c r="D662" s="8">
        <f>'Madine- Conversion'!C28</f>
        <v/>
      </c>
      <c r="E662" s="8">
        <f>'Madine- Conversion'!D28</f>
        <v/>
      </c>
      <c r="F662" s="8">
        <f>'Madine- Conversion'!E28</f>
        <v/>
      </c>
      <c r="G662" s="9">
        <f>'Madine- Conversion'!F28</f>
        <v/>
      </c>
      <c r="H662" s="8">
        <f>'Madine- Conversion'!G28</f>
        <v/>
      </c>
      <c r="I662" s="10">
        <f>'Madine- Conversion'!H28</f>
        <v/>
      </c>
      <c r="J662" s="10">
        <f>'Madine- Conversion'!I28</f>
        <v/>
      </c>
      <c r="K662" s="11">
        <f>'Madine- Conversion'!J28</f>
        <v/>
      </c>
      <c r="L662" s="12">
        <f>'Madine- Conversion'!K28</f>
        <v/>
      </c>
      <c r="M662" s="11">
        <f>'Madine- Conversion'!N28</f>
        <v/>
      </c>
      <c r="N662" s="8">
        <f>'Madine- Conversion'!O28</f>
        <v/>
      </c>
      <c r="O662" s="8">
        <f>'Madine- Conversion'!P28</f>
        <v/>
      </c>
    </row>
    <row r="663" ht="18" customHeight="1" s="96">
      <c r="A663" s="2" t="inlineStr">
        <is>
          <t>Person A</t>
        </is>
      </c>
      <c r="B663" s="2">
        <f>'Madine- Conversion'!A29</f>
        <v/>
      </c>
      <c r="C663" s="3">
        <f>'Madine- Conversion'!B29</f>
        <v/>
      </c>
      <c r="D663" s="3">
        <f>'Madine- Conversion'!C29</f>
        <v/>
      </c>
      <c r="E663" s="3">
        <f>'Madine- Conversion'!D29</f>
        <v/>
      </c>
      <c r="F663" s="3">
        <f>'Madine- Conversion'!E29</f>
        <v/>
      </c>
      <c r="G663" s="4">
        <f>'Madine- Conversion'!F29</f>
        <v/>
      </c>
      <c r="H663" s="3">
        <f>'Madine- Conversion'!G29</f>
        <v/>
      </c>
      <c r="I663" s="5">
        <f>'Madine- Conversion'!H29</f>
        <v/>
      </c>
      <c r="J663" s="5">
        <f>'Madine- Conversion'!I29</f>
        <v/>
      </c>
      <c r="K663" s="6">
        <f>'Madine- Conversion'!J29</f>
        <v/>
      </c>
      <c r="L663" s="13">
        <f>'Madine- Conversion'!K29</f>
        <v/>
      </c>
      <c r="M663" s="6">
        <f>'Madine- Conversion'!N29</f>
        <v/>
      </c>
      <c r="N663" s="3">
        <f>'Madine- Conversion'!O29</f>
        <v/>
      </c>
      <c r="O663" s="3">
        <f>'Madine- Conversion'!P29</f>
        <v/>
      </c>
    </row>
    <row r="664" ht="18" customHeight="1" s="96">
      <c r="A664" s="93" t="inlineStr">
        <is>
          <t>Person A</t>
        </is>
      </c>
      <c r="B664" s="93">
        <f>'Madine- Conversion'!A30</f>
        <v/>
      </c>
      <c r="C664" s="8">
        <f>'Madine- Conversion'!B30</f>
        <v/>
      </c>
      <c r="D664" s="8">
        <f>'Madine- Conversion'!C30</f>
        <v/>
      </c>
      <c r="E664" s="8">
        <f>'Madine- Conversion'!D30</f>
        <v/>
      </c>
      <c r="F664" s="8">
        <f>'Madine- Conversion'!E30</f>
        <v/>
      </c>
      <c r="G664" s="9">
        <f>'Madine- Conversion'!F30</f>
        <v/>
      </c>
      <c r="H664" s="8">
        <f>'Madine- Conversion'!G30</f>
        <v/>
      </c>
      <c r="I664" s="10">
        <f>'Madine- Conversion'!H30</f>
        <v/>
      </c>
      <c r="J664" s="10">
        <f>'Madine- Conversion'!I30</f>
        <v/>
      </c>
      <c r="K664" s="11">
        <f>'Madine- Conversion'!J30</f>
        <v/>
      </c>
      <c r="L664" s="12">
        <f>'Madine- Conversion'!K30</f>
        <v/>
      </c>
      <c r="M664" s="11">
        <f>'Madine- Conversion'!N30</f>
        <v/>
      </c>
      <c r="N664" s="8">
        <f>'Madine- Conversion'!O30</f>
        <v/>
      </c>
      <c r="O664" s="8">
        <f>'Madine- Conversion'!P30</f>
        <v/>
      </c>
    </row>
    <row r="665" ht="18" customHeight="1" s="96">
      <c r="A665" s="2" t="inlineStr">
        <is>
          <t>Person A</t>
        </is>
      </c>
      <c r="B665" s="2">
        <f>'Madine- Conversion'!A31</f>
        <v/>
      </c>
      <c r="C665" s="3">
        <f>'Madine- Conversion'!B31</f>
        <v/>
      </c>
      <c r="D665" s="3">
        <f>'Madine- Conversion'!C31</f>
        <v/>
      </c>
      <c r="E665" s="3">
        <f>'Madine- Conversion'!D31</f>
        <v/>
      </c>
      <c r="F665" s="3">
        <f>'Madine- Conversion'!E31</f>
        <v/>
      </c>
      <c r="G665" s="4">
        <f>'Madine- Conversion'!F31</f>
        <v/>
      </c>
      <c r="H665" s="3">
        <f>'Madine- Conversion'!G31</f>
        <v/>
      </c>
      <c r="I665" s="5">
        <f>'Madine- Conversion'!H31</f>
        <v/>
      </c>
      <c r="J665" s="5">
        <f>'Madine- Conversion'!I31</f>
        <v/>
      </c>
      <c r="K665" s="6">
        <f>'Madine- Conversion'!J31</f>
        <v/>
      </c>
      <c r="L665" s="13">
        <f>'Madine- Conversion'!K31</f>
        <v/>
      </c>
      <c r="M665" s="6">
        <f>'Madine- Conversion'!N31</f>
        <v/>
      </c>
      <c r="N665" s="3">
        <f>'Madine- Conversion'!O31</f>
        <v/>
      </c>
      <c r="O665" s="3">
        <f>'Madine- Conversion'!P31</f>
        <v/>
      </c>
    </row>
    <row r="666" ht="18" customHeight="1" s="96">
      <c r="A666" s="93" t="inlineStr">
        <is>
          <t>Person A</t>
        </is>
      </c>
      <c r="B666" s="93">
        <f>'Madine- Conversion'!A32</f>
        <v/>
      </c>
      <c r="C666" s="8">
        <f>'Madine- Conversion'!B32</f>
        <v/>
      </c>
      <c r="D666" s="8">
        <f>'Madine- Conversion'!C32</f>
        <v/>
      </c>
      <c r="E666" s="8">
        <f>'Madine- Conversion'!D32</f>
        <v/>
      </c>
      <c r="F666" s="8">
        <f>'Madine- Conversion'!E32</f>
        <v/>
      </c>
      <c r="G666" s="9">
        <f>'Madine- Conversion'!F32</f>
        <v/>
      </c>
      <c r="H666" s="8">
        <f>'Madine- Conversion'!G32</f>
        <v/>
      </c>
      <c r="I666" s="10">
        <f>'Madine- Conversion'!H32</f>
        <v/>
      </c>
      <c r="J666" s="10">
        <f>'Madine- Conversion'!I32</f>
        <v/>
      </c>
      <c r="K666" s="11">
        <f>'Madine- Conversion'!J32</f>
        <v/>
      </c>
      <c r="L666" s="12">
        <f>'Madine- Conversion'!K32</f>
        <v/>
      </c>
      <c r="M666" s="11">
        <f>'Madine- Conversion'!N32</f>
        <v/>
      </c>
      <c r="N666" s="8">
        <f>'Madine- Conversion'!O32</f>
        <v/>
      </c>
      <c r="O666" s="8">
        <f>'Madine- Conversion'!P32</f>
        <v/>
      </c>
    </row>
    <row r="667" ht="18" customHeight="1" s="96">
      <c r="A667" s="2" t="inlineStr">
        <is>
          <t>Person A</t>
        </is>
      </c>
      <c r="B667" s="2">
        <f>'Madine- Conversion'!A33</f>
        <v/>
      </c>
      <c r="C667" s="3">
        <f>'Madine- Conversion'!B33</f>
        <v/>
      </c>
      <c r="D667" s="3">
        <f>'Madine- Conversion'!C33</f>
        <v/>
      </c>
      <c r="E667" s="3">
        <f>'Madine- Conversion'!D33</f>
        <v/>
      </c>
      <c r="F667" s="3">
        <f>'Madine- Conversion'!E33</f>
        <v/>
      </c>
      <c r="G667" s="4">
        <f>'Madine- Conversion'!F33</f>
        <v/>
      </c>
      <c r="H667" s="3">
        <f>'Madine- Conversion'!G33</f>
        <v/>
      </c>
      <c r="I667" s="5">
        <f>'Madine- Conversion'!H33</f>
        <v/>
      </c>
      <c r="J667" s="5">
        <f>'Madine- Conversion'!I33</f>
        <v/>
      </c>
      <c r="K667" s="6">
        <f>'Madine- Conversion'!J33</f>
        <v/>
      </c>
      <c r="L667" s="13">
        <f>'Madine- Conversion'!K33</f>
        <v/>
      </c>
      <c r="M667" s="6">
        <f>'Madine- Conversion'!N33</f>
        <v/>
      </c>
      <c r="N667" s="3">
        <f>'Madine- Conversion'!O33</f>
        <v/>
      </c>
      <c r="O667" s="3">
        <f>'Madine- Conversion'!P33</f>
        <v/>
      </c>
    </row>
    <row r="668" ht="18" customHeight="1" s="96">
      <c r="A668" s="93" t="inlineStr">
        <is>
          <t>Person A</t>
        </is>
      </c>
      <c r="B668" s="93">
        <f>'Madine- Conversion'!A34</f>
        <v/>
      </c>
      <c r="C668" s="8">
        <f>'Madine- Conversion'!B34</f>
        <v/>
      </c>
      <c r="D668" s="8">
        <f>'Madine- Conversion'!C34</f>
        <v/>
      </c>
      <c r="E668" s="8">
        <f>'Madine- Conversion'!D34</f>
        <v/>
      </c>
      <c r="F668" s="8">
        <f>'Madine- Conversion'!E34</f>
        <v/>
      </c>
      <c r="G668" s="9">
        <f>'Madine- Conversion'!F34</f>
        <v/>
      </c>
      <c r="H668" s="8">
        <f>'Madine- Conversion'!G34</f>
        <v/>
      </c>
      <c r="I668" s="10">
        <f>'Madine- Conversion'!H34</f>
        <v/>
      </c>
      <c r="J668" s="10">
        <f>'Madine- Conversion'!I34</f>
        <v/>
      </c>
      <c r="K668" s="11">
        <f>'Madine- Conversion'!J34</f>
        <v/>
      </c>
      <c r="L668" s="12">
        <f>'Madine- Conversion'!K34</f>
        <v/>
      </c>
      <c r="M668" s="11">
        <f>'Madine- Conversion'!N34</f>
        <v/>
      </c>
      <c r="N668" s="8">
        <f>'Madine- Conversion'!O34</f>
        <v/>
      </c>
      <c r="O668" s="8">
        <f>'Madine- Conversion'!P34</f>
        <v/>
      </c>
    </row>
    <row r="669" ht="18" customHeight="1" s="96">
      <c r="A669" s="2" t="inlineStr">
        <is>
          <t>Person A</t>
        </is>
      </c>
      <c r="B669" s="2">
        <f>'Madine- Conversion'!A35</f>
        <v/>
      </c>
      <c r="C669" s="3">
        <f>'Madine- Conversion'!B35</f>
        <v/>
      </c>
      <c r="D669" s="3">
        <f>'Madine- Conversion'!C35</f>
        <v/>
      </c>
      <c r="E669" s="3">
        <f>'Madine- Conversion'!D35</f>
        <v/>
      </c>
      <c r="F669" s="3">
        <f>'Madine- Conversion'!E35</f>
        <v/>
      </c>
      <c r="G669" s="4">
        <f>'Madine- Conversion'!F35</f>
        <v/>
      </c>
      <c r="H669" s="3">
        <f>'Madine- Conversion'!G35</f>
        <v/>
      </c>
      <c r="I669" s="5">
        <f>'Madine- Conversion'!H35</f>
        <v/>
      </c>
      <c r="J669" s="5">
        <f>'Madine- Conversion'!I35</f>
        <v/>
      </c>
      <c r="K669" s="6">
        <f>'Madine- Conversion'!J35</f>
        <v/>
      </c>
      <c r="L669" s="13">
        <f>'Madine- Conversion'!K35</f>
        <v/>
      </c>
      <c r="M669" s="6">
        <f>'Madine- Conversion'!N35</f>
        <v/>
      </c>
      <c r="N669" s="3">
        <f>'Madine- Conversion'!O35</f>
        <v/>
      </c>
      <c r="O669" s="3">
        <f>'Madine- Conversion'!P35</f>
        <v/>
      </c>
    </row>
    <row r="670" ht="18" customHeight="1" s="96">
      <c r="A670" s="93" t="inlineStr">
        <is>
          <t>Person A</t>
        </is>
      </c>
      <c r="B670" s="93">
        <f>'Madine- Conversion'!A36</f>
        <v/>
      </c>
      <c r="C670" s="8">
        <f>'Madine- Conversion'!B36</f>
        <v/>
      </c>
      <c r="D670" s="8">
        <f>'Madine- Conversion'!C36</f>
        <v/>
      </c>
      <c r="E670" s="8">
        <f>'Madine- Conversion'!D36</f>
        <v/>
      </c>
      <c r="F670" s="8">
        <f>'Madine- Conversion'!E36</f>
        <v/>
      </c>
      <c r="G670" s="9">
        <f>'Madine- Conversion'!F36</f>
        <v/>
      </c>
      <c r="H670" s="8">
        <f>'Madine- Conversion'!G36</f>
        <v/>
      </c>
      <c r="I670" s="10">
        <f>'Madine- Conversion'!H36</f>
        <v/>
      </c>
      <c r="J670" s="10">
        <f>'Madine- Conversion'!I36</f>
        <v/>
      </c>
      <c r="K670" s="11">
        <f>'Madine- Conversion'!J36</f>
        <v/>
      </c>
      <c r="L670" s="12">
        <f>'Madine- Conversion'!K36</f>
        <v/>
      </c>
      <c r="M670" s="11">
        <f>'Madine- Conversion'!N36</f>
        <v/>
      </c>
      <c r="N670" s="8">
        <f>'Madine- Conversion'!O36</f>
        <v/>
      </c>
      <c r="O670" s="8">
        <f>'Madine- Conversion'!P36</f>
        <v/>
      </c>
    </row>
    <row r="671" ht="18" customHeight="1" s="96">
      <c r="A671" s="2" t="inlineStr">
        <is>
          <t>Person A</t>
        </is>
      </c>
      <c r="B671" s="2">
        <f>'Madine- Conversion'!A37</f>
        <v/>
      </c>
      <c r="C671" s="3">
        <f>'Madine- Conversion'!B37</f>
        <v/>
      </c>
      <c r="D671" s="3">
        <f>'Madine- Conversion'!C37</f>
        <v/>
      </c>
      <c r="E671" s="3">
        <f>'Madine- Conversion'!D37</f>
        <v/>
      </c>
      <c r="F671" s="3">
        <f>'Madine- Conversion'!E37</f>
        <v/>
      </c>
      <c r="G671" s="4">
        <f>'Madine- Conversion'!F37</f>
        <v/>
      </c>
      <c r="H671" s="3">
        <f>'Madine- Conversion'!G37</f>
        <v/>
      </c>
      <c r="I671" s="5">
        <f>'Madine- Conversion'!H37</f>
        <v/>
      </c>
      <c r="J671" s="5">
        <f>'Madine- Conversion'!I37</f>
        <v/>
      </c>
      <c r="K671" s="6">
        <f>'Madine- Conversion'!J37</f>
        <v/>
      </c>
      <c r="L671" s="13">
        <f>'Madine- Conversion'!K37</f>
        <v/>
      </c>
      <c r="M671" s="6">
        <f>'Madine- Conversion'!N37</f>
        <v/>
      </c>
      <c r="N671" s="3">
        <f>'Madine- Conversion'!O37</f>
        <v/>
      </c>
      <c r="O671" s="3">
        <f>'Madine- Conversion'!P37</f>
        <v/>
      </c>
    </row>
    <row r="672" ht="18" customHeight="1" s="96">
      <c r="A672" s="93" t="inlineStr">
        <is>
          <t>Person A</t>
        </is>
      </c>
      <c r="B672" s="93">
        <f>'Madine- Conversion'!A38</f>
        <v/>
      </c>
      <c r="C672" s="8">
        <f>'Madine- Conversion'!B38</f>
        <v/>
      </c>
      <c r="D672" s="8">
        <f>'Madine- Conversion'!C38</f>
        <v/>
      </c>
      <c r="E672" s="8">
        <f>'Madine- Conversion'!D38</f>
        <v/>
      </c>
      <c r="F672" s="8">
        <f>'Madine- Conversion'!E38</f>
        <v/>
      </c>
      <c r="G672" s="9">
        <f>'Madine- Conversion'!F38</f>
        <v/>
      </c>
      <c r="H672" s="8">
        <f>'Madine- Conversion'!G38</f>
        <v/>
      </c>
      <c r="I672" s="10">
        <f>'Madine- Conversion'!H38</f>
        <v/>
      </c>
      <c r="J672" s="10">
        <f>'Madine- Conversion'!I38</f>
        <v/>
      </c>
      <c r="K672" s="11">
        <f>'Madine- Conversion'!J38</f>
        <v/>
      </c>
      <c r="L672" s="12">
        <f>'Madine- Conversion'!K38</f>
        <v/>
      </c>
      <c r="M672" s="11">
        <f>'Madine- Conversion'!N38</f>
        <v/>
      </c>
      <c r="N672" s="8">
        <f>'Madine- Conversion'!O38</f>
        <v/>
      </c>
      <c r="O672" s="8">
        <f>'Madine- Conversion'!P38</f>
        <v/>
      </c>
    </row>
    <row r="673" ht="18" customHeight="1" s="96">
      <c r="A673" s="2" t="inlineStr">
        <is>
          <t>Person A</t>
        </is>
      </c>
      <c r="B673" s="2">
        <f>'Madine- Conversion'!A39</f>
        <v/>
      </c>
      <c r="C673" s="3">
        <f>'Madine- Conversion'!B39</f>
        <v/>
      </c>
      <c r="D673" s="3">
        <f>'Madine- Conversion'!C39</f>
        <v/>
      </c>
      <c r="E673" s="3">
        <f>'Madine- Conversion'!D39</f>
        <v/>
      </c>
      <c r="F673" s="3">
        <f>'Madine- Conversion'!E39</f>
        <v/>
      </c>
      <c r="G673" s="4">
        <f>'Madine- Conversion'!F39</f>
        <v/>
      </c>
      <c r="H673" s="3">
        <f>'Madine- Conversion'!G39</f>
        <v/>
      </c>
      <c r="I673" s="5">
        <f>'Madine- Conversion'!H39</f>
        <v/>
      </c>
      <c r="J673" s="5">
        <f>'Madine- Conversion'!I39</f>
        <v/>
      </c>
      <c r="K673" s="6">
        <f>'Madine- Conversion'!J39</f>
        <v/>
      </c>
      <c r="L673" s="13">
        <f>'Madine- Conversion'!K39</f>
        <v/>
      </c>
      <c r="M673" s="6">
        <f>'Madine- Conversion'!N39</f>
        <v/>
      </c>
      <c r="N673" s="3">
        <f>'Madine- Conversion'!O39</f>
        <v/>
      </c>
      <c r="O673" s="3">
        <f>'Madine- Conversion'!P39</f>
        <v/>
      </c>
    </row>
    <row r="674" ht="18" customHeight="1" s="96">
      <c r="A674" s="93" t="inlineStr">
        <is>
          <t>Person A</t>
        </is>
      </c>
      <c r="B674" s="93">
        <f>'Madine- Conversion'!A40</f>
        <v/>
      </c>
      <c r="C674" s="8">
        <f>'Madine- Conversion'!B40</f>
        <v/>
      </c>
      <c r="D674" s="8">
        <f>'Madine- Conversion'!C40</f>
        <v/>
      </c>
      <c r="E674" s="8">
        <f>'Madine- Conversion'!D40</f>
        <v/>
      </c>
      <c r="F674" s="8">
        <f>'Madine- Conversion'!E40</f>
        <v/>
      </c>
      <c r="G674" s="9">
        <f>'Madine- Conversion'!F40</f>
        <v/>
      </c>
      <c r="H674" s="8">
        <f>'Madine- Conversion'!G40</f>
        <v/>
      </c>
      <c r="I674" s="10">
        <f>'Madine- Conversion'!H40</f>
        <v/>
      </c>
      <c r="J674" s="10">
        <f>'Madine- Conversion'!I40</f>
        <v/>
      </c>
      <c r="K674" s="11">
        <f>'Madine- Conversion'!J40</f>
        <v/>
      </c>
      <c r="L674" s="12">
        <f>'Madine- Conversion'!K40</f>
        <v/>
      </c>
      <c r="M674" s="11">
        <f>'Madine- Conversion'!N40</f>
        <v/>
      </c>
      <c r="N674" s="8">
        <f>'Madine- Conversion'!O40</f>
        <v/>
      </c>
      <c r="O674" s="8">
        <f>'Madine- Conversion'!P40</f>
        <v/>
      </c>
    </row>
    <row r="675" ht="18" customHeight="1" s="96">
      <c r="A675" s="2" t="inlineStr">
        <is>
          <t>Person A</t>
        </is>
      </c>
      <c r="B675" s="2">
        <f>'Madine- Conversion'!A41</f>
        <v/>
      </c>
      <c r="C675" s="3">
        <f>'Madine- Conversion'!B41</f>
        <v/>
      </c>
      <c r="D675" s="3">
        <f>'Madine- Conversion'!C41</f>
        <v/>
      </c>
      <c r="E675" s="3">
        <f>'Madine- Conversion'!D41</f>
        <v/>
      </c>
      <c r="F675" s="3">
        <f>'Madine- Conversion'!E41</f>
        <v/>
      </c>
      <c r="G675" s="4">
        <f>'Madine- Conversion'!F41</f>
        <v/>
      </c>
      <c r="H675" s="3">
        <f>'Madine- Conversion'!G41</f>
        <v/>
      </c>
      <c r="I675" s="5">
        <f>'Madine- Conversion'!H41</f>
        <v/>
      </c>
      <c r="J675" s="5">
        <f>'Madine- Conversion'!I41</f>
        <v/>
      </c>
      <c r="K675" s="6">
        <f>'Madine- Conversion'!J41</f>
        <v/>
      </c>
      <c r="L675" s="13">
        <f>'Madine- Conversion'!K41</f>
        <v/>
      </c>
      <c r="M675" s="6">
        <f>'Madine- Conversion'!N41</f>
        <v/>
      </c>
      <c r="N675" s="3">
        <f>'Madine- Conversion'!O41</f>
        <v/>
      </c>
      <c r="O675" s="3">
        <f>'Madine- Conversion'!P41</f>
        <v/>
      </c>
    </row>
    <row r="676" ht="18" customHeight="1" s="96">
      <c r="A676" s="93" t="inlineStr">
        <is>
          <t>Person A</t>
        </is>
      </c>
      <c r="B676" s="93">
        <f>'Madine- Conversion'!A42</f>
        <v/>
      </c>
      <c r="C676" s="8">
        <f>'Madine- Conversion'!B42</f>
        <v/>
      </c>
      <c r="D676" s="8">
        <f>'Madine- Conversion'!C42</f>
        <v/>
      </c>
      <c r="E676" s="8">
        <f>'Madine- Conversion'!D42</f>
        <v/>
      </c>
      <c r="F676" s="8">
        <f>'Madine- Conversion'!E42</f>
        <v/>
      </c>
      <c r="G676" s="9">
        <f>'Madine- Conversion'!F42</f>
        <v/>
      </c>
      <c r="H676" s="8">
        <f>'Madine- Conversion'!G42</f>
        <v/>
      </c>
      <c r="I676" s="10">
        <f>'Madine- Conversion'!H42</f>
        <v/>
      </c>
      <c r="J676" s="10">
        <f>'Madine- Conversion'!I42</f>
        <v/>
      </c>
      <c r="K676" s="11">
        <f>'Madine- Conversion'!J42</f>
        <v/>
      </c>
      <c r="L676" s="12">
        <f>'Madine- Conversion'!K42</f>
        <v/>
      </c>
      <c r="M676" s="11">
        <f>'Madine- Conversion'!N42</f>
        <v/>
      </c>
      <c r="N676" s="8">
        <f>'Madine- Conversion'!O42</f>
        <v/>
      </c>
      <c r="O676" s="8">
        <f>'Madine- Conversion'!P42</f>
        <v/>
      </c>
    </row>
    <row r="677" ht="18" customHeight="1" s="96">
      <c r="A677" s="2" t="inlineStr">
        <is>
          <t>Person A</t>
        </is>
      </c>
      <c r="B677" s="2">
        <f>'Madine- Conversion'!A43</f>
        <v/>
      </c>
      <c r="C677" s="3">
        <f>'Madine- Conversion'!B43</f>
        <v/>
      </c>
      <c r="D677" s="3">
        <f>'Madine- Conversion'!C43</f>
        <v/>
      </c>
      <c r="E677" s="3">
        <f>'Madine- Conversion'!D43</f>
        <v/>
      </c>
      <c r="F677" s="3">
        <f>'Madine- Conversion'!E43</f>
        <v/>
      </c>
      <c r="G677" s="4">
        <f>'Madine- Conversion'!F43</f>
        <v/>
      </c>
      <c r="H677" s="3">
        <f>'Madine- Conversion'!G43</f>
        <v/>
      </c>
      <c r="I677" s="5">
        <f>'Madine- Conversion'!H43</f>
        <v/>
      </c>
      <c r="J677" s="5">
        <f>'Madine- Conversion'!I43</f>
        <v/>
      </c>
      <c r="K677" s="6">
        <f>'Madine- Conversion'!J43</f>
        <v/>
      </c>
      <c r="L677" s="13">
        <f>'Madine- Conversion'!K43</f>
        <v/>
      </c>
      <c r="M677" s="6">
        <f>'Madine- Conversion'!N43</f>
        <v/>
      </c>
      <c r="N677" s="3">
        <f>'Madine- Conversion'!O43</f>
        <v/>
      </c>
      <c r="O677" s="3">
        <f>'Madine- Conversion'!P43</f>
        <v/>
      </c>
    </row>
    <row r="678" ht="18" customHeight="1" s="96">
      <c r="A678" s="93" t="inlineStr">
        <is>
          <t>Person A</t>
        </is>
      </c>
      <c r="B678" s="93">
        <f>'Madine- Conversion'!A44</f>
        <v/>
      </c>
      <c r="C678" s="8">
        <f>'Madine- Conversion'!B44</f>
        <v/>
      </c>
      <c r="D678" s="8">
        <f>'Madine- Conversion'!C44</f>
        <v/>
      </c>
      <c r="E678" s="8">
        <f>'Madine- Conversion'!D44</f>
        <v/>
      </c>
      <c r="F678" s="8">
        <f>'Madine- Conversion'!E44</f>
        <v/>
      </c>
      <c r="G678" s="9">
        <f>'Madine- Conversion'!F44</f>
        <v/>
      </c>
      <c r="H678" s="8">
        <f>'Madine- Conversion'!G44</f>
        <v/>
      </c>
      <c r="I678" s="10">
        <f>'Madine- Conversion'!H44</f>
        <v/>
      </c>
      <c r="J678" s="10">
        <f>'Madine- Conversion'!I44</f>
        <v/>
      </c>
      <c r="K678" s="11">
        <f>'Madine- Conversion'!J44</f>
        <v/>
      </c>
      <c r="L678" s="12">
        <f>'Madine- Conversion'!K44</f>
        <v/>
      </c>
      <c r="M678" s="11">
        <f>'Madine- Conversion'!N44</f>
        <v/>
      </c>
      <c r="N678" s="8">
        <f>'Madine- Conversion'!O44</f>
        <v/>
      </c>
      <c r="O678" s="8">
        <f>'Madine- Conversion'!P44</f>
        <v/>
      </c>
    </row>
    <row r="679" ht="18" customHeight="1" s="96">
      <c r="A679" s="2" t="inlineStr">
        <is>
          <t>Person A</t>
        </is>
      </c>
      <c r="B679" s="2">
        <f>'Madine- Conversion'!A45</f>
        <v/>
      </c>
      <c r="C679" s="3">
        <f>'Madine- Conversion'!B45</f>
        <v/>
      </c>
      <c r="D679" s="3">
        <f>'Madine- Conversion'!C45</f>
        <v/>
      </c>
      <c r="E679" s="3">
        <f>'Madine- Conversion'!D45</f>
        <v/>
      </c>
      <c r="F679" s="3">
        <f>'Madine- Conversion'!E45</f>
        <v/>
      </c>
      <c r="G679" s="4">
        <f>'Madine- Conversion'!F45</f>
        <v/>
      </c>
      <c r="H679" s="3">
        <f>'Madine- Conversion'!G45</f>
        <v/>
      </c>
      <c r="I679" s="5">
        <f>'Madine- Conversion'!H45</f>
        <v/>
      </c>
      <c r="J679" s="5">
        <f>'Madine- Conversion'!I45</f>
        <v/>
      </c>
      <c r="K679" s="6">
        <f>'Madine- Conversion'!J45</f>
        <v/>
      </c>
      <c r="L679" s="13">
        <f>'Madine- Conversion'!K45</f>
        <v/>
      </c>
      <c r="M679" s="6">
        <f>'Madine- Conversion'!N45</f>
        <v/>
      </c>
      <c r="N679" s="3">
        <f>'Madine- Conversion'!O45</f>
        <v/>
      </c>
      <c r="O679" s="3">
        <f>'Madine- Conversion'!P45</f>
        <v/>
      </c>
    </row>
    <row r="680" ht="18" customHeight="1" s="96">
      <c r="A680" s="93" t="inlineStr">
        <is>
          <t>Person A</t>
        </is>
      </c>
      <c r="B680" s="93">
        <f>'Madine- Conversion'!A46</f>
        <v/>
      </c>
      <c r="C680" s="8">
        <f>'Madine- Conversion'!B46</f>
        <v/>
      </c>
      <c r="D680" s="8">
        <f>'Madine- Conversion'!C46</f>
        <v/>
      </c>
      <c r="E680" s="8">
        <f>'Madine- Conversion'!D46</f>
        <v/>
      </c>
      <c r="F680" s="8">
        <f>'Madine- Conversion'!E46</f>
        <v/>
      </c>
      <c r="G680" s="9">
        <f>'Madine- Conversion'!F46</f>
        <v/>
      </c>
      <c r="H680" s="8">
        <f>'Madine- Conversion'!G46</f>
        <v/>
      </c>
      <c r="I680" s="10">
        <f>'Madine- Conversion'!H46</f>
        <v/>
      </c>
      <c r="J680" s="10">
        <f>'Madine- Conversion'!I46</f>
        <v/>
      </c>
      <c r="K680" s="11">
        <f>'Madine- Conversion'!J46</f>
        <v/>
      </c>
      <c r="L680" s="12">
        <f>'Madine- Conversion'!K46</f>
        <v/>
      </c>
      <c r="M680" s="11">
        <f>'Madine- Conversion'!N46</f>
        <v/>
      </c>
      <c r="N680" s="8">
        <f>'Madine- Conversion'!O46</f>
        <v/>
      </c>
      <c r="O680" s="8">
        <f>'Madine- Conversion'!P46</f>
        <v/>
      </c>
    </row>
    <row r="681" ht="18" customHeight="1" s="96">
      <c r="A681" s="2" t="inlineStr">
        <is>
          <t>Person A</t>
        </is>
      </c>
      <c r="B681" s="2">
        <f>'Madine- Conversion'!A47</f>
        <v/>
      </c>
      <c r="C681" s="3">
        <f>'Madine- Conversion'!B47</f>
        <v/>
      </c>
      <c r="D681" s="3">
        <f>'Madine- Conversion'!C47</f>
        <v/>
      </c>
      <c r="E681" s="3">
        <f>'Madine- Conversion'!D47</f>
        <v/>
      </c>
      <c r="F681" s="3">
        <f>'Madine- Conversion'!E47</f>
        <v/>
      </c>
      <c r="G681" s="4">
        <f>'Madine- Conversion'!F47</f>
        <v/>
      </c>
      <c r="H681" s="3">
        <f>'Madine- Conversion'!G47</f>
        <v/>
      </c>
      <c r="I681" s="5">
        <f>'Madine- Conversion'!H47</f>
        <v/>
      </c>
      <c r="J681" s="5">
        <f>'Madine- Conversion'!I47</f>
        <v/>
      </c>
      <c r="K681" s="6">
        <f>'Madine- Conversion'!J47</f>
        <v/>
      </c>
      <c r="L681" s="13">
        <f>'Madine- Conversion'!K47</f>
        <v/>
      </c>
      <c r="M681" s="6">
        <f>'Madine- Conversion'!N47</f>
        <v/>
      </c>
      <c r="N681" s="3">
        <f>'Madine- Conversion'!O47</f>
        <v/>
      </c>
      <c r="O681" s="3">
        <f>'Madine- Conversion'!P47</f>
        <v/>
      </c>
    </row>
    <row r="682" ht="18" customHeight="1" s="96">
      <c r="A682" s="93" t="inlineStr">
        <is>
          <t>Person A</t>
        </is>
      </c>
      <c r="B682" s="93">
        <f>'Madine- Conversion'!A48</f>
        <v/>
      </c>
      <c r="C682" s="8">
        <f>'Madine- Conversion'!B48</f>
        <v/>
      </c>
      <c r="D682" s="8">
        <f>'Madine- Conversion'!C48</f>
        <v/>
      </c>
      <c r="E682" s="8">
        <f>'Madine- Conversion'!D48</f>
        <v/>
      </c>
      <c r="F682" s="8">
        <f>'Madine- Conversion'!E48</f>
        <v/>
      </c>
      <c r="G682" s="9">
        <f>'Madine- Conversion'!F48</f>
        <v/>
      </c>
      <c r="H682" s="8">
        <f>'Madine- Conversion'!G48</f>
        <v/>
      </c>
      <c r="I682" s="10">
        <f>'Madine- Conversion'!H48</f>
        <v/>
      </c>
      <c r="J682" s="10">
        <f>'Madine- Conversion'!I48</f>
        <v/>
      </c>
      <c r="K682" s="11">
        <f>'Madine- Conversion'!J48</f>
        <v/>
      </c>
      <c r="L682" s="12">
        <f>'Madine- Conversion'!K48</f>
        <v/>
      </c>
      <c r="M682" s="11">
        <f>'Madine- Conversion'!N48</f>
        <v/>
      </c>
      <c r="N682" s="8">
        <f>'Madine- Conversion'!O48</f>
        <v/>
      </c>
      <c r="O682" s="8">
        <f>'Madine- Conversion'!P48</f>
        <v/>
      </c>
    </row>
    <row r="683" ht="18" customHeight="1" s="96">
      <c r="A683" s="2" t="inlineStr">
        <is>
          <t>Person A</t>
        </is>
      </c>
      <c r="B683" s="2">
        <f>'Madine- Conversion'!A49</f>
        <v/>
      </c>
      <c r="C683" s="3">
        <f>'Madine- Conversion'!B49</f>
        <v/>
      </c>
      <c r="D683" s="3">
        <f>'Madine- Conversion'!C49</f>
        <v/>
      </c>
      <c r="E683" s="3">
        <f>'Madine- Conversion'!D49</f>
        <v/>
      </c>
      <c r="F683" s="3">
        <f>'Madine- Conversion'!E49</f>
        <v/>
      </c>
      <c r="G683" s="4">
        <f>'Madine- Conversion'!F49</f>
        <v/>
      </c>
      <c r="H683" s="3">
        <f>'Madine- Conversion'!G49</f>
        <v/>
      </c>
      <c r="I683" s="5">
        <f>'Madine- Conversion'!H49</f>
        <v/>
      </c>
      <c r="J683" s="5">
        <f>'Madine- Conversion'!I49</f>
        <v/>
      </c>
      <c r="K683" s="6">
        <f>'Madine- Conversion'!J49</f>
        <v/>
      </c>
      <c r="L683" s="13">
        <f>'Madine- Conversion'!K49</f>
        <v/>
      </c>
      <c r="M683" s="6">
        <f>'Madine- Conversion'!N49</f>
        <v/>
      </c>
      <c r="N683" s="3">
        <f>'Madine- Conversion'!O49</f>
        <v/>
      </c>
      <c r="O683" s="3">
        <f>'Madine- Conversion'!P49</f>
        <v/>
      </c>
    </row>
    <row r="684" ht="18" customHeight="1" s="96">
      <c r="A684" s="93" t="inlineStr">
        <is>
          <t>Person A</t>
        </is>
      </c>
      <c r="B684" s="93">
        <f>'Madine- Conversion'!A50</f>
        <v/>
      </c>
      <c r="C684" s="8">
        <f>'Madine- Conversion'!B50</f>
        <v/>
      </c>
      <c r="D684" s="8">
        <f>'Madine- Conversion'!C50</f>
        <v/>
      </c>
      <c r="E684" s="8">
        <f>'Madine- Conversion'!D50</f>
        <v/>
      </c>
      <c r="F684" s="8">
        <f>'Madine- Conversion'!E50</f>
        <v/>
      </c>
      <c r="G684" s="9">
        <f>'Madine- Conversion'!F50</f>
        <v/>
      </c>
      <c r="H684" s="8">
        <f>'Madine- Conversion'!G50</f>
        <v/>
      </c>
      <c r="I684" s="10">
        <f>'Madine- Conversion'!H50</f>
        <v/>
      </c>
      <c r="J684" s="10">
        <f>'Madine- Conversion'!I50</f>
        <v/>
      </c>
      <c r="K684" s="11">
        <f>'Madine- Conversion'!J50</f>
        <v/>
      </c>
      <c r="L684" s="12">
        <f>'Madine- Conversion'!K50</f>
        <v/>
      </c>
      <c r="M684" s="11">
        <f>'Madine- Conversion'!N50</f>
        <v/>
      </c>
      <c r="N684" s="8">
        <f>'Madine- Conversion'!O50</f>
        <v/>
      </c>
      <c r="O684" s="8">
        <f>'Madine- Conversion'!P50</f>
        <v/>
      </c>
    </row>
    <row r="685" ht="18" customHeight="1" s="96">
      <c r="A685" s="2" t="inlineStr">
        <is>
          <t>Person A</t>
        </is>
      </c>
      <c r="B685" s="2">
        <f>'Madine- Conversion'!A51</f>
        <v/>
      </c>
      <c r="C685" s="3">
        <f>'Madine- Conversion'!B51</f>
        <v/>
      </c>
      <c r="D685" s="3">
        <f>'Madine- Conversion'!C51</f>
        <v/>
      </c>
      <c r="E685" s="3">
        <f>'Madine- Conversion'!D51</f>
        <v/>
      </c>
      <c r="F685" s="3">
        <f>'Madine- Conversion'!E51</f>
        <v/>
      </c>
      <c r="G685" s="4">
        <f>'Madine- Conversion'!F51</f>
        <v/>
      </c>
      <c r="H685" s="3">
        <f>'Madine- Conversion'!G51</f>
        <v/>
      </c>
      <c r="I685" s="5">
        <f>'Madine- Conversion'!H51</f>
        <v/>
      </c>
      <c r="J685" s="5">
        <f>'Madine- Conversion'!I51</f>
        <v/>
      </c>
      <c r="K685" s="6">
        <f>'Madine- Conversion'!J51</f>
        <v/>
      </c>
      <c r="L685" s="13">
        <f>'Madine- Conversion'!K51</f>
        <v/>
      </c>
      <c r="M685" s="6">
        <f>'Madine- Conversion'!N51</f>
        <v/>
      </c>
      <c r="N685" s="3">
        <f>'Madine- Conversion'!O51</f>
        <v/>
      </c>
      <c r="O685" s="3">
        <f>'Madine- Conversion'!P51</f>
        <v/>
      </c>
    </row>
    <row r="686" ht="18" customHeight="1" s="96">
      <c r="A686" s="93" t="inlineStr">
        <is>
          <t>Person A</t>
        </is>
      </c>
      <c r="B686" s="93">
        <f>'Madine- Conversion'!A52</f>
        <v/>
      </c>
      <c r="C686" s="8">
        <f>'Madine- Conversion'!B52</f>
        <v/>
      </c>
      <c r="D686" s="8">
        <f>'Madine- Conversion'!C52</f>
        <v/>
      </c>
      <c r="E686" s="8">
        <f>'Madine- Conversion'!D52</f>
        <v/>
      </c>
      <c r="F686" s="8">
        <f>'Madine- Conversion'!E52</f>
        <v/>
      </c>
      <c r="G686" s="9">
        <f>'Madine- Conversion'!F52</f>
        <v/>
      </c>
      <c r="H686" s="8">
        <f>'Madine- Conversion'!G52</f>
        <v/>
      </c>
      <c r="I686" s="10">
        <f>'Madine- Conversion'!H52</f>
        <v/>
      </c>
      <c r="J686" s="10">
        <f>'Madine- Conversion'!I52</f>
        <v/>
      </c>
      <c r="K686" s="11">
        <f>'Madine- Conversion'!J52</f>
        <v/>
      </c>
      <c r="L686" s="12">
        <f>'Madine- Conversion'!K52</f>
        <v/>
      </c>
      <c r="M686" s="11">
        <f>'Madine- Conversion'!N52</f>
        <v/>
      </c>
      <c r="N686" s="8">
        <f>'Madine- Conversion'!O52</f>
        <v/>
      </c>
      <c r="O686" s="8">
        <f>'Madine- Conversion'!P52</f>
        <v/>
      </c>
    </row>
    <row r="687" ht="18" customHeight="1" s="96">
      <c r="A687" s="2" t="inlineStr">
        <is>
          <t>Person A</t>
        </is>
      </c>
      <c r="B687" s="2">
        <f>'Madine- Conversion'!A53</f>
        <v/>
      </c>
      <c r="C687" s="3">
        <f>'Madine- Conversion'!B53</f>
        <v/>
      </c>
      <c r="D687" s="3">
        <f>'Madine- Conversion'!C53</f>
        <v/>
      </c>
      <c r="E687" s="3">
        <f>'Madine- Conversion'!D53</f>
        <v/>
      </c>
      <c r="F687" s="3">
        <f>'Madine- Conversion'!E53</f>
        <v/>
      </c>
      <c r="G687" s="4">
        <f>'Madine- Conversion'!F53</f>
        <v/>
      </c>
      <c r="H687" s="3">
        <f>'Madine- Conversion'!G53</f>
        <v/>
      </c>
      <c r="I687" s="5">
        <f>'Madine- Conversion'!H53</f>
        <v/>
      </c>
      <c r="J687" s="5">
        <f>'Madine- Conversion'!I53</f>
        <v/>
      </c>
      <c r="K687" s="6">
        <f>'Madine- Conversion'!J53</f>
        <v/>
      </c>
      <c r="L687" s="13">
        <f>'Madine- Conversion'!K53</f>
        <v/>
      </c>
      <c r="M687" s="6">
        <f>'Madine- Conversion'!N53</f>
        <v/>
      </c>
      <c r="N687" s="3">
        <f>'Madine- Conversion'!O53</f>
        <v/>
      </c>
      <c r="O687" s="3">
        <f>'Madine- Conversion'!P53</f>
        <v/>
      </c>
    </row>
    <row r="688" ht="18" customHeight="1" s="96">
      <c r="A688" s="93" t="inlineStr">
        <is>
          <t>Person A</t>
        </is>
      </c>
      <c r="B688" s="93">
        <f>'Madine- Conversion'!A54</f>
        <v/>
      </c>
      <c r="C688" s="8">
        <f>'Madine- Conversion'!B54</f>
        <v/>
      </c>
      <c r="D688" s="8">
        <f>'Madine- Conversion'!C54</f>
        <v/>
      </c>
      <c r="E688" s="8">
        <f>'Madine- Conversion'!D54</f>
        <v/>
      </c>
      <c r="F688" s="8">
        <f>'Madine- Conversion'!E54</f>
        <v/>
      </c>
      <c r="G688" s="9">
        <f>'Madine- Conversion'!F54</f>
        <v/>
      </c>
      <c r="H688" s="8">
        <f>'Madine- Conversion'!G54</f>
        <v/>
      </c>
      <c r="I688" s="10">
        <f>'Madine- Conversion'!H54</f>
        <v/>
      </c>
      <c r="J688" s="10">
        <f>'Madine- Conversion'!I54</f>
        <v/>
      </c>
      <c r="K688" s="11">
        <f>'Madine- Conversion'!J54</f>
        <v/>
      </c>
      <c r="L688" s="12">
        <f>'Madine- Conversion'!K54</f>
        <v/>
      </c>
      <c r="M688" s="11">
        <f>'Madine- Conversion'!N54</f>
        <v/>
      </c>
      <c r="N688" s="8">
        <f>'Madine- Conversion'!O54</f>
        <v/>
      </c>
      <c r="O688" s="8">
        <f>'Madine- Conversion'!P54</f>
        <v/>
      </c>
    </row>
    <row r="689" ht="18" customHeight="1" s="96">
      <c r="A689" s="2" t="inlineStr">
        <is>
          <t>Person A</t>
        </is>
      </c>
      <c r="B689" s="2">
        <f>'Madine- Conversion'!A55</f>
        <v/>
      </c>
      <c r="C689" s="3">
        <f>'Madine- Conversion'!B55</f>
        <v/>
      </c>
      <c r="D689" s="3">
        <f>'Madine- Conversion'!C55</f>
        <v/>
      </c>
      <c r="E689" s="3">
        <f>'Madine- Conversion'!D55</f>
        <v/>
      </c>
      <c r="F689" s="3">
        <f>'Madine- Conversion'!E55</f>
        <v/>
      </c>
      <c r="G689" s="4">
        <f>'Madine- Conversion'!F55</f>
        <v/>
      </c>
      <c r="H689" s="3">
        <f>'Madine- Conversion'!G55</f>
        <v/>
      </c>
      <c r="I689" s="5">
        <f>'Madine- Conversion'!H55</f>
        <v/>
      </c>
      <c r="J689" s="5">
        <f>'Madine- Conversion'!I55</f>
        <v/>
      </c>
      <c r="K689" s="6">
        <f>'Madine- Conversion'!J55</f>
        <v/>
      </c>
      <c r="L689" s="13">
        <f>'Madine- Conversion'!K55</f>
        <v/>
      </c>
      <c r="M689" s="6">
        <f>'Madine- Conversion'!N55</f>
        <v/>
      </c>
      <c r="N689" s="3">
        <f>'Madine- Conversion'!O55</f>
        <v/>
      </c>
      <c r="O689" s="3">
        <f>'Madine- Conversion'!P55</f>
        <v/>
      </c>
    </row>
    <row r="690" ht="18" customHeight="1" s="96">
      <c r="A690" s="93" t="inlineStr">
        <is>
          <t>Person A</t>
        </is>
      </c>
      <c r="B690" s="93">
        <f>'Madine- Conversion'!A56</f>
        <v/>
      </c>
      <c r="C690" s="8">
        <f>'Madine- Conversion'!B56</f>
        <v/>
      </c>
      <c r="D690" s="8">
        <f>'Madine- Conversion'!C56</f>
        <v/>
      </c>
      <c r="E690" s="8">
        <f>'Madine- Conversion'!D56</f>
        <v/>
      </c>
      <c r="F690" s="8">
        <f>'Madine- Conversion'!E56</f>
        <v/>
      </c>
      <c r="G690" s="9">
        <f>'Madine- Conversion'!F56</f>
        <v/>
      </c>
      <c r="H690" s="8">
        <f>'Madine- Conversion'!G56</f>
        <v/>
      </c>
      <c r="I690" s="10">
        <f>'Madine- Conversion'!H56</f>
        <v/>
      </c>
      <c r="J690" s="10">
        <f>'Madine- Conversion'!I56</f>
        <v/>
      </c>
      <c r="K690" s="11">
        <f>'Madine- Conversion'!J56</f>
        <v/>
      </c>
      <c r="L690" s="12">
        <f>'Madine- Conversion'!K56</f>
        <v/>
      </c>
      <c r="M690" s="11">
        <f>'Madine- Conversion'!N56</f>
        <v/>
      </c>
      <c r="N690" s="8">
        <f>'Madine- Conversion'!O56</f>
        <v/>
      </c>
      <c r="O690" s="8">
        <f>'Madine- Conversion'!P56</f>
        <v/>
      </c>
    </row>
    <row r="691" ht="18" customHeight="1" s="96">
      <c r="A691" s="2" t="inlineStr">
        <is>
          <t>Person A</t>
        </is>
      </c>
      <c r="B691" s="2">
        <f>'Madine- Conversion'!A57</f>
        <v/>
      </c>
      <c r="C691" s="3">
        <f>'Madine- Conversion'!B57</f>
        <v/>
      </c>
      <c r="D691" s="3">
        <f>'Madine- Conversion'!C57</f>
        <v/>
      </c>
      <c r="E691" s="3">
        <f>'Madine- Conversion'!D57</f>
        <v/>
      </c>
      <c r="F691" s="3">
        <f>'Madine- Conversion'!E57</f>
        <v/>
      </c>
      <c r="G691" s="4">
        <f>'Madine- Conversion'!F57</f>
        <v/>
      </c>
      <c r="H691" s="3">
        <f>'Madine- Conversion'!G57</f>
        <v/>
      </c>
      <c r="I691" s="5">
        <f>'Madine- Conversion'!H57</f>
        <v/>
      </c>
      <c r="J691" s="5">
        <f>'Madine- Conversion'!I57</f>
        <v/>
      </c>
      <c r="K691" s="6">
        <f>'Madine- Conversion'!J57</f>
        <v/>
      </c>
      <c r="L691" s="13">
        <f>'Madine- Conversion'!K57</f>
        <v/>
      </c>
      <c r="M691" s="6">
        <f>'Madine- Conversion'!N57</f>
        <v/>
      </c>
      <c r="N691" s="3">
        <f>'Madine- Conversion'!O57</f>
        <v/>
      </c>
      <c r="O691" s="3">
        <f>'Madine- Conversion'!P57</f>
        <v/>
      </c>
    </row>
    <row r="692" ht="18" customHeight="1" s="96">
      <c r="A692" s="93" t="inlineStr">
        <is>
          <t>Person A</t>
        </is>
      </c>
      <c r="B692" s="93">
        <f>'Madine- Conversion'!A58</f>
        <v/>
      </c>
      <c r="C692" s="8">
        <f>'Madine- Conversion'!B58</f>
        <v/>
      </c>
      <c r="D692" s="8">
        <f>'Madine- Conversion'!C58</f>
        <v/>
      </c>
      <c r="E692" s="8">
        <f>'Madine- Conversion'!D58</f>
        <v/>
      </c>
      <c r="F692" s="8">
        <f>'Madine- Conversion'!E58</f>
        <v/>
      </c>
      <c r="G692" s="9">
        <f>'Madine- Conversion'!F58</f>
        <v/>
      </c>
      <c r="H692" s="8">
        <f>'Madine- Conversion'!G58</f>
        <v/>
      </c>
      <c r="I692" s="10">
        <f>'Madine- Conversion'!H58</f>
        <v/>
      </c>
      <c r="J692" s="10">
        <f>'Madine- Conversion'!I58</f>
        <v/>
      </c>
      <c r="K692" s="11">
        <f>'Madine- Conversion'!J58</f>
        <v/>
      </c>
      <c r="L692" s="12">
        <f>'Madine- Conversion'!K58</f>
        <v/>
      </c>
      <c r="M692" s="11">
        <f>'Madine- Conversion'!N58</f>
        <v/>
      </c>
      <c r="N692" s="8">
        <f>'Madine- Conversion'!O58</f>
        <v/>
      </c>
      <c r="O692" s="8">
        <f>'Madine- Conversion'!P58</f>
        <v/>
      </c>
    </row>
    <row r="693" ht="18" customHeight="1" s="96">
      <c r="A693" s="2" t="inlineStr">
        <is>
          <t>Person A</t>
        </is>
      </c>
      <c r="B693" s="2">
        <f>'Madine- Conversion'!A59</f>
        <v/>
      </c>
      <c r="C693" s="3">
        <f>'Madine- Conversion'!B59</f>
        <v/>
      </c>
      <c r="D693" s="3">
        <f>'Madine- Conversion'!C59</f>
        <v/>
      </c>
      <c r="E693" s="3">
        <f>'Madine- Conversion'!D59</f>
        <v/>
      </c>
      <c r="F693" s="3">
        <f>'Madine- Conversion'!E59</f>
        <v/>
      </c>
      <c r="G693" s="4">
        <f>'Madine- Conversion'!F59</f>
        <v/>
      </c>
      <c r="H693" s="3">
        <f>'Madine- Conversion'!G59</f>
        <v/>
      </c>
      <c r="I693" s="5">
        <f>'Madine- Conversion'!H59</f>
        <v/>
      </c>
      <c r="J693" s="5">
        <f>'Madine- Conversion'!I59</f>
        <v/>
      </c>
      <c r="K693" s="6">
        <f>'Madine- Conversion'!J59</f>
        <v/>
      </c>
      <c r="L693" s="13">
        <f>'Madine- Conversion'!K59</f>
        <v/>
      </c>
      <c r="M693" s="6">
        <f>'Madine- Conversion'!N59</f>
        <v/>
      </c>
      <c r="N693" s="3">
        <f>'Madine- Conversion'!O59</f>
        <v/>
      </c>
      <c r="O693" s="3">
        <f>'Madine- Conversion'!P59</f>
        <v/>
      </c>
    </row>
    <row r="694" ht="18" customHeight="1" s="96">
      <c r="A694" s="93" t="inlineStr">
        <is>
          <t>Person A</t>
        </is>
      </c>
      <c r="B694" s="93">
        <f>'Madine- Conversion'!A60</f>
        <v/>
      </c>
      <c r="C694" s="8">
        <f>'Madine- Conversion'!B60</f>
        <v/>
      </c>
      <c r="D694" s="8">
        <f>'Madine- Conversion'!C60</f>
        <v/>
      </c>
      <c r="E694" s="8">
        <f>'Madine- Conversion'!D60</f>
        <v/>
      </c>
      <c r="F694" s="8">
        <f>'Madine- Conversion'!E60</f>
        <v/>
      </c>
      <c r="G694" s="9">
        <f>'Madine- Conversion'!F60</f>
        <v/>
      </c>
      <c r="H694" s="8">
        <f>'Madine- Conversion'!G60</f>
        <v/>
      </c>
      <c r="I694" s="10">
        <f>'Madine- Conversion'!H60</f>
        <v/>
      </c>
      <c r="J694" s="10">
        <f>'Madine- Conversion'!I60</f>
        <v/>
      </c>
      <c r="K694" s="11">
        <f>'Madine- Conversion'!J60</f>
        <v/>
      </c>
      <c r="L694" s="12">
        <f>'Madine- Conversion'!K60</f>
        <v/>
      </c>
      <c r="M694" s="11">
        <f>'Madine- Conversion'!N60</f>
        <v/>
      </c>
      <c r="N694" s="8">
        <f>'Madine- Conversion'!O60</f>
        <v/>
      </c>
      <c r="O694" s="8">
        <f>'Madine- Conversion'!P60</f>
        <v/>
      </c>
    </row>
    <row r="695" ht="18" customHeight="1" s="96">
      <c r="A695" s="2" t="inlineStr">
        <is>
          <t>Person A</t>
        </is>
      </c>
      <c r="B695" s="2">
        <f>'Madine- Conversion'!A61</f>
        <v/>
      </c>
      <c r="C695" s="3">
        <f>'Madine- Conversion'!B61</f>
        <v/>
      </c>
      <c r="D695" s="3">
        <f>'Madine- Conversion'!C61</f>
        <v/>
      </c>
      <c r="E695" s="3">
        <f>'Madine- Conversion'!D61</f>
        <v/>
      </c>
      <c r="F695" s="3">
        <f>'Madine- Conversion'!E61</f>
        <v/>
      </c>
      <c r="G695" s="4">
        <f>'Madine- Conversion'!F61</f>
        <v/>
      </c>
      <c r="H695" s="3">
        <f>'Madine- Conversion'!G61</f>
        <v/>
      </c>
      <c r="I695" s="5">
        <f>'Madine- Conversion'!H61</f>
        <v/>
      </c>
      <c r="J695" s="5">
        <f>'Madine- Conversion'!I61</f>
        <v/>
      </c>
      <c r="K695" s="6">
        <f>'Madine- Conversion'!J61</f>
        <v/>
      </c>
      <c r="L695" s="13">
        <f>'Madine- Conversion'!K61</f>
        <v/>
      </c>
      <c r="M695" s="6">
        <f>'Madine- Conversion'!N61</f>
        <v/>
      </c>
      <c r="N695" s="3">
        <f>'Madine- Conversion'!O61</f>
        <v/>
      </c>
      <c r="O695" s="3">
        <f>'Madine- Conversion'!P61</f>
        <v/>
      </c>
    </row>
    <row r="696" ht="18" customHeight="1" s="96">
      <c r="A696" s="93" t="inlineStr">
        <is>
          <t>Person A</t>
        </is>
      </c>
      <c r="B696" s="93">
        <f>'Madine- Conversion'!A62</f>
        <v/>
      </c>
      <c r="C696" s="8">
        <f>'Madine- Conversion'!B62</f>
        <v/>
      </c>
      <c r="D696" s="8">
        <f>'Madine- Conversion'!C62</f>
        <v/>
      </c>
      <c r="E696" s="8">
        <f>'Madine- Conversion'!D62</f>
        <v/>
      </c>
      <c r="F696" s="8">
        <f>'Madine- Conversion'!E62</f>
        <v/>
      </c>
      <c r="G696" s="9">
        <f>'Madine- Conversion'!F62</f>
        <v/>
      </c>
      <c r="H696" s="8">
        <f>'Madine- Conversion'!G62</f>
        <v/>
      </c>
      <c r="I696" s="10">
        <f>'Madine- Conversion'!H62</f>
        <v/>
      </c>
      <c r="J696" s="10">
        <f>'Madine- Conversion'!I62</f>
        <v/>
      </c>
      <c r="K696" s="11">
        <f>'Madine- Conversion'!J62</f>
        <v/>
      </c>
      <c r="L696" s="12">
        <f>'Madine- Conversion'!K62</f>
        <v/>
      </c>
      <c r="M696" s="11">
        <f>'Madine- Conversion'!N62</f>
        <v/>
      </c>
      <c r="N696" s="8">
        <f>'Madine- Conversion'!O62</f>
        <v/>
      </c>
      <c r="O696" s="8">
        <f>'Madine- Conversion'!P62</f>
        <v/>
      </c>
    </row>
    <row r="697" ht="18" customHeight="1" s="96">
      <c r="A697" s="2" t="inlineStr">
        <is>
          <t>Person A</t>
        </is>
      </c>
      <c r="B697" s="2">
        <f>'Madine- Conversion'!A63</f>
        <v/>
      </c>
      <c r="C697" s="3">
        <f>'Madine- Conversion'!B63</f>
        <v/>
      </c>
      <c r="D697" s="3">
        <f>'Madine- Conversion'!C63</f>
        <v/>
      </c>
      <c r="E697" s="3">
        <f>'Madine- Conversion'!D63</f>
        <v/>
      </c>
      <c r="F697" s="3">
        <f>'Madine- Conversion'!E63</f>
        <v/>
      </c>
      <c r="G697" s="4">
        <f>'Madine- Conversion'!F63</f>
        <v/>
      </c>
      <c r="H697" s="3">
        <f>'Madine- Conversion'!G63</f>
        <v/>
      </c>
      <c r="I697" s="5">
        <f>'Madine- Conversion'!H63</f>
        <v/>
      </c>
      <c r="J697" s="5">
        <f>'Madine- Conversion'!I63</f>
        <v/>
      </c>
      <c r="K697" s="6">
        <f>'Madine- Conversion'!J63</f>
        <v/>
      </c>
      <c r="L697" s="13">
        <f>'Madine- Conversion'!K63</f>
        <v/>
      </c>
      <c r="M697" s="6">
        <f>'Madine- Conversion'!N63</f>
        <v/>
      </c>
      <c r="N697" s="3">
        <f>'Madine- Conversion'!O63</f>
        <v/>
      </c>
      <c r="O697" s="3">
        <f>'Madine- Conversion'!P63</f>
        <v/>
      </c>
    </row>
    <row r="698" ht="18" customHeight="1" s="96">
      <c r="A698" s="93" t="inlineStr">
        <is>
          <t>Person A</t>
        </is>
      </c>
      <c r="B698" s="93">
        <f>'Madine- Conversion'!A64</f>
        <v/>
      </c>
      <c r="C698" s="8">
        <f>'Madine- Conversion'!B64</f>
        <v/>
      </c>
      <c r="D698" s="8">
        <f>'Madine- Conversion'!C64</f>
        <v/>
      </c>
      <c r="E698" s="8">
        <f>'Madine- Conversion'!D64</f>
        <v/>
      </c>
      <c r="F698" s="8">
        <f>'Madine- Conversion'!E64</f>
        <v/>
      </c>
      <c r="G698" s="9">
        <f>'Madine- Conversion'!F64</f>
        <v/>
      </c>
      <c r="H698" s="8">
        <f>'Madine- Conversion'!G64</f>
        <v/>
      </c>
      <c r="I698" s="10">
        <f>'Madine- Conversion'!H64</f>
        <v/>
      </c>
      <c r="J698" s="10">
        <f>'Madine- Conversion'!I64</f>
        <v/>
      </c>
      <c r="K698" s="11">
        <f>'Madine- Conversion'!J64</f>
        <v/>
      </c>
      <c r="L698" s="12">
        <f>'Madine- Conversion'!K64</f>
        <v/>
      </c>
      <c r="M698" s="11">
        <f>'Madine- Conversion'!N64</f>
        <v/>
      </c>
      <c r="N698" s="8">
        <f>'Madine- Conversion'!O64</f>
        <v/>
      </c>
      <c r="O698" s="8">
        <f>'Madine- Conversion'!P64</f>
        <v/>
      </c>
    </row>
    <row r="699" ht="18" customHeight="1" s="96">
      <c r="A699" s="2" t="inlineStr">
        <is>
          <t>Person A</t>
        </is>
      </c>
      <c r="B699" s="2">
        <f>'Madine- Conversion'!A65</f>
        <v/>
      </c>
      <c r="C699" s="3">
        <f>'Madine- Conversion'!B65</f>
        <v/>
      </c>
      <c r="D699" s="3">
        <f>'Madine- Conversion'!C65</f>
        <v/>
      </c>
      <c r="E699" s="3">
        <f>'Madine- Conversion'!D65</f>
        <v/>
      </c>
      <c r="F699" s="3">
        <f>'Madine- Conversion'!E65</f>
        <v/>
      </c>
      <c r="G699" s="4">
        <f>'Madine- Conversion'!F65</f>
        <v/>
      </c>
      <c r="H699" s="3">
        <f>'Madine- Conversion'!G65</f>
        <v/>
      </c>
      <c r="I699" s="5">
        <f>'Madine- Conversion'!H65</f>
        <v/>
      </c>
      <c r="J699" s="5">
        <f>'Madine- Conversion'!I65</f>
        <v/>
      </c>
      <c r="K699" s="6">
        <f>'Madine- Conversion'!J65</f>
        <v/>
      </c>
      <c r="L699" s="13">
        <f>'Madine- Conversion'!K65</f>
        <v/>
      </c>
      <c r="M699" s="6">
        <f>'Madine- Conversion'!N65</f>
        <v/>
      </c>
      <c r="N699" s="3">
        <f>'Madine- Conversion'!O65</f>
        <v/>
      </c>
      <c r="O699" s="3">
        <f>'Madine- Conversion'!P65</f>
        <v/>
      </c>
    </row>
    <row r="700" ht="18" customHeight="1" s="96">
      <c r="A700" s="93" t="inlineStr">
        <is>
          <t>Person A</t>
        </is>
      </c>
      <c r="B700" s="93">
        <f>'Madine- Conversion'!A66</f>
        <v/>
      </c>
      <c r="C700" s="8">
        <f>'Madine- Conversion'!B66</f>
        <v/>
      </c>
      <c r="D700" s="8">
        <f>'Madine- Conversion'!C66</f>
        <v/>
      </c>
      <c r="E700" s="8">
        <f>'Madine- Conversion'!D66</f>
        <v/>
      </c>
      <c r="F700" s="8">
        <f>'Madine- Conversion'!E66</f>
        <v/>
      </c>
      <c r="G700" s="9">
        <f>'Madine- Conversion'!F66</f>
        <v/>
      </c>
      <c r="H700" s="8">
        <f>'Madine- Conversion'!G66</f>
        <v/>
      </c>
      <c r="I700" s="10">
        <f>'Madine- Conversion'!H66</f>
        <v/>
      </c>
      <c r="J700" s="10">
        <f>'Madine- Conversion'!I66</f>
        <v/>
      </c>
      <c r="K700" s="11">
        <f>'Madine- Conversion'!J66</f>
        <v/>
      </c>
      <c r="L700" s="12">
        <f>'Madine- Conversion'!K66</f>
        <v/>
      </c>
      <c r="M700" s="11">
        <f>'Madine- Conversion'!N66</f>
        <v/>
      </c>
      <c r="N700" s="8">
        <f>'Madine- Conversion'!O66</f>
        <v/>
      </c>
      <c r="O700" s="8">
        <f>'Madine- Conversion'!P66</f>
        <v/>
      </c>
    </row>
    <row r="701" ht="18" customHeight="1" s="96">
      <c r="A701" s="2" t="inlineStr">
        <is>
          <t>Person A</t>
        </is>
      </c>
      <c r="B701" s="2">
        <f>'Madine- Conversion'!A67</f>
        <v/>
      </c>
      <c r="C701" s="3">
        <f>'Madine- Conversion'!B67</f>
        <v/>
      </c>
      <c r="D701" s="3">
        <f>'Madine- Conversion'!C67</f>
        <v/>
      </c>
      <c r="E701" s="3">
        <f>'Madine- Conversion'!D67</f>
        <v/>
      </c>
      <c r="F701" s="3">
        <f>'Madine- Conversion'!E67</f>
        <v/>
      </c>
      <c r="G701" s="4">
        <f>'Madine- Conversion'!F67</f>
        <v/>
      </c>
      <c r="H701" s="3">
        <f>'Madine- Conversion'!G67</f>
        <v/>
      </c>
      <c r="I701" s="5">
        <f>'Madine- Conversion'!H67</f>
        <v/>
      </c>
      <c r="J701" s="5">
        <f>'Madine- Conversion'!I67</f>
        <v/>
      </c>
      <c r="K701" s="6">
        <f>'Madine- Conversion'!J67</f>
        <v/>
      </c>
      <c r="L701" s="13">
        <f>'Madine- Conversion'!K67</f>
        <v/>
      </c>
      <c r="M701" s="6">
        <f>'Madine- Conversion'!N67</f>
        <v/>
      </c>
      <c r="N701" s="3">
        <f>'Madine- Conversion'!O67</f>
        <v/>
      </c>
      <c r="O701" s="3">
        <f>'Madine- Conversion'!P67</f>
        <v/>
      </c>
    </row>
    <row r="702" ht="18" customHeight="1" s="96">
      <c r="A702" s="93" t="inlineStr">
        <is>
          <t>Person A</t>
        </is>
      </c>
      <c r="B702" s="93">
        <f>'Madine- Conversion'!A68</f>
        <v/>
      </c>
      <c r="C702" s="8">
        <f>'Madine- Conversion'!B68</f>
        <v/>
      </c>
      <c r="D702" s="8">
        <f>'Madine- Conversion'!C68</f>
        <v/>
      </c>
      <c r="E702" s="8">
        <f>'Madine- Conversion'!D68</f>
        <v/>
      </c>
      <c r="F702" s="8">
        <f>'Madine- Conversion'!E68</f>
        <v/>
      </c>
      <c r="G702" s="9">
        <f>'Madine- Conversion'!F68</f>
        <v/>
      </c>
      <c r="H702" s="8">
        <f>'Madine- Conversion'!G68</f>
        <v/>
      </c>
      <c r="I702" s="10">
        <f>'Madine- Conversion'!H68</f>
        <v/>
      </c>
      <c r="J702" s="10">
        <f>'Madine- Conversion'!I68</f>
        <v/>
      </c>
      <c r="K702" s="11">
        <f>'Madine- Conversion'!J68</f>
        <v/>
      </c>
      <c r="L702" s="12">
        <f>'Madine- Conversion'!K68</f>
        <v/>
      </c>
      <c r="M702" s="11">
        <f>'Madine- Conversion'!N68</f>
        <v/>
      </c>
      <c r="N702" s="8">
        <f>'Madine- Conversion'!O68</f>
        <v/>
      </c>
      <c r="O702" s="8">
        <f>'Madine- Conversion'!P68</f>
        <v/>
      </c>
    </row>
    <row r="703" ht="18" customHeight="1" s="96">
      <c r="A703" s="2" t="inlineStr">
        <is>
          <t>Person A</t>
        </is>
      </c>
      <c r="B703" s="2">
        <f>'Madine- Conversion'!A69</f>
        <v/>
      </c>
      <c r="C703" s="3">
        <f>'Madine- Conversion'!B69</f>
        <v/>
      </c>
      <c r="D703" s="3">
        <f>'Madine- Conversion'!C69</f>
        <v/>
      </c>
      <c r="E703" s="3">
        <f>'Madine- Conversion'!D69</f>
        <v/>
      </c>
      <c r="F703" s="3">
        <f>'Madine- Conversion'!E69</f>
        <v/>
      </c>
      <c r="G703" s="4">
        <f>'Madine- Conversion'!F69</f>
        <v/>
      </c>
      <c r="H703" s="3">
        <f>'Madine- Conversion'!G69</f>
        <v/>
      </c>
      <c r="I703" s="5">
        <f>'Madine- Conversion'!H69</f>
        <v/>
      </c>
      <c r="J703" s="5">
        <f>'Madine- Conversion'!I69</f>
        <v/>
      </c>
      <c r="K703" s="6">
        <f>'Madine- Conversion'!J69</f>
        <v/>
      </c>
      <c r="L703" s="13">
        <f>'Madine- Conversion'!K69</f>
        <v/>
      </c>
      <c r="M703" s="6">
        <f>'Madine- Conversion'!N69</f>
        <v/>
      </c>
      <c r="N703" s="3">
        <f>'Madine- Conversion'!O69</f>
        <v/>
      </c>
      <c r="O703" s="3">
        <f>'Madine- Conversion'!P69</f>
        <v/>
      </c>
    </row>
    <row r="704" ht="18" customHeight="1" s="96">
      <c r="A704" s="93" t="inlineStr">
        <is>
          <t>Person A</t>
        </is>
      </c>
      <c r="B704" s="93">
        <f>'Madine- Conversion'!A70</f>
        <v/>
      </c>
      <c r="C704" s="8">
        <f>'Madine- Conversion'!B70</f>
        <v/>
      </c>
      <c r="D704" s="8">
        <f>'Madine- Conversion'!C70</f>
        <v/>
      </c>
      <c r="E704" s="8">
        <f>'Madine- Conversion'!D70</f>
        <v/>
      </c>
      <c r="F704" s="8">
        <f>'Madine- Conversion'!E70</f>
        <v/>
      </c>
      <c r="G704" s="9">
        <f>'Madine- Conversion'!F70</f>
        <v/>
      </c>
      <c r="H704" s="8">
        <f>'Madine- Conversion'!G70</f>
        <v/>
      </c>
      <c r="I704" s="10">
        <f>'Madine- Conversion'!H70</f>
        <v/>
      </c>
      <c r="J704" s="10">
        <f>'Madine- Conversion'!I70</f>
        <v/>
      </c>
      <c r="K704" s="11">
        <f>'Madine- Conversion'!J70</f>
        <v/>
      </c>
      <c r="L704" s="12">
        <f>'Madine- Conversion'!K70</f>
        <v/>
      </c>
      <c r="M704" s="11">
        <f>'Madine- Conversion'!N70</f>
        <v/>
      </c>
      <c r="N704" s="8">
        <f>'Madine- Conversion'!O70</f>
        <v/>
      </c>
      <c r="O704" s="8">
        <f>'Madine- Conversion'!P70</f>
        <v/>
      </c>
    </row>
    <row r="705" ht="18" customHeight="1" s="96">
      <c r="A705" s="2" t="inlineStr">
        <is>
          <t>Person A</t>
        </is>
      </c>
      <c r="B705" s="2">
        <f>'Madine- Conversion'!A71</f>
        <v/>
      </c>
      <c r="C705" s="3">
        <f>'Madine- Conversion'!B71</f>
        <v/>
      </c>
      <c r="D705" s="3">
        <f>'Madine- Conversion'!C71</f>
        <v/>
      </c>
      <c r="E705" s="3">
        <f>'Madine- Conversion'!D71</f>
        <v/>
      </c>
      <c r="F705" s="3">
        <f>'Madine- Conversion'!E71</f>
        <v/>
      </c>
      <c r="G705" s="4">
        <f>'Madine- Conversion'!F71</f>
        <v/>
      </c>
      <c r="H705" s="3">
        <f>'Madine- Conversion'!G71</f>
        <v/>
      </c>
      <c r="I705" s="5">
        <f>'Madine- Conversion'!H71</f>
        <v/>
      </c>
      <c r="J705" s="5">
        <f>'Madine- Conversion'!I71</f>
        <v/>
      </c>
      <c r="K705" s="6">
        <f>'Madine- Conversion'!J71</f>
        <v/>
      </c>
      <c r="L705" s="13">
        <f>'Madine- Conversion'!K71</f>
        <v/>
      </c>
      <c r="M705" s="6">
        <f>'Madine- Conversion'!N71</f>
        <v/>
      </c>
      <c r="N705" s="3">
        <f>'Madine- Conversion'!O71</f>
        <v/>
      </c>
      <c r="O705" s="3">
        <f>'Madine- Conversion'!P71</f>
        <v/>
      </c>
    </row>
    <row r="706" ht="18" customHeight="1" s="96">
      <c r="A706" s="93" t="inlineStr">
        <is>
          <t>Person A</t>
        </is>
      </c>
      <c r="B706" s="93">
        <f>'Madine- Conversion'!A72</f>
        <v/>
      </c>
      <c r="C706" s="8">
        <f>'Madine- Conversion'!B72</f>
        <v/>
      </c>
      <c r="D706" s="8">
        <f>'Madine- Conversion'!C72</f>
        <v/>
      </c>
      <c r="E706" s="8">
        <f>'Madine- Conversion'!D72</f>
        <v/>
      </c>
      <c r="F706" s="8">
        <f>'Madine- Conversion'!E72</f>
        <v/>
      </c>
      <c r="G706" s="9">
        <f>'Madine- Conversion'!F72</f>
        <v/>
      </c>
      <c r="H706" s="8">
        <f>'Madine- Conversion'!G72</f>
        <v/>
      </c>
      <c r="I706" s="10">
        <f>'Madine- Conversion'!H72</f>
        <v/>
      </c>
      <c r="J706" s="10">
        <f>'Madine- Conversion'!I72</f>
        <v/>
      </c>
      <c r="K706" s="11">
        <f>'Madine- Conversion'!J72</f>
        <v/>
      </c>
      <c r="L706" s="12">
        <f>'Madine- Conversion'!K72</f>
        <v/>
      </c>
      <c r="M706" s="11">
        <f>'Madine- Conversion'!N72</f>
        <v/>
      </c>
      <c r="N706" s="8">
        <f>'Madine- Conversion'!O72</f>
        <v/>
      </c>
      <c r="O706" s="8">
        <f>'Madine- Conversion'!P72</f>
        <v/>
      </c>
    </row>
    <row r="707" ht="18" customHeight="1" s="96">
      <c r="A707" s="2" t="inlineStr">
        <is>
          <t>Person A</t>
        </is>
      </c>
      <c r="B707" s="2">
        <f>'Madine- Conversion'!A73</f>
        <v/>
      </c>
      <c r="C707" s="3">
        <f>'Madine- Conversion'!B73</f>
        <v/>
      </c>
      <c r="D707" s="3">
        <f>'Madine- Conversion'!C73</f>
        <v/>
      </c>
      <c r="E707" s="3">
        <f>'Madine- Conversion'!D73</f>
        <v/>
      </c>
      <c r="F707" s="3">
        <f>'Madine- Conversion'!E73</f>
        <v/>
      </c>
      <c r="G707" s="4">
        <f>'Madine- Conversion'!F73</f>
        <v/>
      </c>
      <c r="H707" s="3">
        <f>'Madine- Conversion'!G73</f>
        <v/>
      </c>
      <c r="I707" s="5">
        <f>'Madine- Conversion'!H73</f>
        <v/>
      </c>
      <c r="J707" s="5">
        <f>'Madine- Conversion'!I73</f>
        <v/>
      </c>
      <c r="K707" s="6">
        <f>'Madine- Conversion'!J73</f>
        <v/>
      </c>
      <c r="L707" s="13">
        <f>'Madine- Conversion'!K73</f>
        <v/>
      </c>
      <c r="M707" s="6">
        <f>'Madine- Conversion'!N73</f>
        <v/>
      </c>
      <c r="N707" s="3">
        <f>'Madine- Conversion'!O73</f>
        <v/>
      </c>
      <c r="O707" s="3">
        <f>'Madine- Conversion'!P73</f>
        <v/>
      </c>
    </row>
    <row r="708" ht="18" customHeight="1" s="96">
      <c r="A708" s="93" t="inlineStr">
        <is>
          <t>Person A</t>
        </is>
      </c>
      <c r="B708" s="93">
        <f>'Madine- Conversion'!A74</f>
        <v/>
      </c>
      <c r="C708" s="8">
        <f>'Madine- Conversion'!B74</f>
        <v/>
      </c>
      <c r="D708" s="8">
        <f>'Madine- Conversion'!C74</f>
        <v/>
      </c>
      <c r="E708" s="8">
        <f>'Madine- Conversion'!D74</f>
        <v/>
      </c>
      <c r="F708" s="8">
        <f>'Madine- Conversion'!E74</f>
        <v/>
      </c>
      <c r="G708" s="9">
        <f>'Madine- Conversion'!F74</f>
        <v/>
      </c>
      <c r="H708" s="8">
        <f>'Madine- Conversion'!G74</f>
        <v/>
      </c>
      <c r="I708" s="10">
        <f>'Madine- Conversion'!H74</f>
        <v/>
      </c>
      <c r="J708" s="10">
        <f>'Madine- Conversion'!I74</f>
        <v/>
      </c>
      <c r="K708" s="11">
        <f>'Madine- Conversion'!J74</f>
        <v/>
      </c>
      <c r="L708" s="12">
        <f>'Madine- Conversion'!K74</f>
        <v/>
      </c>
      <c r="M708" s="11">
        <f>'Madine- Conversion'!N74</f>
        <v/>
      </c>
      <c r="N708" s="8">
        <f>'Madine- Conversion'!O74</f>
        <v/>
      </c>
      <c r="O708" s="8">
        <f>'Madine- Conversion'!P74</f>
        <v/>
      </c>
    </row>
    <row r="709" ht="18" customHeight="1" s="96">
      <c r="A709" s="2" t="inlineStr">
        <is>
          <t>Person A</t>
        </is>
      </c>
      <c r="B709" s="2">
        <f>'Madine- Conversion'!A75</f>
        <v/>
      </c>
      <c r="C709" s="3">
        <f>'Madine- Conversion'!B75</f>
        <v/>
      </c>
      <c r="D709" s="3">
        <f>'Madine- Conversion'!C75</f>
        <v/>
      </c>
      <c r="E709" s="3">
        <f>'Madine- Conversion'!D75</f>
        <v/>
      </c>
      <c r="F709" s="3">
        <f>'Madine- Conversion'!E75</f>
        <v/>
      </c>
      <c r="G709" s="4">
        <f>'Madine- Conversion'!F75</f>
        <v/>
      </c>
      <c r="H709" s="3">
        <f>'Madine- Conversion'!G75</f>
        <v/>
      </c>
      <c r="I709" s="5">
        <f>'Madine- Conversion'!H75</f>
        <v/>
      </c>
      <c r="J709" s="5">
        <f>'Madine- Conversion'!I75</f>
        <v/>
      </c>
      <c r="K709" s="6">
        <f>'Madine- Conversion'!J75</f>
        <v/>
      </c>
      <c r="L709" s="13">
        <f>'Madine- Conversion'!K75</f>
        <v/>
      </c>
      <c r="M709" s="6">
        <f>'Madine- Conversion'!N75</f>
        <v/>
      </c>
      <c r="N709" s="3">
        <f>'Madine- Conversion'!O75</f>
        <v/>
      </c>
      <c r="O709" s="3">
        <f>'Madine- Conversion'!P75</f>
        <v/>
      </c>
    </row>
    <row r="710" ht="18" customHeight="1" s="96">
      <c r="A710" s="93" t="inlineStr">
        <is>
          <t>Person A</t>
        </is>
      </c>
      <c r="B710" s="93">
        <f>'Madine- Conversion'!A76</f>
        <v/>
      </c>
      <c r="C710" s="8">
        <f>'Madine- Conversion'!B76</f>
        <v/>
      </c>
      <c r="D710" s="8">
        <f>'Madine- Conversion'!C76</f>
        <v/>
      </c>
      <c r="E710" s="8">
        <f>'Madine- Conversion'!D76</f>
        <v/>
      </c>
      <c r="F710" s="8">
        <f>'Madine- Conversion'!E76</f>
        <v/>
      </c>
      <c r="G710" s="9">
        <f>'Madine- Conversion'!F76</f>
        <v/>
      </c>
      <c r="H710" s="8">
        <f>'Madine- Conversion'!G76</f>
        <v/>
      </c>
      <c r="I710" s="10">
        <f>'Madine- Conversion'!H76</f>
        <v/>
      </c>
      <c r="J710" s="10">
        <f>'Madine- Conversion'!I76</f>
        <v/>
      </c>
      <c r="K710" s="11">
        <f>'Madine- Conversion'!J76</f>
        <v/>
      </c>
      <c r="L710" s="12">
        <f>'Madine- Conversion'!K76</f>
        <v/>
      </c>
      <c r="M710" s="11">
        <f>'Madine- Conversion'!N76</f>
        <v/>
      </c>
      <c r="N710" s="8">
        <f>'Madine- Conversion'!O76</f>
        <v/>
      </c>
      <c r="O710" s="8">
        <f>'Madine- Conversion'!P76</f>
        <v/>
      </c>
    </row>
    <row r="711" ht="18" customHeight="1" s="96">
      <c r="A711" s="2" t="inlineStr">
        <is>
          <t>Person A</t>
        </is>
      </c>
      <c r="B711" s="2">
        <f>'Madine- Conversion'!A77</f>
        <v/>
      </c>
      <c r="C711" s="3">
        <f>'Madine- Conversion'!B77</f>
        <v/>
      </c>
      <c r="D711" s="3">
        <f>'Madine- Conversion'!C77</f>
        <v/>
      </c>
      <c r="E711" s="3">
        <f>'Madine- Conversion'!D77</f>
        <v/>
      </c>
      <c r="F711" s="3">
        <f>'Madine- Conversion'!E77</f>
        <v/>
      </c>
      <c r="G711" s="4">
        <f>'Madine- Conversion'!F77</f>
        <v/>
      </c>
      <c r="H711" s="3">
        <f>'Madine- Conversion'!G77</f>
        <v/>
      </c>
      <c r="I711" s="5">
        <f>'Madine- Conversion'!H77</f>
        <v/>
      </c>
      <c r="J711" s="5">
        <f>'Madine- Conversion'!I77</f>
        <v/>
      </c>
      <c r="K711" s="6">
        <f>'Madine- Conversion'!J77</f>
        <v/>
      </c>
      <c r="L711" s="13">
        <f>'Madine- Conversion'!K77</f>
        <v/>
      </c>
      <c r="M711" s="6">
        <f>'Madine- Conversion'!N77</f>
        <v/>
      </c>
      <c r="N711" s="3">
        <f>'Madine- Conversion'!O77</f>
        <v/>
      </c>
      <c r="O711" s="3">
        <f>'Madine- Conversion'!P77</f>
        <v/>
      </c>
    </row>
    <row r="712" ht="18" customHeight="1" s="96">
      <c r="A712" s="93" t="inlineStr">
        <is>
          <t>Person A</t>
        </is>
      </c>
      <c r="B712" s="93">
        <f>'Madine- Conversion'!A78</f>
        <v/>
      </c>
      <c r="C712" s="8">
        <f>'Madine- Conversion'!B78</f>
        <v/>
      </c>
      <c r="D712" s="8">
        <f>'Madine- Conversion'!C78</f>
        <v/>
      </c>
      <c r="E712" s="8">
        <f>'Madine- Conversion'!D78</f>
        <v/>
      </c>
      <c r="F712" s="8">
        <f>'Madine- Conversion'!E78</f>
        <v/>
      </c>
      <c r="G712" s="9">
        <f>'Madine- Conversion'!F78</f>
        <v/>
      </c>
      <c r="H712" s="8">
        <f>'Madine- Conversion'!G78</f>
        <v/>
      </c>
      <c r="I712" s="10">
        <f>'Madine- Conversion'!H78</f>
        <v/>
      </c>
      <c r="J712" s="10">
        <f>'Madine- Conversion'!I78</f>
        <v/>
      </c>
      <c r="K712" s="11">
        <f>'Madine- Conversion'!J78</f>
        <v/>
      </c>
      <c r="L712" s="12">
        <f>'Madine- Conversion'!K78</f>
        <v/>
      </c>
      <c r="M712" s="11">
        <f>'Madine- Conversion'!N78</f>
        <v/>
      </c>
      <c r="N712" s="8">
        <f>'Madine- Conversion'!O78</f>
        <v/>
      </c>
      <c r="O712" s="8">
        <f>'Madine- Conversion'!P78</f>
        <v/>
      </c>
    </row>
    <row r="713" ht="18" customHeight="1" s="96">
      <c r="A713" s="2" t="inlineStr">
        <is>
          <t>Person A</t>
        </is>
      </c>
      <c r="B713" s="2">
        <f>'Madine- Conversion'!A79</f>
        <v/>
      </c>
      <c r="C713" s="3">
        <f>'Madine- Conversion'!B79</f>
        <v/>
      </c>
      <c r="D713" s="3">
        <f>'Madine- Conversion'!C79</f>
        <v/>
      </c>
      <c r="E713" s="3">
        <f>'Madine- Conversion'!D79</f>
        <v/>
      </c>
      <c r="F713" s="3">
        <f>'Madine- Conversion'!E79</f>
        <v/>
      </c>
      <c r="G713" s="4">
        <f>'Madine- Conversion'!F79</f>
        <v/>
      </c>
      <c r="H713" s="3">
        <f>'Madine- Conversion'!G79</f>
        <v/>
      </c>
      <c r="I713" s="5">
        <f>'Madine- Conversion'!H79</f>
        <v/>
      </c>
      <c r="J713" s="5">
        <f>'Madine- Conversion'!I79</f>
        <v/>
      </c>
      <c r="K713" s="6">
        <f>'Madine- Conversion'!J79</f>
        <v/>
      </c>
      <c r="L713" s="13">
        <f>'Madine- Conversion'!K79</f>
        <v/>
      </c>
      <c r="M713" s="6">
        <f>'Madine- Conversion'!N79</f>
        <v/>
      </c>
      <c r="N713" s="3">
        <f>'Madine- Conversion'!O79</f>
        <v/>
      </c>
      <c r="O713" s="3">
        <f>'Madine- Conversion'!P79</f>
        <v/>
      </c>
    </row>
    <row r="714" ht="18" customHeight="1" s="96">
      <c r="A714" s="93" t="inlineStr">
        <is>
          <t>Person A</t>
        </is>
      </c>
      <c r="B714" s="93">
        <f>'Madine- Conversion'!A80</f>
        <v/>
      </c>
      <c r="C714" s="8">
        <f>'Madine- Conversion'!B80</f>
        <v/>
      </c>
      <c r="D714" s="8">
        <f>'Madine- Conversion'!C80</f>
        <v/>
      </c>
      <c r="E714" s="8">
        <f>'Madine- Conversion'!D80</f>
        <v/>
      </c>
      <c r="F714" s="8">
        <f>'Madine- Conversion'!E80</f>
        <v/>
      </c>
      <c r="G714" s="9">
        <f>'Madine- Conversion'!F80</f>
        <v/>
      </c>
      <c r="H714" s="8">
        <f>'Madine- Conversion'!G80</f>
        <v/>
      </c>
      <c r="I714" s="10">
        <f>'Madine- Conversion'!H80</f>
        <v/>
      </c>
      <c r="J714" s="10">
        <f>'Madine- Conversion'!I80</f>
        <v/>
      </c>
      <c r="K714" s="11">
        <f>'Madine- Conversion'!J80</f>
        <v/>
      </c>
      <c r="L714" s="12">
        <f>'Madine- Conversion'!K80</f>
        <v/>
      </c>
      <c r="M714" s="11">
        <f>'Madine- Conversion'!N80</f>
        <v/>
      </c>
      <c r="N714" s="8">
        <f>'Madine- Conversion'!O80</f>
        <v/>
      </c>
      <c r="O714" s="8">
        <f>'Madine- Conversion'!P80</f>
        <v/>
      </c>
    </row>
    <row r="715" ht="18" customHeight="1" s="96">
      <c r="A715" s="2" t="inlineStr">
        <is>
          <t>Person A</t>
        </is>
      </c>
      <c r="B715" s="2">
        <f>'Madine- Conversion'!A81</f>
        <v/>
      </c>
      <c r="C715" s="3">
        <f>'Madine- Conversion'!B81</f>
        <v/>
      </c>
      <c r="D715" s="3">
        <f>'Madine- Conversion'!C81</f>
        <v/>
      </c>
      <c r="E715" s="3">
        <f>'Madine- Conversion'!D81</f>
        <v/>
      </c>
      <c r="F715" s="3">
        <f>'Madine- Conversion'!E81</f>
        <v/>
      </c>
      <c r="G715" s="4">
        <f>'Madine- Conversion'!F81</f>
        <v/>
      </c>
      <c r="H715" s="3">
        <f>'Madine- Conversion'!G81</f>
        <v/>
      </c>
      <c r="I715" s="5">
        <f>'Madine- Conversion'!H81</f>
        <v/>
      </c>
      <c r="J715" s="5">
        <f>'Madine- Conversion'!I81</f>
        <v/>
      </c>
      <c r="K715" s="6">
        <f>'Madine- Conversion'!J81</f>
        <v/>
      </c>
      <c r="L715" s="13">
        <f>'Madine- Conversion'!K81</f>
        <v/>
      </c>
      <c r="M715" s="6">
        <f>'Madine- Conversion'!N81</f>
        <v/>
      </c>
      <c r="N715" s="3">
        <f>'Madine- Conversion'!O81</f>
        <v/>
      </c>
      <c r="O715" s="3">
        <f>'Madine- Conversion'!P81</f>
        <v/>
      </c>
    </row>
    <row r="716" ht="18" customHeight="1" s="96">
      <c r="A716" s="93" t="inlineStr">
        <is>
          <t>Person A</t>
        </is>
      </c>
      <c r="B716" s="93">
        <f>'Madine- Conversion'!A82</f>
        <v/>
      </c>
      <c r="C716" s="8">
        <f>'Madine- Conversion'!B82</f>
        <v/>
      </c>
      <c r="D716" s="8">
        <f>'Madine- Conversion'!C82</f>
        <v/>
      </c>
      <c r="E716" s="8">
        <f>'Madine- Conversion'!D82</f>
        <v/>
      </c>
      <c r="F716" s="8">
        <f>'Madine- Conversion'!E82</f>
        <v/>
      </c>
      <c r="G716" s="9">
        <f>'Madine- Conversion'!F82</f>
        <v/>
      </c>
      <c r="H716" s="8">
        <f>'Madine- Conversion'!G82</f>
        <v/>
      </c>
      <c r="I716" s="10">
        <f>'Madine- Conversion'!H82</f>
        <v/>
      </c>
      <c r="J716" s="10">
        <f>'Madine- Conversion'!I82</f>
        <v/>
      </c>
      <c r="K716" s="11">
        <f>'Madine- Conversion'!J82</f>
        <v/>
      </c>
      <c r="L716" s="12">
        <f>'Madine- Conversion'!K82</f>
        <v/>
      </c>
      <c r="M716" s="11">
        <f>'Madine- Conversion'!N82</f>
        <v/>
      </c>
      <c r="N716" s="8">
        <f>'Madine- Conversion'!O82</f>
        <v/>
      </c>
      <c r="O716" s="8">
        <f>'Madine- Conversion'!P82</f>
        <v/>
      </c>
    </row>
    <row r="717" ht="18" customHeight="1" s="96">
      <c r="A717" s="2" t="inlineStr">
        <is>
          <t>Person A</t>
        </is>
      </c>
      <c r="B717" s="2">
        <f>'Madine- Conversion'!A83</f>
        <v/>
      </c>
      <c r="C717" s="3">
        <f>'Madine- Conversion'!B83</f>
        <v/>
      </c>
      <c r="D717" s="3">
        <f>'Madine- Conversion'!C83</f>
        <v/>
      </c>
      <c r="E717" s="3">
        <f>'Madine- Conversion'!D83</f>
        <v/>
      </c>
      <c r="F717" s="3">
        <f>'Madine- Conversion'!E83</f>
        <v/>
      </c>
      <c r="G717" s="4">
        <f>'Madine- Conversion'!F83</f>
        <v/>
      </c>
      <c r="H717" s="3">
        <f>'Madine- Conversion'!G83</f>
        <v/>
      </c>
      <c r="I717" s="5">
        <f>'Madine- Conversion'!H83</f>
        <v/>
      </c>
      <c r="J717" s="5">
        <f>'Madine- Conversion'!I83</f>
        <v/>
      </c>
      <c r="K717" s="6">
        <f>'Madine- Conversion'!J83</f>
        <v/>
      </c>
      <c r="L717" s="13">
        <f>'Madine- Conversion'!K83</f>
        <v/>
      </c>
      <c r="M717" s="6">
        <f>'Madine- Conversion'!N83</f>
        <v/>
      </c>
      <c r="N717" s="3">
        <f>'Madine- Conversion'!O83</f>
        <v/>
      </c>
      <c r="O717" s="3">
        <f>'Madine- Conversion'!P83</f>
        <v/>
      </c>
    </row>
    <row r="718" ht="18" customHeight="1" s="96">
      <c r="A718" s="93" t="inlineStr">
        <is>
          <t>Person A</t>
        </is>
      </c>
      <c r="B718" s="93">
        <f>'Madine- Conversion'!A84</f>
        <v/>
      </c>
      <c r="C718" s="8">
        <f>'Madine- Conversion'!B84</f>
        <v/>
      </c>
      <c r="D718" s="8">
        <f>'Madine- Conversion'!C84</f>
        <v/>
      </c>
      <c r="E718" s="8">
        <f>'Madine- Conversion'!D84</f>
        <v/>
      </c>
      <c r="F718" s="8">
        <f>'Madine- Conversion'!E84</f>
        <v/>
      </c>
      <c r="G718" s="9">
        <f>'Madine- Conversion'!F84</f>
        <v/>
      </c>
      <c r="H718" s="8">
        <f>'Madine- Conversion'!G84</f>
        <v/>
      </c>
      <c r="I718" s="10">
        <f>'Madine- Conversion'!H84</f>
        <v/>
      </c>
      <c r="J718" s="10">
        <f>'Madine- Conversion'!I84</f>
        <v/>
      </c>
      <c r="K718" s="11">
        <f>'Madine- Conversion'!J84</f>
        <v/>
      </c>
      <c r="L718" s="12">
        <f>'Madine- Conversion'!K84</f>
        <v/>
      </c>
      <c r="M718" s="11">
        <f>'Madine- Conversion'!N84</f>
        <v/>
      </c>
      <c r="N718" s="8">
        <f>'Madine- Conversion'!O84</f>
        <v/>
      </c>
      <c r="O718" s="8">
        <f>'Madine- Conversion'!P84</f>
        <v/>
      </c>
    </row>
    <row r="719" ht="18" customHeight="1" s="96">
      <c r="A719" s="2" t="inlineStr">
        <is>
          <t>Person A</t>
        </is>
      </c>
      <c r="B719" s="2">
        <f>'Madine- Conversion'!A85</f>
        <v/>
      </c>
      <c r="C719" s="3">
        <f>'Madine- Conversion'!B85</f>
        <v/>
      </c>
      <c r="D719" s="3">
        <f>'Madine- Conversion'!C85</f>
        <v/>
      </c>
      <c r="E719" s="3">
        <f>'Madine- Conversion'!D85</f>
        <v/>
      </c>
      <c r="F719" s="3">
        <f>'Madine- Conversion'!E85</f>
        <v/>
      </c>
      <c r="G719" s="4">
        <f>'Madine- Conversion'!F85</f>
        <v/>
      </c>
      <c r="H719" s="3">
        <f>'Madine- Conversion'!G85</f>
        <v/>
      </c>
      <c r="I719" s="5">
        <f>'Madine- Conversion'!H85</f>
        <v/>
      </c>
      <c r="J719" s="5">
        <f>'Madine- Conversion'!I85</f>
        <v/>
      </c>
      <c r="K719" s="6">
        <f>'Madine- Conversion'!J85</f>
        <v/>
      </c>
      <c r="L719" s="13">
        <f>'Madine- Conversion'!K85</f>
        <v/>
      </c>
      <c r="M719" s="6">
        <f>'Madine- Conversion'!N85</f>
        <v/>
      </c>
      <c r="N719" s="3">
        <f>'Madine- Conversion'!O85</f>
        <v/>
      </c>
      <c r="O719" s="3">
        <f>'Madine- Conversion'!P85</f>
        <v/>
      </c>
    </row>
    <row r="720" ht="18" customHeight="1" s="96">
      <c r="A720" s="93" t="inlineStr">
        <is>
          <t>Person A</t>
        </is>
      </c>
      <c r="B720" s="93">
        <f>'Madine- Conversion'!A86</f>
        <v/>
      </c>
      <c r="C720" s="8">
        <f>'Madine- Conversion'!B86</f>
        <v/>
      </c>
      <c r="D720" s="8">
        <f>'Madine- Conversion'!C86</f>
        <v/>
      </c>
      <c r="E720" s="8">
        <f>'Madine- Conversion'!D86</f>
        <v/>
      </c>
      <c r="F720" s="8">
        <f>'Madine- Conversion'!E86</f>
        <v/>
      </c>
      <c r="G720" s="9">
        <f>'Madine- Conversion'!F86</f>
        <v/>
      </c>
      <c r="H720" s="8">
        <f>'Madine- Conversion'!G86</f>
        <v/>
      </c>
      <c r="I720" s="10">
        <f>'Madine- Conversion'!H86</f>
        <v/>
      </c>
      <c r="J720" s="10">
        <f>'Madine- Conversion'!I86</f>
        <v/>
      </c>
      <c r="K720" s="11">
        <f>'Madine- Conversion'!J86</f>
        <v/>
      </c>
      <c r="L720" s="12">
        <f>'Madine- Conversion'!K86</f>
        <v/>
      </c>
      <c r="M720" s="11">
        <f>'Madine- Conversion'!N86</f>
        <v/>
      </c>
      <c r="N720" s="8">
        <f>'Madine- Conversion'!O86</f>
        <v/>
      </c>
      <c r="O720" s="8">
        <f>'Madine- Conversion'!P86</f>
        <v/>
      </c>
    </row>
    <row r="721" ht="18" customHeight="1" s="96">
      <c r="A721" s="2" t="inlineStr">
        <is>
          <t>Person A</t>
        </is>
      </c>
      <c r="B721" s="2">
        <f>'Madine- Conversion'!A87</f>
        <v/>
      </c>
      <c r="C721" s="3">
        <f>'Madine- Conversion'!B87</f>
        <v/>
      </c>
      <c r="D721" s="3">
        <f>'Madine- Conversion'!C87</f>
        <v/>
      </c>
      <c r="E721" s="3">
        <f>'Madine- Conversion'!D87</f>
        <v/>
      </c>
      <c r="F721" s="3">
        <f>'Madine- Conversion'!E87</f>
        <v/>
      </c>
      <c r="G721" s="4">
        <f>'Madine- Conversion'!F87</f>
        <v/>
      </c>
      <c r="H721" s="3">
        <f>'Madine- Conversion'!G87</f>
        <v/>
      </c>
      <c r="I721" s="5">
        <f>'Madine- Conversion'!H87</f>
        <v/>
      </c>
      <c r="J721" s="5">
        <f>'Madine- Conversion'!I87</f>
        <v/>
      </c>
      <c r="K721" s="6">
        <f>'Madine- Conversion'!J87</f>
        <v/>
      </c>
      <c r="L721" s="13">
        <f>'Madine- Conversion'!K87</f>
        <v/>
      </c>
      <c r="M721" s="6">
        <f>'Madine- Conversion'!N87</f>
        <v/>
      </c>
      <c r="N721" s="3">
        <f>'Madine- Conversion'!O87</f>
        <v/>
      </c>
      <c r="O721" s="3">
        <f>'Madine- Conversion'!P87</f>
        <v/>
      </c>
    </row>
    <row r="722" ht="18" customHeight="1" s="96">
      <c r="A722" s="93" t="inlineStr">
        <is>
          <t>Person A</t>
        </is>
      </c>
      <c r="B722" s="93">
        <f>'Madine- Conversion'!A88</f>
        <v/>
      </c>
      <c r="C722" s="8">
        <f>'Madine- Conversion'!B88</f>
        <v/>
      </c>
      <c r="D722" s="8">
        <f>'Madine- Conversion'!C88</f>
        <v/>
      </c>
      <c r="E722" s="8">
        <f>'Madine- Conversion'!D88</f>
        <v/>
      </c>
      <c r="F722" s="8">
        <f>'Madine- Conversion'!E88</f>
        <v/>
      </c>
      <c r="G722" s="9">
        <f>'Madine- Conversion'!F88</f>
        <v/>
      </c>
      <c r="H722" s="8">
        <f>'Madine- Conversion'!G88</f>
        <v/>
      </c>
      <c r="I722" s="10">
        <f>'Madine- Conversion'!H88</f>
        <v/>
      </c>
      <c r="J722" s="10">
        <f>'Madine- Conversion'!I88</f>
        <v/>
      </c>
      <c r="K722" s="11">
        <f>'Madine- Conversion'!J88</f>
        <v/>
      </c>
      <c r="L722" s="12">
        <f>'Madine- Conversion'!K88</f>
        <v/>
      </c>
      <c r="M722" s="11">
        <f>'Madine- Conversion'!N88</f>
        <v/>
      </c>
      <c r="N722" s="8">
        <f>'Madine- Conversion'!O88</f>
        <v/>
      </c>
      <c r="O722" s="8">
        <f>'Madine- Conversion'!P88</f>
        <v/>
      </c>
    </row>
    <row r="723" ht="18" customHeight="1" s="96">
      <c r="A723" s="2" t="inlineStr">
        <is>
          <t>Person A</t>
        </is>
      </c>
      <c r="B723" s="2">
        <f>'Madine- Conversion'!A89</f>
        <v/>
      </c>
      <c r="C723" s="3">
        <f>'Madine- Conversion'!B89</f>
        <v/>
      </c>
      <c r="D723" s="3">
        <f>'Madine- Conversion'!C89</f>
        <v/>
      </c>
      <c r="E723" s="3">
        <f>'Madine- Conversion'!D89</f>
        <v/>
      </c>
      <c r="F723" s="3">
        <f>'Madine- Conversion'!E89</f>
        <v/>
      </c>
      <c r="G723" s="4">
        <f>'Madine- Conversion'!F89</f>
        <v/>
      </c>
      <c r="H723" s="3">
        <f>'Madine- Conversion'!G89</f>
        <v/>
      </c>
      <c r="I723" s="5">
        <f>'Madine- Conversion'!H89</f>
        <v/>
      </c>
      <c r="J723" s="5">
        <f>'Madine- Conversion'!I89</f>
        <v/>
      </c>
      <c r="K723" s="6">
        <f>'Madine- Conversion'!J89</f>
        <v/>
      </c>
      <c r="L723" s="13">
        <f>'Madine- Conversion'!K89</f>
        <v/>
      </c>
      <c r="M723" s="6">
        <f>'Madine- Conversion'!N89</f>
        <v/>
      </c>
      <c r="N723" s="3">
        <f>'Madine- Conversion'!O89</f>
        <v/>
      </c>
      <c r="O723" s="3">
        <f>'Madine- Conversion'!P89</f>
        <v/>
      </c>
    </row>
    <row r="724" ht="18" customHeight="1" s="96">
      <c r="A724" s="93" t="inlineStr">
        <is>
          <t>Person A</t>
        </is>
      </c>
      <c r="B724" s="93">
        <f>'Madine- Conversion'!A90</f>
        <v/>
      </c>
      <c r="C724" s="8">
        <f>'Madine- Conversion'!B90</f>
        <v/>
      </c>
      <c r="D724" s="8">
        <f>'Madine- Conversion'!C90</f>
        <v/>
      </c>
      <c r="E724" s="8">
        <f>'Madine- Conversion'!D90</f>
        <v/>
      </c>
      <c r="F724" s="8">
        <f>'Madine- Conversion'!E90</f>
        <v/>
      </c>
      <c r="G724" s="9">
        <f>'Madine- Conversion'!F90</f>
        <v/>
      </c>
      <c r="H724" s="8">
        <f>'Madine- Conversion'!G90</f>
        <v/>
      </c>
      <c r="I724" s="10">
        <f>'Madine- Conversion'!H90</f>
        <v/>
      </c>
      <c r="J724" s="10">
        <f>'Madine- Conversion'!I90</f>
        <v/>
      </c>
      <c r="K724" s="11">
        <f>'Madine- Conversion'!J90</f>
        <v/>
      </c>
      <c r="L724" s="12">
        <f>'Madine- Conversion'!K90</f>
        <v/>
      </c>
      <c r="M724" s="11">
        <f>'Madine- Conversion'!N90</f>
        <v/>
      </c>
      <c r="N724" s="8">
        <f>'Madine- Conversion'!O90</f>
        <v/>
      </c>
      <c r="O724" s="8">
        <f>'Madine- Conversion'!P90</f>
        <v/>
      </c>
    </row>
    <row r="725" ht="18" customHeight="1" s="96">
      <c r="A725" s="2" t="inlineStr">
        <is>
          <t>Person A</t>
        </is>
      </c>
      <c r="B725" s="2">
        <f>'Madine- Conversion'!A91</f>
        <v/>
      </c>
      <c r="C725" s="3">
        <f>'Madine- Conversion'!B91</f>
        <v/>
      </c>
      <c r="D725" s="3">
        <f>'Madine- Conversion'!C91</f>
        <v/>
      </c>
      <c r="E725" s="3">
        <f>'Madine- Conversion'!D91</f>
        <v/>
      </c>
      <c r="F725" s="3">
        <f>'Madine- Conversion'!E91</f>
        <v/>
      </c>
      <c r="G725" s="4">
        <f>'Madine- Conversion'!F91</f>
        <v/>
      </c>
      <c r="H725" s="3">
        <f>'Madine- Conversion'!G91</f>
        <v/>
      </c>
      <c r="I725" s="5">
        <f>'Madine- Conversion'!H91</f>
        <v/>
      </c>
      <c r="J725" s="5">
        <f>'Madine- Conversion'!I91</f>
        <v/>
      </c>
      <c r="K725" s="6">
        <f>'Madine- Conversion'!J91</f>
        <v/>
      </c>
      <c r="L725" s="13">
        <f>'Madine- Conversion'!K91</f>
        <v/>
      </c>
      <c r="M725" s="6">
        <f>'Madine- Conversion'!N91</f>
        <v/>
      </c>
      <c r="N725" s="3">
        <f>'Madine- Conversion'!O91</f>
        <v/>
      </c>
      <c r="O725" s="3">
        <f>'Madine- Conversion'!P91</f>
        <v/>
      </c>
    </row>
    <row r="726" ht="18" customHeight="1" s="96">
      <c r="A726" s="93" t="inlineStr">
        <is>
          <t>Person A</t>
        </is>
      </c>
      <c r="B726" s="93">
        <f>'Madine- Conversion'!A92</f>
        <v/>
      </c>
      <c r="C726" s="8">
        <f>'Madine- Conversion'!B92</f>
        <v/>
      </c>
      <c r="D726" s="8">
        <f>'Madine- Conversion'!C92</f>
        <v/>
      </c>
      <c r="E726" s="8">
        <f>'Madine- Conversion'!D92</f>
        <v/>
      </c>
      <c r="F726" s="8">
        <f>'Madine- Conversion'!E92</f>
        <v/>
      </c>
      <c r="G726" s="9">
        <f>'Madine- Conversion'!F92</f>
        <v/>
      </c>
      <c r="H726" s="8">
        <f>'Madine- Conversion'!G92</f>
        <v/>
      </c>
      <c r="I726" s="10">
        <f>'Madine- Conversion'!H92</f>
        <v/>
      </c>
      <c r="J726" s="10">
        <f>'Madine- Conversion'!I92</f>
        <v/>
      </c>
      <c r="K726" s="11">
        <f>'Madine- Conversion'!J92</f>
        <v/>
      </c>
      <c r="L726" s="12">
        <f>'Madine- Conversion'!K92</f>
        <v/>
      </c>
      <c r="M726" s="11">
        <f>'Madine- Conversion'!N92</f>
        <v/>
      </c>
      <c r="N726" s="8">
        <f>'Madine- Conversion'!O92</f>
        <v/>
      </c>
      <c r="O726" s="8">
        <f>'Madine- Conversion'!P92</f>
        <v/>
      </c>
    </row>
    <row r="727" ht="18" customHeight="1" s="96">
      <c r="A727" s="2" t="inlineStr">
        <is>
          <t>Person A</t>
        </is>
      </c>
      <c r="B727" s="2">
        <f>'Madine- Conversion'!A93</f>
        <v/>
      </c>
      <c r="C727" s="3">
        <f>'Madine- Conversion'!B93</f>
        <v/>
      </c>
      <c r="D727" s="3">
        <f>'Madine- Conversion'!C93</f>
        <v/>
      </c>
      <c r="E727" s="3">
        <f>'Madine- Conversion'!D93</f>
        <v/>
      </c>
      <c r="F727" s="3">
        <f>'Madine- Conversion'!E93</f>
        <v/>
      </c>
      <c r="G727" s="4">
        <f>'Madine- Conversion'!F93</f>
        <v/>
      </c>
      <c r="H727" s="3">
        <f>'Madine- Conversion'!G93</f>
        <v/>
      </c>
      <c r="I727" s="5">
        <f>'Madine- Conversion'!H93</f>
        <v/>
      </c>
      <c r="J727" s="5">
        <f>'Madine- Conversion'!I93</f>
        <v/>
      </c>
      <c r="K727" s="6">
        <f>'Madine- Conversion'!J93</f>
        <v/>
      </c>
      <c r="L727" s="13">
        <f>'Madine- Conversion'!K93</f>
        <v/>
      </c>
      <c r="M727" s="6">
        <f>'Madine- Conversion'!N93</f>
        <v/>
      </c>
      <c r="N727" s="3">
        <f>'Madine- Conversion'!O93</f>
        <v/>
      </c>
      <c r="O727" s="3">
        <f>'Madine- Conversion'!P93</f>
        <v/>
      </c>
    </row>
    <row r="728" ht="18" customHeight="1" s="96">
      <c r="A728" s="93" t="inlineStr">
        <is>
          <t>Person A</t>
        </is>
      </c>
      <c r="B728" s="93">
        <f>'Madine- Conversion'!A94</f>
        <v/>
      </c>
      <c r="C728" s="8">
        <f>'Madine- Conversion'!B94</f>
        <v/>
      </c>
      <c r="D728" s="8">
        <f>'Madine- Conversion'!C94</f>
        <v/>
      </c>
      <c r="E728" s="8">
        <f>'Madine- Conversion'!D94</f>
        <v/>
      </c>
      <c r="F728" s="8">
        <f>'Madine- Conversion'!E94</f>
        <v/>
      </c>
      <c r="G728" s="9">
        <f>'Madine- Conversion'!F94</f>
        <v/>
      </c>
      <c r="H728" s="8">
        <f>'Madine- Conversion'!G94</f>
        <v/>
      </c>
      <c r="I728" s="10">
        <f>'Madine- Conversion'!H94</f>
        <v/>
      </c>
      <c r="J728" s="10">
        <f>'Madine- Conversion'!I94</f>
        <v/>
      </c>
      <c r="K728" s="11">
        <f>'Madine- Conversion'!J94</f>
        <v/>
      </c>
      <c r="L728" s="12">
        <f>'Madine- Conversion'!K94</f>
        <v/>
      </c>
      <c r="M728" s="11">
        <f>'Madine- Conversion'!N94</f>
        <v/>
      </c>
      <c r="N728" s="8">
        <f>'Madine- Conversion'!O94</f>
        <v/>
      </c>
      <c r="O728" s="8">
        <f>'Madine- Conversion'!P94</f>
        <v/>
      </c>
    </row>
    <row r="729" ht="18" customHeight="1" s="96">
      <c r="A729" s="2" t="inlineStr">
        <is>
          <t>Person A</t>
        </is>
      </c>
      <c r="B729" s="2">
        <f>'Madine- Conversion'!A95</f>
        <v/>
      </c>
      <c r="C729" s="3">
        <f>'Madine- Conversion'!B95</f>
        <v/>
      </c>
      <c r="D729" s="3">
        <f>'Madine- Conversion'!C95</f>
        <v/>
      </c>
      <c r="E729" s="3">
        <f>'Madine- Conversion'!D95</f>
        <v/>
      </c>
      <c r="F729" s="3">
        <f>'Madine- Conversion'!E95</f>
        <v/>
      </c>
      <c r="G729" s="4">
        <f>'Madine- Conversion'!F95</f>
        <v/>
      </c>
      <c r="H729" s="3">
        <f>'Madine- Conversion'!G95</f>
        <v/>
      </c>
      <c r="I729" s="5">
        <f>'Madine- Conversion'!H95</f>
        <v/>
      </c>
      <c r="J729" s="5">
        <f>'Madine- Conversion'!I95</f>
        <v/>
      </c>
      <c r="K729" s="6">
        <f>'Madine- Conversion'!J95</f>
        <v/>
      </c>
      <c r="L729" s="13">
        <f>'Madine- Conversion'!K95</f>
        <v/>
      </c>
      <c r="M729" s="6">
        <f>'Madine- Conversion'!N95</f>
        <v/>
      </c>
      <c r="N729" s="3">
        <f>'Madine- Conversion'!O95</f>
        <v/>
      </c>
      <c r="O729" s="3">
        <f>'Madine- Conversion'!P95</f>
        <v/>
      </c>
    </row>
    <row r="730" ht="18" customHeight="1" s="96">
      <c r="A730" s="93" t="inlineStr">
        <is>
          <t>Person A</t>
        </is>
      </c>
      <c r="B730" s="93">
        <f>'Madine- Conversion'!A96</f>
        <v/>
      </c>
      <c r="C730" s="8">
        <f>'Madine- Conversion'!B96</f>
        <v/>
      </c>
      <c r="D730" s="8">
        <f>'Madine- Conversion'!C96</f>
        <v/>
      </c>
      <c r="E730" s="8">
        <f>'Madine- Conversion'!D96</f>
        <v/>
      </c>
      <c r="F730" s="8">
        <f>'Madine- Conversion'!E96</f>
        <v/>
      </c>
      <c r="G730" s="9">
        <f>'Madine- Conversion'!F96</f>
        <v/>
      </c>
      <c r="H730" s="8">
        <f>'Madine- Conversion'!G96</f>
        <v/>
      </c>
      <c r="I730" s="10">
        <f>'Madine- Conversion'!H96</f>
        <v/>
      </c>
      <c r="J730" s="10">
        <f>'Madine- Conversion'!I96</f>
        <v/>
      </c>
      <c r="K730" s="11">
        <f>'Madine- Conversion'!J96</f>
        <v/>
      </c>
      <c r="L730" s="12">
        <f>'Madine- Conversion'!K96</f>
        <v/>
      </c>
      <c r="M730" s="11">
        <f>'Madine- Conversion'!N96</f>
        <v/>
      </c>
      <c r="N730" s="8">
        <f>'Madine- Conversion'!O96</f>
        <v/>
      </c>
      <c r="O730" s="8">
        <f>'Madine- Conversion'!P96</f>
        <v/>
      </c>
    </row>
    <row r="731" ht="18" customHeight="1" s="96">
      <c r="A731" s="2" t="inlineStr">
        <is>
          <t>Person A</t>
        </is>
      </c>
      <c r="B731" s="2">
        <f>'Madine- Conversion'!A97</f>
        <v/>
      </c>
      <c r="C731" s="3">
        <f>'Madine- Conversion'!B97</f>
        <v/>
      </c>
      <c r="D731" s="3">
        <f>'Madine- Conversion'!C97</f>
        <v/>
      </c>
      <c r="E731" s="3">
        <f>'Madine- Conversion'!D97</f>
        <v/>
      </c>
      <c r="F731" s="3">
        <f>'Madine- Conversion'!E97</f>
        <v/>
      </c>
      <c r="G731" s="4">
        <f>'Madine- Conversion'!F97</f>
        <v/>
      </c>
      <c r="H731" s="3">
        <f>'Madine- Conversion'!G97</f>
        <v/>
      </c>
      <c r="I731" s="5">
        <f>'Madine- Conversion'!H97</f>
        <v/>
      </c>
      <c r="J731" s="5">
        <f>'Madine- Conversion'!I97</f>
        <v/>
      </c>
      <c r="K731" s="6">
        <f>'Madine- Conversion'!J97</f>
        <v/>
      </c>
      <c r="L731" s="13">
        <f>'Madine- Conversion'!K97</f>
        <v/>
      </c>
      <c r="M731" s="6">
        <f>'Madine- Conversion'!N97</f>
        <v/>
      </c>
      <c r="N731" s="3">
        <f>'Madine- Conversion'!O97</f>
        <v/>
      </c>
      <c r="O731" s="3">
        <f>'Madine- Conversion'!P97</f>
        <v/>
      </c>
    </row>
    <row r="732" ht="18" customHeight="1" s="96">
      <c r="A732" s="93" t="inlineStr">
        <is>
          <t>Person A</t>
        </is>
      </c>
      <c r="B732" s="93">
        <f>'Madine- Conversion'!A98</f>
        <v/>
      </c>
      <c r="C732" s="8">
        <f>'Madine- Conversion'!B98</f>
        <v/>
      </c>
      <c r="D732" s="8">
        <f>'Madine- Conversion'!C98</f>
        <v/>
      </c>
      <c r="E732" s="8">
        <f>'Madine- Conversion'!D98</f>
        <v/>
      </c>
      <c r="F732" s="8">
        <f>'Madine- Conversion'!E98</f>
        <v/>
      </c>
      <c r="G732" s="9">
        <f>'Madine- Conversion'!F98</f>
        <v/>
      </c>
      <c r="H732" s="8">
        <f>'Madine- Conversion'!G98</f>
        <v/>
      </c>
      <c r="I732" s="10">
        <f>'Madine- Conversion'!H98</f>
        <v/>
      </c>
      <c r="J732" s="10">
        <f>'Madine- Conversion'!I98</f>
        <v/>
      </c>
      <c r="K732" s="11">
        <f>'Madine- Conversion'!J98</f>
        <v/>
      </c>
      <c r="L732" s="12">
        <f>'Madine- Conversion'!K98</f>
        <v/>
      </c>
      <c r="M732" s="11">
        <f>'Madine- Conversion'!N98</f>
        <v/>
      </c>
      <c r="N732" s="8">
        <f>'Madine- Conversion'!O98</f>
        <v/>
      </c>
      <c r="O732" s="8">
        <f>'Madine- Conversion'!P98</f>
        <v/>
      </c>
    </row>
    <row r="733" ht="18" customHeight="1" s="96">
      <c r="A733" s="2" t="inlineStr">
        <is>
          <t>Person A</t>
        </is>
      </c>
      <c r="B733" s="2">
        <f>'Madine- Conversion'!A99</f>
        <v/>
      </c>
      <c r="C733" s="3">
        <f>'Madine- Conversion'!B99</f>
        <v/>
      </c>
      <c r="D733" s="3">
        <f>'Madine- Conversion'!C99</f>
        <v/>
      </c>
      <c r="E733" s="3">
        <f>'Madine- Conversion'!D99</f>
        <v/>
      </c>
      <c r="F733" s="3">
        <f>'Madine- Conversion'!E99</f>
        <v/>
      </c>
      <c r="G733" s="4">
        <f>'Madine- Conversion'!F99</f>
        <v/>
      </c>
      <c r="H733" s="3">
        <f>'Madine- Conversion'!G99</f>
        <v/>
      </c>
      <c r="I733" s="5">
        <f>'Madine- Conversion'!H99</f>
        <v/>
      </c>
      <c r="J733" s="5">
        <f>'Madine- Conversion'!I99</f>
        <v/>
      </c>
      <c r="K733" s="6">
        <f>'Madine- Conversion'!J99</f>
        <v/>
      </c>
      <c r="L733" s="13">
        <f>'Madine- Conversion'!K99</f>
        <v/>
      </c>
      <c r="M733" s="6">
        <f>'Madine- Conversion'!N99</f>
        <v/>
      </c>
      <c r="N733" s="3">
        <f>'Madine- Conversion'!O99</f>
        <v/>
      </c>
      <c r="O733" s="3">
        <f>'Madine- Conversion'!P99</f>
        <v/>
      </c>
    </row>
    <row r="734" ht="18" customHeight="1" s="96">
      <c r="A734" s="93" t="inlineStr">
        <is>
          <t>Person A</t>
        </is>
      </c>
      <c r="B734" s="93">
        <f>'Madine- Conversion'!A100</f>
        <v/>
      </c>
      <c r="C734" s="8">
        <f>'Madine- Conversion'!B100</f>
        <v/>
      </c>
      <c r="D734" s="8">
        <f>'Madine- Conversion'!C100</f>
        <v/>
      </c>
      <c r="E734" s="8">
        <f>'Madine- Conversion'!D100</f>
        <v/>
      </c>
      <c r="F734" s="8">
        <f>'Madine- Conversion'!E100</f>
        <v/>
      </c>
      <c r="G734" s="9">
        <f>'Madine- Conversion'!F100</f>
        <v/>
      </c>
      <c r="H734" s="8">
        <f>'Madine- Conversion'!G100</f>
        <v/>
      </c>
      <c r="I734" s="10">
        <f>'Madine- Conversion'!H100</f>
        <v/>
      </c>
      <c r="J734" s="10">
        <f>'Madine- Conversion'!I100</f>
        <v/>
      </c>
      <c r="K734" s="11">
        <f>'Madine- Conversion'!J100</f>
        <v/>
      </c>
      <c r="L734" s="12">
        <f>'Madine- Conversion'!K100</f>
        <v/>
      </c>
      <c r="M734" s="11">
        <f>'Madine- Conversion'!N100</f>
        <v/>
      </c>
      <c r="N734" s="8">
        <f>'Madine- Conversion'!O100</f>
        <v/>
      </c>
      <c r="O734" s="8">
        <f>'Madine- Conversion'!P100</f>
        <v/>
      </c>
    </row>
    <row r="735" ht="18" customHeight="1" s="96">
      <c r="A735" s="2" t="inlineStr">
        <is>
          <t>Person A</t>
        </is>
      </c>
      <c r="B735" s="2">
        <f>'Madine- Conversion'!A101</f>
        <v/>
      </c>
      <c r="C735" s="3">
        <f>'Madine- Conversion'!B101</f>
        <v/>
      </c>
      <c r="D735" s="3">
        <f>'Madine- Conversion'!C101</f>
        <v/>
      </c>
      <c r="E735" s="3">
        <f>'Madine- Conversion'!D101</f>
        <v/>
      </c>
      <c r="F735" s="3">
        <f>'Madine- Conversion'!E101</f>
        <v/>
      </c>
      <c r="G735" s="4">
        <f>'Madine- Conversion'!F101</f>
        <v/>
      </c>
      <c r="H735" s="3">
        <f>'Madine- Conversion'!G101</f>
        <v/>
      </c>
      <c r="I735" s="5">
        <f>'Madine- Conversion'!H101</f>
        <v/>
      </c>
      <c r="J735" s="5">
        <f>'Madine- Conversion'!I101</f>
        <v/>
      </c>
      <c r="K735" s="6">
        <f>'Madine- Conversion'!J101</f>
        <v/>
      </c>
      <c r="L735" s="13">
        <f>'Madine- Conversion'!K101</f>
        <v/>
      </c>
      <c r="M735" s="6">
        <f>'Madine- Conversion'!N101</f>
        <v/>
      </c>
      <c r="N735" s="3">
        <f>'Madine- Conversion'!O101</f>
        <v/>
      </c>
      <c r="O735" s="3">
        <f>'Madine- Conversion'!P101</f>
        <v/>
      </c>
    </row>
    <row r="736" ht="18" customHeight="1" s="96">
      <c r="A736" s="93" t="inlineStr">
        <is>
          <t>Person A</t>
        </is>
      </c>
      <c r="B736" s="93">
        <f>'Madine- Conversion'!A102</f>
        <v/>
      </c>
      <c r="C736" s="8">
        <f>'Madine- Conversion'!B102</f>
        <v/>
      </c>
      <c r="D736" s="8">
        <f>'Madine- Conversion'!C102</f>
        <v/>
      </c>
      <c r="E736" s="8">
        <f>'Madine- Conversion'!D102</f>
        <v/>
      </c>
      <c r="F736" s="8">
        <f>'Madine- Conversion'!E102</f>
        <v/>
      </c>
      <c r="G736" s="9">
        <f>'Madine- Conversion'!F102</f>
        <v/>
      </c>
      <c r="H736" s="8">
        <f>'Madine- Conversion'!G102</f>
        <v/>
      </c>
      <c r="I736" s="10">
        <f>'Madine- Conversion'!H102</f>
        <v/>
      </c>
      <c r="J736" s="10">
        <f>'Madine- Conversion'!I102</f>
        <v/>
      </c>
      <c r="K736" s="11">
        <f>'Madine- Conversion'!J102</f>
        <v/>
      </c>
      <c r="L736" s="12">
        <f>'Madine- Conversion'!K102</f>
        <v/>
      </c>
      <c r="M736" s="11">
        <f>'Madine- Conversion'!N102</f>
        <v/>
      </c>
      <c r="N736" s="8">
        <f>'Madine- Conversion'!O102</f>
        <v/>
      </c>
      <c r="O736" s="8">
        <f>'Madine- Conversion'!P102</f>
        <v/>
      </c>
    </row>
    <row r="737" ht="18" customHeight="1" s="96">
      <c r="A737" s="2" t="inlineStr">
        <is>
          <t>Person A</t>
        </is>
      </c>
      <c r="B737" s="2">
        <f>'Madine- Conversion'!A103</f>
        <v/>
      </c>
      <c r="C737" s="3">
        <f>'Madine- Conversion'!B103</f>
        <v/>
      </c>
      <c r="D737" s="3">
        <f>'Madine- Conversion'!C103</f>
        <v/>
      </c>
      <c r="E737" s="3">
        <f>'Madine- Conversion'!D103</f>
        <v/>
      </c>
      <c r="F737" s="3">
        <f>'Madine- Conversion'!E103</f>
        <v/>
      </c>
      <c r="G737" s="4">
        <f>'Madine- Conversion'!F103</f>
        <v/>
      </c>
      <c r="H737" s="3">
        <f>'Madine- Conversion'!G103</f>
        <v/>
      </c>
      <c r="I737" s="5">
        <f>'Madine- Conversion'!H103</f>
        <v/>
      </c>
      <c r="J737" s="5">
        <f>'Madine- Conversion'!I103</f>
        <v/>
      </c>
      <c r="K737" s="6">
        <f>'Madine- Conversion'!J103</f>
        <v/>
      </c>
      <c r="L737" s="13">
        <f>'Madine- Conversion'!K103</f>
        <v/>
      </c>
      <c r="M737" s="6">
        <f>'Madine- Conversion'!N103</f>
        <v/>
      </c>
      <c r="N737" s="3">
        <f>'Madine- Conversion'!O103</f>
        <v/>
      </c>
      <c r="O737" s="3">
        <f>'Madine- Conversion'!P103</f>
        <v/>
      </c>
    </row>
    <row r="738" ht="18" customHeight="1" s="96">
      <c r="A738" s="93" t="inlineStr">
        <is>
          <t>Person A</t>
        </is>
      </c>
      <c r="B738" s="93">
        <f>'Madine- Conversion'!A104</f>
        <v/>
      </c>
      <c r="C738" s="8">
        <f>'Madine- Conversion'!B104</f>
        <v/>
      </c>
      <c r="D738" s="8">
        <f>'Madine- Conversion'!C104</f>
        <v/>
      </c>
      <c r="E738" s="8">
        <f>'Madine- Conversion'!D104</f>
        <v/>
      </c>
      <c r="F738" s="8">
        <f>'Madine- Conversion'!E104</f>
        <v/>
      </c>
      <c r="G738" s="9">
        <f>'Madine- Conversion'!F104</f>
        <v/>
      </c>
      <c r="H738" s="8">
        <f>'Madine- Conversion'!G104</f>
        <v/>
      </c>
      <c r="I738" s="10">
        <f>'Madine- Conversion'!H104</f>
        <v/>
      </c>
      <c r="J738" s="10">
        <f>'Madine- Conversion'!I104</f>
        <v/>
      </c>
      <c r="K738" s="11">
        <f>'Madine- Conversion'!J104</f>
        <v/>
      </c>
      <c r="L738" s="12">
        <f>'Madine- Conversion'!K104</f>
        <v/>
      </c>
      <c r="M738" s="11">
        <f>'Madine- Conversion'!N104</f>
        <v/>
      </c>
      <c r="N738" s="8">
        <f>'Madine- Conversion'!O104</f>
        <v/>
      </c>
      <c r="O738" s="8">
        <f>'Madine- Conversion'!P104</f>
        <v/>
      </c>
    </row>
    <row r="739" ht="18" customHeight="1" s="96">
      <c r="A739" s="2" t="inlineStr">
        <is>
          <t>Person A</t>
        </is>
      </c>
      <c r="B739" s="2">
        <f>'Madine- Conversion'!A105</f>
        <v/>
      </c>
      <c r="C739" s="3">
        <f>'Madine- Conversion'!B105</f>
        <v/>
      </c>
      <c r="D739" s="3">
        <f>'Madine- Conversion'!C105</f>
        <v/>
      </c>
      <c r="E739" s="3">
        <f>'Madine- Conversion'!D105</f>
        <v/>
      </c>
      <c r="F739" s="3">
        <f>'Madine- Conversion'!E105</f>
        <v/>
      </c>
      <c r="G739" s="4">
        <f>'Madine- Conversion'!F105</f>
        <v/>
      </c>
      <c r="H739" s="3">
        <f>'Madine- Conversion'!G105</f>
        <v/>
      </c>
      <c r="I739" s="5">
        <f>'Madine- Conversion'!H105</f>
        <v/>
      </c>
      <c r="J739" s="5">
        <f>'Madine- Conversion'!I105</f>
        <v/>
      </c>
      <c r="K739" s="6">
        <f>'Madine- Conversion'!J105</f>
        <v/>
      </c>
      <c r="L739" s="13">
        <f>'Madine- Conversion'!K105</f>
        <v/>
      </c>
      <c r="M739" s="6">
        <f>'Madine- Conversion'!N105</f>
        <v/>
      </c>
      <c r="N739" s="3">
        <f>'Madine- Conversion'!O105</f>
        <v/>
      </c>
      <c r="O739" s="3">
        <f>'Madine- Conversion'!P105</f>
        <v/>
      </c>
    </row>
    <row r="740" ht="18" customHeight="1" s="96">
      <c r="A740" s="93" t="inlineStr">
        <is>
          <t>Person A</t>
        </is>
      </c>
      <c r="B740" s="93">
        <f>'Madine- Conversion'!A106</f>
        <v/>
      </c>
      <c r="C740" s="8">
        <f>'Madine- Conversion'!B106</f>
        <v/>
      </c>
      <c r="D740" s="8">
        <f>'Madine- Conversion'!C106</f>
        <v/>
      </c>
      <c r="E740" s="8">
        <f>'Madine- Conversion'!D106</f>
        <v/>
      </c>
      <c r="F740" s="8">
        <f>'Madine- Conversion'!E106</f>
        <v/>
      </c>
      <c r="G740" s="9">
        <f>'Madine- Conversion'!F106</f>
        <v/>
      </c>
      <c r="H740" s="8">
        <f>'Madine- Conversion'!G106</f>
        <v/>
      </c>
      <c r="I740" s="10">
        <f>'Madine- Conversion'!H106</f>
        <v/>
      </c>
      <c r="J740" s="10">
        <f>'Madine- Conversion'!I106</f>
        <v/>
      </c>
      <c r="K740" s="11">
        <f>'Madine- Conversion'!J106</f>
        <v/>
      </c>
      <c r="L740" s="12">
        <f>'Madine- Conversion'!K106</f>
        <v/>
      </c>
      <c r="M740" s="11">
        <f>'Madine- Conversion'!N106</f>
        <v/>
      </c>
      <c r="N740" s="8">
        <f>'Madine- Conversion'!O106</f>
        <v/>
      </c>
      <c r="O740" s="8">
        <f>'Madine- Conversion'!P106</f>
        <v/>
      </c>
    </row>
    <row r="741" ht="18" customHeight="1" s="96">
      <c r="A741" s="2" t="inlineStr">
        <is>
          <t>Person A</t>
        </is>
      </c>
      <c r="B741" s="2">
        <f>'Madine- Conversion'!A107</f>
        <v/>
      </c>
      <c r="C741" s="3">
        <f>'Madine- Conversion'!B107</f>
        <v/>
      </c>
      <c r="D741" s="3">
        <f>'Madine- Conversion'!C107</f>
        <v/>
      </c>
      <c r="E741" s="3">
        <f>'Madine- Conversion'!D107</f>
        <v/>
      </c>
      <c r="F741" s="3">
        <f>'Madine- Conversion'!E107</f>
        <v/>
      </c>
      <c r="G741" s="4">
        <f>'Madine- Conversion'!F107</f>
        <v/>
      </c>
      <c r="H741" s="3">
        <f>'Madine- Conversion'!G107</f>
        <v/>
      </c>
      <c r="I741" s="5">
        <f>'Madine- Conversion'!H107</f>
        <v/>
      </c>
      <c r="J741" s="5">
        <f>'Madine- Conversion'!I107</f>
        <v/>
      </c>
      <c r="K741" s="6">
        <f>'Madine- Conversion'!J107</f>
        <v/>
      </c>
      <c r="L741" s="13">
        <f>'Madine- Conversion'!K107</f>
        <v/>
      </c>
      <c r="M741" s="6">
        <f>'Madine- Conversion'!N107</f>
        <v/>
      </c>
      <c r="N741" s="3">
        <f>'Madine- Conversion'!O107</f>
        <v/>
      </c>
      <c r="O741" s="3">
        <f>'Madine- Conversion'!P107</f>
        <v/>
      </c>
    </row>
    <row r="742" ht="18" customHeight="1" s="96">
      <c r="A742" s="93" t="inlineStr">
        <is>
          <t>Person A</t>
        </is>
      </c>
      <c r="B742" s="93">
        <f>'Madine- Conversion'!A108</f>
        <v/>
      </c>
      <c r="C742" s="8">
        <f>'Madine- Conversion'!B108</f>
        <v/>
      </c>
      <c r="D742" s="8">
        <f>'Madine- Conversion'!C108</f>
        <v/>
      </c>
      <c r="E742" s="8">
        <f>'Madine- Conversion'!D108</f>
        <v/>
      </c>
      <c r="F742" s="8">
        <f>'Madine- Conversion'!E108</f>
        <v/>
      </c>
      <c r="G742" s="9">
        <f>'Madine- Conversion'!F108</f>
        <v/>
      </c>
      <c r="H742" s="8">
        <f>'Madine- Conversion'!G108</f>
        <v/>
      </c>
      <c r="I742" s="10">
        <f>'Madine- Conversion'!H108</f>
        <v/>
      </c>
      <c r="J742" s="10">
        <f>'Madine- Conversion'!I108</f>
        <v/>
      </c>
      <c r="K742" s="11">
        <f>'Madine- Conversion'!J108</f>
        <v/>
      </c>
      <c r="L742" s="12">
        <f>'Madine- Conversion'!K108</f>
        <v/>
      </c>
      <c r="M742" s="11">
        <f>'Madine- Conversion'!N108</f>
        <v/>
      </c>
      <c r="N742" s="8">
        <f>'Madine- Conversion'!O108</f>
        <v/>
      </c>
      <c r="O742" s="8">
        <f>'Madine- Conversion'!P108</f>
        <v/>
      </c>
    </row>
    <row r="743" ht="18" customHeight="1" s="96">
      <c r="A743" s="2" t="inlineStr">
        <is>
          <t>Person A</t>
        </is>
      </c>
      <c r="B743" s="2">
        <f>'Madine- Conversion'!A109</f>
        <v/>
      </c>
      <c r="C743" s="3">
        <f>'Madine- Conversion'!B109</f>
        <v/>
      </c>
      <c r="D743" s="3">
        <f>'Madine- Conversion'!C109</f>
        <v/>
      </c>
      <c r="E743" s="3">
        <f>'Madine- Conversion'!D109</f>
        <v/>
      </c>
      <c r="F743" s="3">
        <f>'Madine- Conversion'!E109</f>
        <v/>
      </c>
      <c r="G743" s="4">
        <f>'Madine- Conversion'!F109</f>
        <v/>
      </c>
      <c r="H743" s="3">
        <f>'Madine- Conversion'!G109</f>
        <v/>
      </c>
      <c r="I743" s="5">
        <f>'Madine- Conversion'!H109</f>
        <v/>
      </c>
      <c r="J743" s="5">
        <f>'Madine- Conversion'!I109</f>
        <v/>
      </c>
      <c r="K743" s="6">
        <f>'Madine- Conversion'!J109</f>
        <v/>
      </c>
      <c r="L743" s="13">
        <f>'Madine- Conversion'!K109</f>
        <v/>
      </c>
      <c r="M743" s="6">
        <f>'Madine- Conversion'!N109</f>
        <v/>
      </c>
      <c r="N743" s="3">
        <f>'Madine- Conversion'!O109</f>
        <v/>
      </c>
      <c r="O743" s="3">
        <f>'Madine- Conversion'!P109</f>
        <v/>
      </c>
    </row>
    <row r="744" ht="18" customHeight="1" s="96">
      <c r="A744" s="93" t="inlineStr">
        <is>
          <t>Person A</t>
        </is>
      </c>
      <c r="B744" s="93">
        <f>'Madine- Conversion'!A110</f>
        <v/>
      </c>
      <c r="C744" s="8">
        <f>'Madine- Conversion'!B110</f>
        <v/>
      </c>
      <c r="D744" s="8">
        <f>'Madine- Conversion'!C110</f>
        <v/>
      </c>
      <c r="E744" s="8">
        <f>'Madine- Conversion'!D110</f>
        <v/>
      </c>
      <c r="F744" s="8">
        <f>'Madine- Conversion'!E110</f>
        <v/>
      </c>
      <c r="G744" s="9">
        <f>'Madine- Conversion'!F110</f>
        <v/>
      </c>
      <c r="H744" s="8">
        <f>'Madine- Conversion'!G110</f>
        <v/>
      </c>
      <c r="I744" s="10">
        <f>'Madine- Conversion'!H110</f>
        <v/>
      </c>
      <c r="J744" s="10">
        <f>'Madine- Conversion'!I110</f>
        <v/>
      </c>
      <c r="K744" s="11">
        <f>'Madine- Conversion'!J110</f>
        <v/>
      </c>
      <c r="L744" s="12">
        <f>'Madine- Conversion'!K110</f>
        <v/>
      </c>
      <c r="M744" s="11">
        <f>'Madine- Conversion'!N110</f>
        <v/>
      </c>
      <c r="N744" s="8">
        <f>'Madine- Conversion'!O110</f>
        <v/>
      </c>
      <c r="O744" s="8">
        <f>'Madine- Conversion'!P110</f>
        <v/>
      </c>
    </row>
    <row r="745" ht="18" customHeight="1" s="96">
      <c r="A745" s="2" t="inlineStr">
        <is>
          <t>Person A</t>
        </is>
      </c>
      <c r="B745" s="2">
        <f>'Madine- Conversion'!A111</f>
        <v/>
      </c>
      <c r="C745" s="3">
        <f>'Madine- Conversion'!B111</f>
        <v/>
      </c>
      <c r="D745" s="3">
        <f>'Madine- Conversion'!C111</f>
        <v/>
      </c>
      <c r="E745" s="3">
        <f>'Madine- Conversion'!D111</f>
        <v/>
      </c>
      <c r="F745" s="3">
        <f>'Madine- Conversion'!E111</f>
        <v/>
      </c>
      <c r="G745" s="4">
        <f>'Madine- Conversion'!F111</f>
        <v/>
      </c>
      <c r="H745" s="3">
        <f>'Madine- Conversion'!G111</f>
        <v/>
      </c>
      <c r="I745" s="5">
        <f>'Madine- Conversion'!H111</f>
        <v/>
      </c>
      <c r="J745" s="5">
        <f>'Madine- Conversion'!I111</f>
        <v/>
      </c>
      <c r="K745" s="6">
        <f>'Madine- Conversion'!J111</f>
        <v/>
      </c>
      <c r="L745" s="13">
        <f>'Madine- Conversion'!K111</f>
        <v/>
      </c>
      <c r="M745" s="6">
        <f>'Madine- Conversion'!N111</f>
        <v/>
      </c>
      <c r="N745" s="3">
        <f>'Madine- Conversion'!O111</f>
        <v/>
      </c>
      <c r="O745" s="3">
        <f>'Madine- Conversion'!P111</f>
        <v/>
      </c>
    </row>
    <row r="746" ht="18" customHeight="1" s="96">
      <c r="A746" s="93" t="inlineStr">
        <is>
          <t>Person A</t>
        </is>
      </c>
      <c r="B746" s="93">
        <f>'Madine- Conversion'!A112</f>
        <v/>
      </c>
      <c r="C746" s="8">
        <f>'Madine- Conversion'!B112</f>
        <v/>
      </c>
      <c r="D746" s="8">
        <f>'Madine- Conversion'!C112</f>
        <v/>
      </c>
      <c r="E746" s="8">
        <f>'Madine- Conversion'!D112</f>
        <v/>
      </c>
      <c r="F746" s="8">
        <f>'Madine- Conversion'!E112</f>
        <v/>
      </c>
      <c r="G746" s="9">
        <f>'Madine- Conversion'!F112</f>
        <v/>
      </c>
      <c r="H746" s="8">
        <f>'Madine- Conversion'!G112</f>
        <v/>
      </c>
      <c r="I746" s="10">
        <f>'Madine- Conversion'!H112</f>
        <v/>
      </c>
      <c r="J746" s="10">
        <f>'Madine- Conversion'!I112</f>
        <v/>
      </c>
      <c r="K746" s="11">
        <f>'Madine- Conversion'!J112</f>
        <v/>
      </c>
      <c r="L746" s="12">
        <f>'Madine- Conversion'!K112</f>
        <v/>
      </c>
      <c r="M746" s="11">
        <f>'Madine- Conversion'!N112</f>
        <v/>
      </c>
      <c r="N746" s="8">
        <f>'Madine- Conversion'!O112</f>
        <v/>
      </c>
      <c r="O746" s="8">
        <f>'Madine- Conversion'!P112</f>
        <v/>
      </c>
    </row>
    <row r="747" ht="18" customHeight="1" s="96">
      <c r="A747" s="2" t="inlineStr">
        <is>
          <t>Person A</t>
        </is>
      </c>
      <c r="B747" s="2">
        <f>'Madine- Conversion'!A113</f>
        <v/>
      </c>
      <c r="C747" s="3">
        <f>'Madine- Conversion'!B113</f>
        <v/>
      </c>
      <c r="D747" s="3">
        <f>'Madine- Conversion'!C113</f>
        <v/>
      </c>
      <c r="E747" s="3">
        <f>'Madine- Conversion'!D113</f>
        <v/>
      </c>
      <c r="F747" s="3">
        <f>'Madine- Conversion'!E113</f>
        <v/>
      </c>
      <c r="G747" s="4">
        <f>'Madine- Conversion'!F113</f>
        <v/>
      </c>
      <c r="H747" s="3">
        <f>'Madine- Conversion'!G113</f>
        <v/>
      </c>
      <c r="I747" s="5">
        <f>'Madine- Conversion'!H113</f>
        <v/>
      </c>
      <c r="J747" s="5">
        <f>'Madine- Conversion'!I113</f>
        <v/>
      </c>
      <c r="K747" s="6">
        <f>'Madine- Conversion'!J113</f>
        <v/>
      </c>
      <c r="L747" s="13">
        <f>'Madine- Conversion'!K113</f>
        <v/>
      </c>
      <c r="M747" s="6">
        <f>'Madine- Conversion'!N113</f>
        <v/>
      </c>
      <c r="N747" s="3">
        <f>'Madine- Conversion'!O113</f>
        <v/>
      </c>
      <c r="O747" s="3">
        <f>'Madine- Conversion'!P113</f>
        <v/>
      </c>
    </row>
    <row r="748" ht="18" customHeight="1" s="96">
      <c r="A748" s="93" t="inlineStr">
        <is>
          <t>Person A</t>
        </is>
      </c>
      <c r="B748" s="93">
        <f>'Madine- Conversion'!A114</f>
        <v/>
      </c>
      <c r="C748" s="8">
        <f>'Madine- Conversion'!B114</f>
        <v/>
      </c>
      <c r="D748" s="8">
        <f>'Madine- Conversion'!C114</f>
        <v/>
      </c>
      <c r="E748" s="8">
        <f>'Madine- Conversion'!D114</f>
        <v/>
      </c>
      <c r="F748" s="8">
        <f>'Madine- Conversion'!E114</f>
        <v/>
      </c>
      <c r="G748" s="9">
        <f>'Madine- Conversion'!F114</f>
        <v/>
      </c>
      <c r="H748" s="8">
        <f>'Madine- Conversion'!G114</f>
        <v/>
      </c>
      <c r="I748" s="10">
        <f>'Madine- Conversion'!H114</f>
        <v/>
      </c>
      <c r="J748" s="10">
        <f>'Madine- Conversion'!I114</f>
        <v/>
      </c>
      <c r="K748" s="11">
        <f>'Madine- Conversion'!J114</f>
        <v/>
      </c>
      <c r="L748" s="12">
        <f>'Madine- Conversion'!K114</f>
        <v/>
      </c>
      <c r="M748" s="11">
        <f>'Madine- Conversion'!N114</f>
        <v/>
      </c>
      <c r="N748" s="8">
        <f>'Madine- Conversion'!O114</f>
        <v/>
      </c>
      <c r="O748" s="8">
        <f>'Madine- Conversion'!P114</f>
        <v/>
      </c>
    </row>
    <row r="749" ht="18" customHeight="1" s="96">
      <c r="A749" s="2" t="inlineStr">
        <is>
          <t>Person A</t>
        </is>
      </c>
      <c r="B749" s="2">
        <f>'Madine- Conversion'!A115</f>
        <v/>
      </c>
      <c r="C749" s="3">
        <f>'Madine- Conversion'!B115</f>
        <v/>
      </c>
      <c r="D749" s="3">
        <f>'Madine- Conversion'!C115</f>
        <v/>
      </c>
      <c r="E749" s="3">
        <f>'Madine- Conversion'!D115</f>
        <v/>
      </c>
      <c r="F749" s="3">
        <f>'Madine- Conversion'!E115</f>
        <v/>
      </c>
      <c r="G749" s="4">
        <f>'Madine- Conversion'!F115</f>
        <v/>
      </c>
      <c r="H749" s="3">
        <f>'Madine- Conversion'!G115</f>
        <v/>
      </c>
      <c r="I749" s="5">
        <f>'Madine- Conversion'!H115</f>
        <v/>
      </c>
      <c r="J749" s="5">
        <f>'Madine- Conversion'!I115</f>
        <v/>
      </c>
      <c r="K749" s="6">
        <f>'Madine- Conversion'!J115</f>
        <v/>
      </c>
      <c r="L749" s="13">
        <f>'Madine- Conversion'!K115</f>
        <v/>
      </c>
      <c r="M749" s="6">
        <f>'Madine- Conversion'!N115</f>
        <v/>
      </c>
      <c r="N749" s="3">
        <f>'Madine- Conversion'!O115</f>
        <v/>
      </c>
      <c r="O749" s="3">
        <f>'Madine- Conversion'!P115</f>
        <v/>
      </c>
    </row>
    <row r="750" ht="18" customHeight="1" s="96">
      <c r="A750" s="93" t="inlineStr">
        <is>
          <t>Person A</t>
        </is>
      </c>
      <c r="B750" s="93">
        <f>'Madine- Conversion'!A116</f>
        <v/>
      </c>
      <c r="C750" s="8">
        <f>'Madine- Conversion'!B116</f>
        <v/>
      </c>
      <c r="D750" s="8">
        <f>'Madine- Conversion'!C116</f>
        <v/>
      </c>
      <c r="E750" s="8">
        <f>'Madine- Conversion'!D116</f>
        <v/>
      </c>
      <c r="F750" s="8">
        <f>'Madine- Conversion'!E116</f>
        <v/>
      </c>
      <c r="G750" s="9">
        <f>'Madine- Conversion'!F116</f>
        <v/>
      </c>
      <c r="H750" s="8">
        <f>'Madine- Conversion'!G116</f>
        <v/>
      </c>
      <c r="I750" s="10">
        <f>'Madine- Conversion'!H116</f>
        <v/>
      </c>
      <c r="J750" s="10">
        <f>'Madine- Conversion'!I116</f>
        <v/>
      </c>
      <c r="K750" s="11">
        <f>'Madine- Conversion'!J116</f>
        <v/>
      </c>
      <c r="L750" s="12">
        <f>'Madine- Conversion'!K116</f>
        <v/>
      </c>
      <c r="M750" s="11">
        <f>'Madine- Conversion'!N116</f>
        <v/>
      </c>
      <c r="N750" s="8">
        <f>'Madine- Conversion'!O116</f>
        <v/>
      </c>
      <c r="O750" s="8">
        <f>'Madine- Conversion'!P116</f>
        <v/>
      </c>
    </row>
    <row r="751" ht="18" customHeight="1" s="96">
      <c r="A751" s="2" t="inlineStr">
        <is>
          <t>Person A</t>
        </is>
      </c>
      <c r="B751" s="2">
        <f>'Madine- Conversion'!A117</f>
        <v/>
      </c>
      <c r="C751" s="3">
        <f>'Madine- Conversion'!B117</f>
        <v/>
      </c>
      <c r="D751" s="3">
        <f>'Madine- Conversion'!C117</f>
        <v/>
      </c>
      <c r="E751" s="3">
        <f>'Madine- Conversion'!D117</f>
        <v/>
      </c>
      <c r="F751" s="3">
        <f>'Madine- Conversion'!E117</f>
        <v/>
      </c>
      <c r="G751" s="4">
        <f>'Madine- Conversion'!F117</f>
        <v/>
      </c>
      <c r="H751" s="3">
        <f>'Madine- Conversion'!G117</f>
        <v/>
      </c>
      <c r="I751" s="5">
        <f>'Madine- Conversion'!H117</f>
        <v/>
      </c>
      <c r="J751" s="5">
        <f>'Madine- Conversion'!I117</f>
        <v/>
      </c>
      <c r="K751" s="6">
        <f>'Madine- Conversion'!J117</f>
        <v/>
      </c>
      <c r="L751" s="13">
        <f>'Madine- Conversion'!K117</f>
        <v/>
      </c>
      <c r="M751" s="6">
        <f>'Madine- Conversion'!N117</f>
        <v/>
      </c>
      <c r="N751" s="3">
        <f>'Madine- Conversion'!O117</f>
        <v/>
      </c>
      <c r="O751" s="3">
        <f>'Madine- Conversion'!P117</f>
        <v/>
      </c>
    </row>
    <row r="752" ht="18" customHeight="1" s="96">
      <c r="A752" s="93" t="inlineStr">
        <is>
          <t>Person A</t>
        </is>
      </c>
      <c r="B752" s="93">
        <f>'Madine- Conversion'!A118</f>
        <v/>
      </c>
      <c r="C752" s="8">
        <f>'Madine- Conversion'!B118</f>
        <v/>
      </c>
      <c r="D752" s="8">
        <f>'Madine- Conversion'!C118</f>
        <v/>
      </c>
      <c r="E752" s="8">
        <f>'Madine- Conversion'!D118</f>
        <v/>
      </c>
      <c r="F752" s="8">
        <f>'Madine- Conversion'!E118</f>
        <v/>
      </c>
      <c r="G752" s="9">
        <f>'Madine- Conversion'!F118</f>
        <v/>
      </c>
      <c r="H752" s="8">
        <f>'Madine- Conversion'!G118</f>
        <v/>
      </c>
      <c r="I752" s="10">
        <f>'Madine- Conversion'!H118</f>
        <v/>
      </c>
      <c r="J752" s="10">
        <f>'Madine- Conversion'!I118</f>
        <v/>
      </c>
      <c r="K752" s="11">
        <f>'Madine- Conversion'!J118</f>
        <v/>
      </c>
      <c r="L752" s="12">
        <f>'Madine- Conversion'!K118</f>
        <v/>
      </c>
      <c r="M752" s="11">
        <f>'Madine- Conversion'!N118</f>
        <v/>
      </c>
      <c r="N752" s="8">
        <f>'Madine- Conversion'!O118</f>
        <v/>
      </c>
      <c r="O752" s="8">
        <f>'Madine- Conversion'!P118</f>
        <v/>
      </c>
    </row>
    <row r="753" ht="18" customHeight="1" s="96">
      <c r="A753" s="2" t="inlineStr">
        <is>
          <t>Person A</t>
        </is>
      </c>
      <c r="B753" s="2">
        <f>'Madine- Conversion'!A119</f>
        <v/>
      </c>
      <c r="C753" s="3">
        <f>'Madine- Conversion'!B119</f>
        <v/>
      </c>
      <c r="D753" s="3">
        <f>'Madine- Conversion'!C119</f>
        <v/>
      </c>
      <c r="E753" s="3">
        <f>'Madine- Conversion'!D119</f>
        <v/>
      </c>
      <c r="F753" s="3">
        <f>'Madine- Conversion'!E119</f>
        <v/>
      </c>
      <c r="G753" s="4">
        <f>'Madine- Conversion'!F119</f>
        <v/>
      </c>
      <c r="H753" s="3">
        <f>'Madine- Conversion'!G119</f>
        <v/>
      </c>
      <c r="I753" s="5">
        <f>'Madine- Conversion'!H119</f>
        <v/>
      </c>
      <c r="J753" s="5">
        <f>'Madine- Conversion'!I119</f>
        <v/>
      </c>
      <c r="K753" s="6">
        <f>'Madine- Conversion'!J119</f>
        <v/>
      </c>
      <c r="L753" s="13">
        <f>'Madine- Conversion'!K119</f>
        <v/>
      </c>
      <c r="M753" s="6">
        <f>'Madine- Conversion'!N119</f>
        <v/>
      </c>
      <c r="N753" s="3">
        <f>'Madine- Conversion'!O119</f>
        <v/>
      </c>
      <c r="O753" s="3">
        <f>'Madine- Conversion'!P119</f>
        <v/>
      </c>
    </row>
    <row r="754" ht="18" customHeight="1" s="96">
      <c r="A754" s="93" t="inlineStr">
        <is>
          <t>Person A</t>
        </is>
      </c>
      <c r="B754" s="93">
        <f>'Madine- Conversion'!A120</f>
        <v/>
      </c>
      <c r="C754" s="8">
        <f>'Madine- Conversion'!B120</f>
        <v/>
      </c>
      <c r="D754" s="8">
        <f>'Madine- Conversion'!C120</f>
        <v/>
      </c>
      <c r="E754" s="8">
        <f>'Madine- Conversion'!D120</f>
        <v/>
      </c>
      <c r="F754" s="8">
        <f>'Madine- Conversion'!E120</f>
        <v/>
      </c>
      <c r="G754" s="9">
        <f>'Madine- Conversion'!F120</f>
        <v/>
      </c>
      <c r="H754" s="8">
        <f>'Madine- Conversion'!G120</f>
        <v/>
      </c>
      <c r="I754" s="10">
        <f>'Madine- Conversion'!H120</f>
        <v/>
      </c>
      <c r="J754" s="10">
        <f>'Madine- Conversion'!I120</f>
        <v/>
      </c>
      <c r="K754" s="11">
        <f>'Madine- Conversion'!J120</f>
        <v/>
      </c>
      <c r="L754" s="12">
        <f>'Madine- Conversion'!K120</f>
        <v/>
      </c>
      <c r="M754" s="11">
        <f>'Madine- Conversion'!N120</f>
        <v/>
      </c>
      <c r="N754" s="8">
        <f>'Madine- Conversion'!O120</f>
        <v/>
      </c>
      <c r="O754" s="8">
        <f>'Madine- Conversion'!P120</f>
        <v/>
      </c>
    </row>
    <row r="755" ht="18" customHeight="1" s="96">
      <c r="A755" s="2" t="inlineStr">
        <is>
          <t>Person A</t>
        </is>
      </c>
      <c r="B755" s="2">
        <f>'Madine- Conversion'!A121</f>
        <v/>
      </c>
      <c r="C755" s="3">
        <f>'Madine- Conversion'!B121</f>
        <v/>
      </c>
      <c r="D755" s="3">
        <f>'Madine- Conversion'!C121</f>
        <v/>
      </c>
      <c r="E755" s="3">
        <f>'Madine- Conversion'!D121</f>
        <v/>
      </c>
      <c r="F755" s="3">
        <f>'Madine- Conversion'!E121</f>
        <v/>
      </c>
      <c r="G755" s="4">
        <f>'Madine- Conversion'!F121</f>
        <v/>
      </c>
      <c r="H755" s="3">
        <f>'Madine- Conversion'!G121</f>
        <v/>
      </c>
      <c r="I755" s="5">
        <f>'Madine- Conversion'!H121</f>
        <v/>
      </c>
      <c r="J755" s="5">
        <f>'Madine- Conversion'!I121</f>
        <v/>
      </c>
      <c r="K755" s="6">
        <f>'Madine- Conversion'!J121</f>
        <v/>
      </c>
      <c r="L755" s="13">
        <f>'Madine- Conversion'!K121</f>
        <v/>
      </c>
      <c r="M755" s="6">
        <f>'Madine- Conversion'!N121</f>
        <v/>
      </c>
      <c r="N755" s="3">
        <f>'Madine- Conversion'!O121</f>
        <v/>
      </c>
      <c r="O755" s="3">
        <f>'Madine- Conversion'!P121</f>
        <v/>
      </c>
    </row>
    <row r="756" ht="18" customHeight="1" s="96">
      <c r="A756" s="93" t="inlineStr">
        <is>
          <t>Person A</t>
        </is>
      </c>
      <c r="B756" s="93">
        <f>'Madine- Conversion'!A122</f>
        <v/>
      </c>
      <c r="C756" s="8">
        <f>'Madine- Conversion'!B122</f>
        <v/>
      </c>
      <c r="D756" s="8">
        <f>'Madine- Conversion'!C122</f>
        <v/>
      </c>
      <c r="E756" s="8">
        <f>'Madine- Conversion'!D122</f>
        <v/>
      </c>
      <c r="F756" s="8">
        <f>'Madine- Conversion'!E122</f>
        <v/>
      </c>
      <c r="G756" s="9">
        <f>'Madine- Conversion'!F122</f>
        <v/>
      </c>
      <c r="H756" s="8">
        <f>'Madine- Conversion'!G122</f>
        <v/>
      </c>
      <c r="I756" s="10">
        <f>'Madine- Conversion'!H122</f>
        <v/>
      </c>
      <c r="J756" s="10">
        <f>'Madine- Conversion'!I122</f>
        <v/>
      </c>
      <c r="K756" s="11">
        <f>'Madine- Conversion'!J122</f>
        <v/>
      </c>
      <c r="L756" s="12">
        <f>'Madine- Conversion'!K122</f>
        <v/>
      </c>
      <c r="M756" s="11">
        <f>'Madine- Conversion'!N122</f>
        <v/>
      </c>
      <c r="N756" s="8">
        <f>'Madine- Conversion'!O122</f>
        <v/>
      </c>
      <c r="O756" s="8">
        <f>'Madine- Conversion'!P122</f>
        <v/>
      </c>
    </row>
    <row r="757" ht="18" customHeight="1" s="96">
      <c r="A757" s="2" t="inlineStr">
        <is>
          <t>Person A</t>
        </is>
      </c>
      <c r="B757" s="2">
        <f>'Madine- Conversion'!A123</f>
        <v/>
      </c>
      <c r="C757" s="3">
        <f>'Madine- Conversion'!B123</f>
        <v/>
      </c>
      <c r="D757" s="3">
        <f>'Madine- Conversion'!C123</f>
        <v/>
      </c>
      <c r="E757" s="3">
        <f>'Madine- Conversion'!D123</f>
        <v/>
      </c>
      <c r="F757" s="3">
        <f>'Madine- Conversion'!E123</f>
        <v/>
      </c>
      <c r="G757" s="4">
        <f>'Madine- Conversion'!F123</f>
        <v/>
      </c>
      <c r="H757" s="3">
        <f>'Madine- Conversion'!G123</f>
        <v/>
      </c>
      <c r="I757" s="5">
        <f>'Madine- Conversion'!H123</f>
        <v/>
      </c>
      <c r="J757" s="5">
        <f>'Madine- Conversion'!I123</f>
        <v/>
      </c>
      <c r="K757" s="6">
        <f>'Madine- Conversion'!J123</f>
        <v/>
      </c>
      <c r="L757" s="13">
        <f>'Madine- Conversion'!K123</f>
        <v/>
      </c>
      <c r="M757" s="6">
        <f>'Madine- Conversion'!N123</f>
        <v/>
      </c>
      <c r="N757" s="3">
        <f>'Madine- Conversion'!O123</f>
        <v/>
      </c>
      <c r="O757" s="3">
        <f>'Madine- Conversion'!P123</f>
        <v/>
      </c>
    </row>
    <row r="758" ht="18" customHeight="1" s="96">
      <c r="A758" s="93" t="inlineStr">
        <is>
          <t>Person A</t>
        </is>
      </c>
      <c r="B758" s="93">
        <f>'Madine- Conversion'!A124</f>
        <v/>
      </c>
      <c r="C758" s="8">
        <f>'Madine- Conversion'!B124</f>
        <v/>
      </c>
      <c r="D758" s="8">
        <f>'Madine- Conversion'!C124</f>
        <v/>
      </c>
      <c r="E758" s="8">
        <f>'Madine- Conversion'!D124</f>
        <v/>
      </c>
      <c r="F758" s="8">
        <f>'Madine- Conversion'!E124</f>
        <v/>
      </c>
      <c r="G758" s="9">
        <f>'Madine- Conversion'!F124</f>
        <v/>
      </c>
      <c r="H758" s="8">
        <f>'Madine- Conversion'!G124</f>
        <v/>
      </c>
      <c r="I758" s="10">
        <f>'Madine- Conversion'!H124</f>
        <v/>
      </c>
      <c r="J758" s="10">
        <f>'Madine- Conversion'!I124</f>
        <v/>
      </c>
      <c r="K758" s="11">
        <f>'Madine- Conversion'!J124</f>
        <v/>
      </c>
      <c r="L758" s="12">
        <f>'Madine- Conversion'!K124</f>
        <v/>
      </c>
      <c r="M758" s="11">
        <f>'Madine- Conversion'!N124</f>
        <v/>
      </c>
      <c r="N758" s="8">
        <f>'Madine- Conversion'!O124</f>
        <v/>
      </c>
      <c r="O758" s="8">
        <f>'Madine- Conversion'!P124</f>
        <v/>
      </c>
    </row>
    <row r="759" ht="18" customHeight="1" s="96">
      <c r="A759" s="2" t="inlineStr">
        <is>
          <t>Person A</t>
        </is>
      </c>
      <c r="B759" s="2">
        <f>'Madine- Conversion'!A125</f>
        <v/>
      </c>
      <c r="C759" s="3">
        <f>'Madine- Conversion'!B125</f>
        <v/>
      </c>
      <c r="D759" s="3">
        <f>'Madine- Conversion'!C125</f>
        <v/>
      </c>
      <c r="E759" s="3">
        <f>'Madine- Conversion'!D125</f>
        <v/>
      </c>
      <c r="F759" s="3">
        <f>'Madine- Conversion'!E125</f>
        <v/>
      </c>
      <c r="G759" s="4">
        <f>'Madine- Conversion'!F125</f>
        <v/>
      </c>
      <c r="H759" s="3">
        <f>'Madine- Conversion'!G125</f>
        <v/>
      </c>
      <c r="I759" s="5">
        <f>'Madine- Conversion'!H125</f>
        <v/>
      </c>
      <c r="J759" s="5">
        <f>'Madine- Conversion'!I125</f>
        <v/>
      </c>
      <c r="K759" s="6">
        <f>'Madine- Conversion'!J125</f>
        <v/>
      </c>
      <c r="L759" s="13">
        <f>'Madine- Conversion'!K125</f>
        <v/>
      </c>
      <c r="M759" s="6">
        <f>'Madine- Conversion'!N125</f>
        <v/>
      </c>
      <c r="N759" s="3">
        <f>'Madine- Conversion'!O125</f>
        <v/>
      </c>
      <c r="O759" s="3">
        <f>'Madine- Conversion'!P125</f>
        <v/>
      </c>
    </row>
    <row r="760" ht="18" customHeight="1" s="96">
      <c r="A760" s="93" t="inlineStr">
        <is>
          <t>Person A</t>
        </is>
      </c>
      <c r="B760" s="93">
        <f>'Madine- Conversion'!A126</f>
        <v/>
      </c>
      <c r="C760" s="8">
        <f>'Madine- Conversion'!B126</f>
        <v/>
      </c>
      <c r="D760" s="8">
        <f>'Madine- Conversion'!C126</f>
        <v/>
      </c>
      <c r="E760" s="8">
        <f>'Madine- Conversion'!D126</f>
        <v/>
      </c>
      <c r="F760" s="8">
        <f>'Madine- Conversion'!E126</f>
        <v/>
      </c>
      <c r="G760" s="9">
        <f>'Madine- Conversion'!F126</f>
        <v/>
      </c>
      <c r="H760" s="8">
        <f>'Madine- Conversion'!G126</f>
        <v/>
      </c>
      <c r="I760" s="10">
        <f>'Madine- Conversion'!H126</f>
        <v/>
      </c>
      <c r="J760" s="10">
        <f>'Madine- Conversion'!I126</f>
        <v/>
      </c>
      <c r="K760" s="11">
        <f>'Madine- Conversion'!J126</f>
        <v/>
      </c>
      <c r="L760" s="12">
        <f>'Madine- Conversion'!K126</f>
        <v/>
      </c>
      <c r="M760" s="11">
        <f>'Madine- Conversion'!N126</f>
        <v/>
      </c>
      <c r="N760" s="8">
        <f>'Madine- Conversion'!O126</f>
        <v/>
      </c>
      <c r="O760" s="8">
        <f>'Madine- Conversion'!P126</f>
        <v/>
      </c>
    </row>
    <row r="761" ht="18" customHeight="1" s="96">
      <c r="A761" s="2" t="inlineStr">
        <is>
          <t>Person A</t>
        </is>
      </c>
      <c r="B761" s="2">
        <f>'Madine- Conversion'!A127</f>
        <v/>
      </c>
      <c r="C761" s="3">
        <f>'Madine- Conversion'!B127</f>
        <v/>
      </c>
      <c r="D761" s="3">
        <f>'Madine- Conversion'!C127</f>
        <v/>
      </c>
      <c r="E761" s="3">
        <f>'Madine- Conversion'!D127</f>
        <v/>
      </c>
      <c r="F761" s="3">
        <f>'Madine- Conversion'!E127</f>
        <v/>
      </c>
      <c r="G761" s="4">
        <f>'Madine- Conversion'!F127</f>
        <v/>
      </c>
      <c r="H761" s="3">
        <f>'Madine- Conversion'!G127</f>
        <v/>
      </c>
      <c r="I761" s="5">
        <f>'Madine- Conversion'!H127</f>
        <v/>
      </c>
      <c r="J761" s="5">
        <f>'Madine- Conversion'!I127</f>
        <v/>
      </c>
      <c r="K761" s="6">
        <f>'Madine- Conversion'!J127</f>
        <v/>
      </c>
      <c r="L761" s="13">
        <f>'Madine- Conversion'!K127</f>
        <v/>
      </c>
      <c r="M761" s="6">
        <f>'Madine- Conversion'!N127</f>
        <v/>
      </c>
      <c r="N761" s="3">
        <f>'Madine- Conversion'!O127</f>
        <v/>
      </c>
      <c r="O761" s="3">
        <f>'Madine- Conversion'!P127</f>
        <v/>
      </c>
    </row>
    <row r="762" ht="18" customHeight="1" s="96">
      <c r="A762" s="93" t="inlineStr">
        <is>
          <t>Person A</t>
        </is>
      </c>
      <c r="B762" s="93">
        <f>'Madine- Conversion'!A128</f>
        <v/>
      </c>
      <c r="C762" s="8">
        <f>'Madine- Conversion'!B128</f>
        <v/>
      </c>
      <c r="D762" s="8">
        <f>'Madine- Conversion'!C128</f>
        <v/>
      </c>
      <c r="E762" s="8">
        <f>'Madine- Conversion'!D128</f>
        <v/>
      </c>
      <c r="F762" s="8">
        <f>'Madine- Conversion'!E128</f>
        <v/>
      </c>
      <c r="G762" s="9">
        <f>'Madine- Conversion'!F128</f>
        <v/>
      </c>
      <c r="H762" s="8">
        <f>'Madine- Conversion'!G128</f>
        <v/>
      </c>
      <c r="I762" s="10">
        <f>'Madine- Conversion'!H128</f>
        <v/>
      </c>
      <c r="J762" s="10">
        <f>'Madine- Conversion'!I128</f>
        <v/>
      </c>
      <c r="K762" s="11">
        <f>'Madine- Conversion'!J128</f>
        <v/>
      </c>
      <c r="L762" s="12">
        <f>'Madine- Conversion'!K128</f>
        <v/>
      </c>
      <c r="M762" s="11">
        <f>'Madine- Conversion'!N128</f>
        <v/>
      </c>
      <c r="N762" s="8">
        <f>'Madine- Conversion'!O128</f>
        <v/>
      </c>
      <c r="O762" s="8">
        <f>'Madine- Conversion'!P128</f>
        <v/>
      </c>
    </row>
    <row r="763" ht="18" customHeight="1" s="96">
      <c r="A763" s="2" t="inlineStr">
        <is>
          <t>Person A</t>
        </is>
      </c>
      <c r="B763" s="2">
        <f>'Madine- Conversion'!A129</f>
        <v/>
      </c>
      <c r="C763" s="3">
        <f>'Madine- Conversion'!B129</f>
        <v/>
      </c>
      <c r="D763" s="3">
        <f>'Madine- Conversion'!C129</f>
        <v/>
      </c>
      <c r="E763" s="3">
        <f>'Madine- Conversion'!D129</f>
        <v/>
      </c>
      <c r="F763" s="3">
        <f>'Madine- Conversion'!E129</f>
        <v/>
      </c>
      <c r="G763" s="4">
        <f>'Madine- Conversion'!F129</f>
        <v/>
      </c>
      <c r="H763" s="3">
        <f>'Madine- Conversion'!G129</f>
        <v/>
      </c>
      <c r="I763" s="5">
        <f>'Madine- Conversion'!H129</f>
        <v/>
      </c>
      <c r="J763" s="5">
        <f>'Madine- Conversion'!I129</f>
        <v/>
      </c>
      <c r="K763" s="6">
        <f>'Madine- Conversion'!J129</f>
        <v/>
      </c>
      <c r="L763" s="13">
        <f>'Madine- Conversion'!K129</f>
        <v/>
      </c>
      <c r="M763" s="6">
        <f>'Madine- Conversion'!N129</f>
        <v/>
      </c>
      <c r="N763" s="3">
        <f>'Madine- Conversion'!O129</f>
        <v/>
      </c>
      <c r="O763" s="3">
        <f>'Madine- Conversion'!P129</f>
        <v/>
      </c>
    </row>
    <row r="764" ht="18" customHeight="1" s="96">
      <c r="A764" s="93" t="inlineStr">
        <is>
          <t>Person A</t>
        </is>
      </c>
      <c r="B764" s="93">
        <f>'Madine- Conversion'!A130</f>
        <v/>
      </c>
      <c r="C764" s="8">
        <f>'Madine- Conversion'!B130</f>
        <v/>
      </c>
      <c r="D764" s="8">
        <f>'Madine- Conversion'!C130</f>
        <v/>
      </c>
      <c r="E764" s="8">
        <f>'Madine- Conversion'!D130</f>
        <v/>
      </c>
      <c r="F764" s="8">
        <f>'Madine- Conversion'!E130</f>
        <v/>
      </c>
      <c r="G764" s="9">
        <f>'Madine- Conversion'!F130</f>
        <v/>
      </c>
      <c r="H764" s="8">
        <f>'Madine- Conversion'!G130</f>
        <v/>
      </c>
      <c r="I764" s="10">
        <f>'Madine- Conversion'!H130</f>
        <v/>
      </c>
      <c r="J764" s="10">
        <f>'Madine- Conversion'!I130</f>
        <v/>
      </c>
      <c r="K764" s="11">
        <f>'Madine- Conversion'!J130</f>
        <v/>
      </c>
      <c r="L764" s="12">
        <f>'Madine- Conversion'!K130</f>
        <v/>
      </c>
      <c r="M764" s="11">
        <f>'Madine- Conversion'!N130</f>
        <v/>
      </c>
      <c r="N764" s="8">
        <f>'Madine- Conversion'!O130</f>
        <v/>
      </c>
      <c r="O764" s="8">
        <f>'Madine- Conversion'!P130</f>
        <v/>
      </c>
    </row>
    <row r="765" ht="18" customHeight="1" s="96">
      <c r="A765" s="2" t="inlineStr">
        <is>
          <t>Person A</t>
        </is>
      </c>
      <c r="B765" s="2">
        <f>'Madine- Conversion'!A131</f>
        <v/>
      </c>
      <c r="C765" s="3">
        <f>'Madine- Conversion'!B131</f>
        <v/>
      </c>
      <c r="D765" s="3">
        <f>'Madine- Conversion'!C131</f>
        <v/>
      </c>
      <c r="E765" s="3">
        <f>'Madine- Conversion'!D131</f>
        <v/>
      </c>
      <c r="F765" s="3">
        <f>'Madine- Conversion'!E131</f>
        <v/>
      </c>
      <c r="G765" s="4">
        <f>'Madine- Conversion'!F131</f>
        <v/>
      </c>
      <c r="H765" s="3">
        <f>'Madine- Conversion'!G131</f>
        <v/>
      </c>
      <c r="I765" s="5">
        <f>'Madine- Conversion'!H131</f>
        <v/>
      </c>
      <c r="J765" s="5">
        <f>'Madine- Conversion'!I131</f>
        <v/>
      </c>
      <c r="K765" s="6">
        <f>'Madine- Conversion'!J131</f>
        <v/>
      </c>
      <c r="L765" s="13">
        <f>'Madine- Conversion'!K131</f>
        <v/>
      </c>
      <c r="M765" s="6">
        <f>'Madine- Conversion'!N131</f>
        <v/>
      </c>
      <c r="N765" s="3">
        <f>'Madine- Conversion'!O131</f>
        <v/>
      </c>
      <c r="O765" s="3">
        <f>'Madine- Conversion'!P131</f>
        <v/>
      </c>
    </row>
    <row r="766" ht="18" customHeight="1" s="96">
      <c r="A766" s="93" t="inlineStr">
        <is>
          <t>Person A</t>
        </is>
      </c>
      <c r="B766" s="93">
        <f>'Madine- Conversion'!A132</f>
        <v/>
      </c>
      <c r="C766" s="8">
        <f>'Madine- Conversion'!B132</f>
        <v/>
      </c>
      <c r="D766" s="8">
        <f>'Madine- Conversion'!C132</f>
        <v/>
      </c>
      <c r="E766" s="8">
        <f>'Madine- Conversion'!D132</f>
        <v/>
      </c>
      <c r="F766" s="8">
        <f>'Madine- Conversion'!E132</f>
        <v/>
      </c>
      <c r="G766" s="9">
        <f>'Madine- Conversion'!F132</f>
        <v/>
      </c>
      <c r="H766" s="8">
        <f>'Madine- Conversion'!G132</f>
        <v/>
      </c>
      <c r="I766" s="10">
        <f>'Madine- Conversion'!H132</f>
        <v/>
      </c>
      <c r="J766" s="10">
        <f>'Madine- Conversion'!I132</f>
        <v/>
      </c>
      <c r="K766" s="11">
        <f>'Madine- Conversion'!J132</f>
        <v/>
      </c>
      <c r="L766" s="12">
        <f>'Madine- Conversion'!K132</f>
        <v/>
      </c>
      <c r="M766" s="11">
        <f>'Madine- Conversion'!N132</f>
        <v/>
      </c>
      <c r="N766" s="8">
        <f>'Madine- Conversion'!O132</f>
        <v/>
      </c>
      <c r="O766" s="8">
        <f>'Madine- Conversion'!P132</f>
        <v/>
      </c>
    </row>
    <row r="767" ht="18" customHeight="1" s="96">
      <c r="A767" s="2" t="inlineStr">
        <is>
          <t>Person A</t>
        </is>
      </c>
      <c r="B767" s="2">
        <f>'Madine- Conversion'!A133</f>
        <v/>
      </c>
      <c r="C767" s="3">
        <f>'Madine- Conversion'!B133</f>
        <v/>
      </c>
      <c r="D767" s="3">
        <f>'Madine- Conversion'!C133</f>
        <v/>
      </c>
      <c r="E767" s="3">
        <f>'Madine- Conversion'!D133</f>
        <v/>
      </c>
      <c r="F767" s="3">
        <f>'Madine- Conversion'!E133</f>
        <v/>
      </c>
      <c r="G767" s="4">
        <f>'Madine- Conversion'!F133</f>
        <v/>
      </c>
      <c r="H767" s="3">
        <f>'Madine- Conversion'!G133</f>
        <v/>
      </c>
      <c r="I767" s="5">
        <f>'Madine- Conversion'!H133</f>
        <v/>
      </c>
      <c r="J767" s="5">
        <f>'Madine- Conversion'!I133</f>
        <v/>
      </c>
      <c r="K767" s="6">
        <f>'Madine- Conversion'!J133</f>
        <v/>
      </c>
      <c r="L767" s="13">
        <f>'Madine- Conversion'!K133</f>
        <v/>
      </c>
      <c r="M767" s="6">
        <f>'Madine- Conversion'!N133</f>
        <v/>
      </c>
      <c r="N767" s="3">
        <f>'Madine- Conversion'!O133</f>
        <v/>
      </c>
      <c r="O767" s="3">
        <f>'Madine- Conversion'!P133</f>
        <v/>
      </c>
    </row>
    <row r="768" ht="18" customHeight="1" s="96">
      <c r="A768" s="93" t="inlineStr">
        <is>
          <t>Person A</t>
        </is>
      </c>
      <c r="B768" s="93">
        <f>'Madine- Conversion'!A134</f>
        <v/>
      </c>
      <c r="C768" s="8">
        <f>'Madine- Conversion'!B134</f>
        <v/>
      </c>
      <c r="D768" s="8">
        <f>'Madine- Conversion'!C134</f>
        <v/>
      </c>
      <c r="E768" s="8">
        <f>'Madine- Conversion'!D134</f>
        <v/>
      </c>
      <c r="F768" s="8">
        <f>'Madine- Conversion'!E134</f>
        <v/>
      </c>
      <c r="G768" s="9">
        <f>'Madine- Conversion'!F134</f>
        <v/>
      </c>
      <c r="H768" s="8">
        <f>'Madine- Conversion'!G134</f>
        <v/>
      </c>
      <c r="I768" s="10">
        <f>'Madine- Conversion'!H134</f>
        <v/>
      </c>
      <c r="J768" s="10">
        <f>'Madine- Conversion'!I134</f>
        <v/>
      </c>
      <c r="K768" s="11">
        <f>'Madine- Conversion'!J134</f>
        <v/>
      </c>
      <c r="L768" s="12">
        <f>'Madine- Conversion'!K134</f>
        <v/>
      </c>
      <c r="M768" s="11">
        <f>'Madine- Conversion'!N134</f>
        <v/>
      </c>
      <c r="N768" s="8">
        <f>'Madine- Conversion'!O134</f>
        <v/>
      </c>
      <c r="O768" s="8">
        <f>'Madine- Conversion'!P134</f>
        <v/>
      </c>
    </row>
    <row r="769" ht="18" customHeight="1" s="96">
      <c r="A769" s="2" t="inlineStr">
        <is>
          <t>Person A</t>
        </is>
      </c>
      <c r="B769" s="2">
        <f>'Madine- Conversion'!A135</f>
        <v/>
      </c>
      <c r="C769" s="3">
        <f>'Madine- Conversion'!B135</f>
        <v/>
      </c>
      <c r="D769" s="3">
        <f>'Madine- Conversion'!C135</f>
        <v/>
      </c>
      <c r="E769" s="3">
        <f>'Madine- Conversion'!D135</f>
        <v/>
      </c>
      <c r="F769" s="3">
        <f>'Madine- Conversion'!E135</f>
        <v/>
      </c>
      <c r="G769" s="4">
        <f>'Madine- Conversion'!F135</f>
        <v/>
      </c>
      <c r="H769" s="3">
        <f>'Madine- Conversion'!G135</f>
        <v/>
      </c>
      <c r="I769" s="5">
        <f>'Madine- Conversion'!H135</f>
        <v/>
      </c>
      <c r="J769" s="5">
        <f>'Madine- Conversion'!I135</f>
        <v/>
      </c>
      <c r="K769" s="6">
        <f>'Madine- Conversion'!J135</f>
        <v/>
      </c>
      <c r="L769" s="13">
        <f>'Madine- Conversion'!K135</f>
        <v/>
      </c>
      <c r="M769" s="6">
        <f>'Madine- Conversion'!N135</f>
        <v/>
      </c>
      <c r="N769" s="3">
        <f>'Madine- Conversion'!O135</f>
        <v/>
      </c>
      <c r="O769" s="3">
        <f>'Madine- Conversion'!P135</f>
        <v/>
      </c>
    </row>
    <row r="770" ht="18" customHeight="1" s="96">
      <c r="A770" s="93" t="inlineStr">
        <is>
          <t>Person A</t>
        </is>
      </c>
      <c r="B770" s="93">
        <f>'Madine- Conversion'!A136</f>
        <v/>
      </c>
      <c r="C770" s="8">
        <f>'Madine- Conversion'!B136</f>
        <v/>
      </c>
      <c r="D770" s="8">
        <f>'Madine- Conversion'!C136</f>
        <v/>
      </c>
      <c r="E770" s="8">
        <f>'Madine- Conversion'!D136</f>
        <v/>
      </c>
      <c r="F770" s="8">
        <f>'Madine- Conversion'!E136</f>
        <v/>
      </c>
      <c r="G770" s="9">
        <f>'Madine- Conversion'!F136</f>
        <v/>
      </c>
      <c r="H770" s="8">
        <f>'Madine- Conversion'!G136</f>
        <v/>
      </c>
      <c r="I770" s="10">
        <f>'Madine- Conversion'!H136</f>
        <v/>
      </c>
      <c r="J770" s="10">
        <f>'Madine- Conversion'!I136</f>
        <v/>
      </c>
      <c r="K770" s="11">
        <f>'Madine- Conversion'!J136</f>
        <v/>
      </c>
      <c r="L770" s="12">
        <f>'Madine- Conversion'!K136</f>
        <v/>
      </c>
      <c r="M770" s="11">
        <f>'Madine- Conversion'!N136</f>
        <v/>
      </c>
      <c r="N770" s="8">
        <f>'Madine- Conversion'!O136</f>
        <v/>
      </c>
      <c r="O770" s="8">
        <f>'Madine- Conversion'!P136</f>
        <v/>
      </c>
    </row>
    <row r="771" ht="18" customHeight="1" s="96">
      <c r="A771" s="2" t="inlineStr">
        <is>
          <t>Person A</t>
        </is>
      </c>
      <c r="B771" s="2">
        <f>'Madine- Conversion'!A137</f>
        <v/>
      </c>
      <c r="C771" s="3">
        <f>'Madine- Conversion'!B137</f>
        <v/>
      </c>
      <c r="D771" s="3">
        <f>'Madine- Conversion'!C137</f>
        <v/>
      </c>
      <c r="E771" s="3">
        <f>'Madine- Conversion'!D137</f>
        <v/>
      </c>
      <c r="F771" s="3">
        <f>'Madine- Conversion'!E137</f>
        <v/>
      </c>
      <c r="G771" s="4">
        <f>'Madine- Conversion'!F137</f>
        <v/>
      </c>
      <c r="H771" s="3">
        <f>'Madine- Conversion'!G137</f>
        <v/>
      </c>
      <c r="I771" s="5">
        <f>'Madine- Conversion'!H137</f>
        <v/>
      </c>
      <c r="J771" s="5">
        <f>'Madine- Conversion'!I137</f>
        <v/>
      </c>
      <c r="K771" s="6">
        <f>'Madine- Conversion'!J137</f>
        <v/>
      </c>
      <c r="L771" s="13">
        <f>'Madine- Conversion'!K137</f>
        <v/>
      </c>
      <c r="M771" s="6">
        <f>'Madine- Conversion'!N137</f>
        <v/>
      </c>
      <c r="N771" s="3">
        <f>'Madine- Conversion'!O137</f>
        <v/>
      </c>
      <c r="O771" s="3">
        <f>'Madine- Conversion'!P137</f>
        <v/>
      </c>
    </row>
    <row r="772" ht="18" customHeight="1" s="96">
      <c r="A772" s="93" t="inlineStr">
        <is>
          <t>Person A</t>
        </is>
      </c>
      <c r="B772" s="93">
        <f>'Madine- Conversion'!A138</f>
        <v/>
      </c>
      <c r="C772" s="8">
        <f>'Madine- Conversion'!B138</f>
        <v/>
      </c>
      <c r="D772" s="8">
        <f>'Madine- Conversion'!C138</f>
        <v/>
      </c>
      <c r="E772" s="8">
        <f>'Madine- Conversion'!D138</f>
        <v/>
      </c>
      <c r="F772" s="8">
        <f>'Madine- Conversion'!E138</f>
        <v/>
      </c>
      <c r="G772" s="9">
        <f>'Madine- Conversion'!F138</f>
        <v/>
      </c>
      <c r="H772" s="8">
        <f>'Madine- Conversion'!G138</f>
        <v/>
      </c>
      <c r="I772" s="10">
        <f>'Madine- Conversion'!H138</f>
        <v/>
      </c>
      <c r="J772" s="10">
        <f>'Madine- Conversion'!I138</f>
        <v/>
      </c>
      <c r="K772" s="11">
        <f>'Madine- Conversion'!J138</f>
        <v/>
      </c>
      <c r="L772" s="12">
        <f>'Madine- Conversion'!K138</f>
        <v/>
      </c>
      <c r="M772" s="11">
        <f>'Madine- Conversion'!N138</f>
        <v/>
      </c>
      <c r="N772" s="8">
        <f>'Madine- Conversion'!O138</f>
        <v/>
      </c>
      <c r="O772" s="8">
        <f>'Madine- Conversion'!P138</f>
        <v/>
      </c>
    </row>
    <row r="773" ht="18" customHeight="1" s="96">
      <c r="A773" s="2" t="inlineStr">
        <is>
          <t>Person A</t>
        </is>
      </c>
      <c r="B773" s="2">
        <f>'Madine- Conversion'!A139</f>
        <v/>
      </c>
      <c r="C773" s="3">
        <f>'Madine- Conversion'!B139</f>
        <v/>
      </c>
      <c r="D773" s="3">
        <f>'Madine- Conversion'!C139</f>
        <v/>
      </c>
      <c r="E773" s="3">
        <f>'Madine- Conversion'!D139</f>
        <v/>
      </c>
      <c r="F773" s="3">
        <f>'Madine- Conversion'!E139</f>
        <v/>
      </c>
      <c r="G773" s="4">
        <f>'Madine- Conversion'!F139</f>
        <v/>
      </c>
      <c r="H773" s="3">
        <f>'Madine- Conversion'!G139</f>
        <v/>
      </c>
      <c r="I773" s="5">
        <f>'Madine- Conversion'!H139</f>
        <v/>
      </c>
      <c r="J773" s="5">
        <f>'Madine- Conversion'!I139</f>
        <v/>
      </c>
      <c r="K773" s="6">
        <f>'Madine- Conversion'!J139</f>
        <v/>
      </c>
      <c r="L773" s="13">
        <f>'Madine- Conversion'!K139</f>
        <v/>
      </c>
      <c r="M773" s="6">
        <f>'Madine- Conversion'!N139</f>
        <v/>
      </c>
      <c r="N773" s="3">
        <f>'Madine- Conversion'!O139</f>
        <v/>
      </c>
      <c r="O773" s="3">
        <f>'Madine- Conversion'!P139</f>
        <v/>
      </c>
    </row>
    <row r="774" ht="18" customHeight="1" s="96">
      <c r="A774" s="93" t="inlineStr">
        <is>
          <t>Person A</t>
        </is>
      </c>
      <c r="B774" s="93">
        <f>'Madine- Conversion'!A140</f>
        <v/>
      </c>
      <c r="C774" s="8">
        <f>'Madine- Conversion'!B140</f>
        <v/>
      </c>
      <c r="D774" s="8">
        <f>'Madine- Conversion'!C140</f>
        <v/>
      </c>
      <c r="E774" s="8">
        <f>'Madine- Conversion'!D140</f>
        <v/>
      </c>
      <c r="F774" s="8">
        <f>'Madine- Conversion'!E140</f>
        <v/>
      </c>
      <c r="G774" s="9">
        <f>'Madine- Conversion'!F140</f>
        <v/>
      </c>
      <c r="H774" s="8">
        <f>'Madine- Conversion'!G140</f>
        <v/>
      </c>
      <c r="I774" s="10">
        <f>'Madine- Conversion'!H140</f>
        <v/>
      </c>
      <c r="J774" s="10">
        <f>'Madine- Conversion'!I140</f>
        <v/>
      </c>
      <c r="K774" s="11">
        <f>'Madine- Conversion'!J140</f>
        <v/>
      </c>
      <c r="L774" s="12">
        <f>'Madine- Conversion'!K140</f>
        <v/>
      </c>
      <c r="M774" s="11">
        <f>'Madine- Conversion'!N140</f>
        <v/>
      </c>
      <c r="N774" s="8">
        <f>'Madine- Conversion'!O140</f>
        <v/>
      </c>
      <c r="O774" s="8">
        <f>'Madine- Conversion'!P140</f>
        <v/>
      </c>
    </row>
    <row r="775" ht="18" customHeight="1" s="96">
      <c r="A775" s="2" t="inlineStr">
        <is>
          <t>Person A</t>
        </is>
      </c>
      <c r="B775" s="2">
        <f>'Madine- Conversion'!A141</f>
        <v/>
      </c>
      <c r="C775" s="3">
        <f>'Madine- Conversion'!B141</f>
        <v/>
      </c>
      <c r="D775" s="3">
        <f>'Madine- Conversion'!C141</f>
        <v/>
      </c>
      <c r="E775" s="3">
        <f>'Madine- Conversion'!D141</f>
        <v/>
      </c>
      <c r="F775" s="3">
        <f>'Madine- Conversion'!E141</f>
        <v/>
      </c>
      <c r="G775" s="4">
        <f>'Madine- Conversion'!F141</f>
        <v/>
      </c>
      <c r="H775" s="3">
        <f>'Madine- Conversion'!G141</f>
        <v/>
      </c>
      <c r="I775" s="5">
        <f>'Madine- Conversion'!H141</f>
        <v/>
      </c>
      <c r="J775" s="5">
        <f>'Madine- Conversion'!I141</f>
        <v/>
      </c>
      <c r="K775" s="6">
        <f>'Madine- Conversion'!J141</f>
        <v/>
      </c>
      <c r="L775" s="13">
        <f>'Madine- Conversion'!K141</f>
        <v/>
      </c>
      <c r="M775" s="6">
        <f>'Madine- Conversion'!N141</f>
        <v/>
      </c>
      <c r="N775" s="3">
        <f>'Madine- Conversion'!O141</f>
        <v/>
      </c>
      <c r="O775" s="3">
        <f>'Madine- Conversion'!P141</f>
        <v/>
      </c>
    </row>
    <row r="776" ht="18" customHeight="1" s="96">
      <c r="A776" s="93" t="inlineStr">
        <is>
          <t>Person A</t>
        </is>
      </c>
      <c r="B776" s="93">
        <f>'Madine- Conversion'!A142</f>
        <v/>
      </c>
      <c r="C776" s="8">
        <f>'Madine- Conversion'!B142</f>
        <v/>
      </c>
      <c r="D776" s="8">
        <f>'Madine- Conversion'!C142</f>
        <v/>
      </c>
      <c r="E776" s="8">
        <f>'Madine- Conversion'!D142</f>
        <v/>
      </c>
      <c r="F776" s="8">
        <f>'Madine- Conversion'!E142</f>
        <v/>
      </c>
      <c r="G776" s="9">
        <f>'Madine- Conversion'!F142</f>
        <v/>
      </c>
      <c r="H776" s="8">
        <f>'Madine- Conversion'!G142</f>
        <v/>
      </c>
      <c r="I776" s="10">
        <f>'Madine- Conversion'!H142</f>
        <v/>
      </c>
      <c r="J776" s="10">
        <f>'Madine- Conversion'!I142</f>
        <v/>
      </c>
      <c r="K776" s="11">
        <f>'Madine- Conversion'!J142</f>
        <v/>
      </c>
      <c r="L776" s="12">
        <f>'Madine- Conversion'!K142</f>
        <v/>
      </c>
      <c r="M776" s="11">
        <f>'Madine- Conversion'!N142</f>
        <v/>
      </c>
      <c r="N776" s="8">
        <f>'Madine- Conversion'!O142</f>
        <v/>
      </c>
      <c r="O776" s="8">
        <f>'Madine- Conversion'!P142</f>
        <v/>
      </c>
    </row>
    <row r="777" ht="18" customHeight="1" s="96">
      <c r="A777" s="2" t="inlineStr">
        <is>
          <t>Person A</t>
        </is>
      </c>
      <c r="B777" s="2">
        <f>'Madine- Conversion'!A143</f>
        <v/>
      </c>
      <c r="C777" s="3">
        <f>'Madine- Conversion'!B143</f>
        <v/>
      </c>
      <c r="D777" s="3">
        <f>'Madine- Conversion'!C143</f>
        <v/>
      </c>
      <c r="E777" s="3">
        <f>'Madine- Conversion'!D143</f>
        <v/>
      </c>
      <c r="F777" s="3">
        <f>'Madine- Conversion'!E143</f>
        <v/>
      </c>
      <c r="G777" s="4">
        <f>'Madine- Conversion'!F143</f>
        <v/>
      </c>
      <c r="H777" s="3">
        <f>'Madine- Conversion'!G143</f>
        <v/>
      </c>
      <c r="I777" s="5">
        <f>'Madine- Conversion'!H143</f>
        <v/>
      </c>
      <c r="J777" s="5">
        <f>'Madine- Conversion'!I143</f>
        <v/>
      </c>
      <c r="K777" s="6">
        <f>'Madine- Conversion'!J143</f>
        <v/>
      </c>
      <c r="L777" s="13">
        <f>'Madine- Conversion'!K143</f>
        <v/>
      </c>
      <c r="M777" s="6">
        <f>'Madine- Conversion'!N143</f>
        <v/>
      </c>
      <c r="N777" s="3">
        <f>'Madine- Conversion'!O143</f>
        <v/>
      </c>
      <c r="O777" s="3">
        <f>'Madine- Conversion'!P143</f>
        <v/>
      </c>
    </row>
    <row r="778" ht="18" customHeight="1" s="96">
      <c r="A778" s="93" t="inlineStr">
        <is>
          <t>Person A</t>
        </is>
      </c>
      <c r="B778" s="93">
        <f>'Madine- Conversion'!A144</f>
        <v/>
      </c>
      <c r="C778" s="8">
        <f>'Madine- Conversion'!B144</f>
        <v/>
      </c>
      <c r="D778" s="8">
        <f>'Madine- Conversion'!C144</f>
        <v/>
      </c>
      <c r="E778" s="8">
        <f>'Madine- Conversion'!D144</f>
        <v/>
      </c>
      <c r="F778" s="8">
        <f>'Madine- Conversion'!E144</f>
        <v/>
      </c>
      <c r="G778" s="9">
        <f>'Madine- Conversion'!F144</f>
        <v/>
      </c>
      <c r="H778" s="8">
        <f>'Madine- Conversion'!G144</f>
        <v/>
      </c>
      <c r="I778" s="10">
        <f>'Madine- Conversion'!H144</f>
        <v/>
      </c>
      <c r="J778" s="10">
        <f>'Madine- Conversion'!I144</f>
        <v/>
      </c>
      <c r="K778" s="11">
        <f>'Madine- Conversion'!J144</f>
        <v/>
      </c>
      <c r="L778" s="12">
        <f>'Madine- Conversion'!K144</f>
        <v/>
      </c>
      <c r="M778" s="11">
        <f>'Madine- Conversion'!N144</f>
        <v/>
      </c>
      <c r="N778" s="8">
        <f>'Madine- Conversion'!O144</f>
        <v/>
      </c>
      <c r="O778" s="8">
        <f>'Madine- Conversion'!P144</f>
        <v/>
      </c>
    </row>
    <row r="779" ht="18" customHeight="1" s="96">
      <c r="A779" s="2" t="inlineStr">
        <is>
          <t>Person A</t>
        </is>
      </c>
      <c r="B779" s="2">
        <f>'Madine- Conversion'!A145</f>
        <v/>
      </c>
      <c r="C779" s="3">
        <f>'Madine- Conversion'!B145</f>
        <v/>
      </c>
      <c r="D779" s="3">
        <f>'Madine- Conversion'!C145</f>
        <v/>
      </c>
      <c r="E779" s="3">
        <f>'Madine- Conversion'!D145</f>
        <v/>
      </c>
      <c r="F779" s="3">
        <f>'Madine- Conversion'!E145</f>
        <v/>
      </c>
      <c r="G779" s="4">
        <f>'Madine- Conversion'!F145</f>
        <v/>
      </c>
      <c r="H779" s="3">
        <f>'Madine- Conversion'!G145</f>
        <v/>
      </c>
      <c r="I779" s="5">
        <f>'Madine- Conversion'!H145</f>
        <v/>
      </c>
      <c r="J779" s="5">
        <f>'Madine- Conversion'!I145</f>
        <v/>
      </c>
      <c r="K779" s="6">
        <f>'Madine- Conversion'!J145</f>
        <v/>
      </c>
      <c r="L779" s="13">
        <f>'Madine- Conversion'!K145</f>
        <v/>
      </c>
      <c r="M779" s="6">
        <f>'Madine- Conversion'!N145</f>
        <v/>
      </c>
      <c r="N779" s="3">
        <f>'Madine- Conversion'!O145</f>
        <v/>
      </c>
      <c r="O779" s="3">
        <f>'Madine- Conversion'!P145</f>
        <v/>
      </c>
    </row>
    <row r="780" ht="18" customHeight="1" s="96">
      <c r="A780" s="93" t="inlineStr">
        <is>
          <t>Person A</t>
        </is>
      </c>
      <c r="B780" s="93">
        <f>'Madine- Conversion'!A146</f>
        <v/>
      </c>
      <c r="C780" s="8">
        <f>'Madine- Conversion'!B146</f>
        <v/>
      </c>
      <c r="D780" s="8">
        <f>'Madine- Conversion'!C146</f>
        <v/>
      </c>
      <c r="E780" s="8">
        <f>'Madine- Conversion'!D146</f>
        <v/>
      </c>
      <c r="F780" s="8">
        <f>'Madine- Conversion'!E146</f>
        <v/>
      </c>
      <c r="G780" s="9">
        <f>'Madine- Conversion'!F146</f>
        <v/>
      </c>
      <c r="H780" s="8">
        <f>'Madine- Conversion'!G146</f>
        <v/>
      </c>
      <c r="I780" s="10">
        <f>'Madine- Conversion'!H146</f>
        <v/>
      </c>
      <c r="J780" s="10">
        <f>'Madine- Conversion'!I146</f>
        <v/>
      </c>
      <c r="K780" s="11">
        <f>'Madine- Conversion'!J146</f>
        <v/>
      </c>
      <c r="L780" s="12">
        <f>'Madine- Conversion'!K146</f>
        <v/>
      </c>
      <c r="M780" s="11">
        <f>'Madine- Conversion'!N146</f>
        <v/>
      </c>
      <c r="N780" s="8">
        <f>'Madine- Conversion'!O146</f>
        <v/>
      </c>
      <c r="O780" s="8">
        <f>'Madine- Conversion'!P146</f>
        <v/>
      </c>
    </row>
    <row r="781" ht="18" customHeight="1" s="96">
      <c r="A781" s="2" t="inlineStr">
        <is>
          <t>Person A</t>
        </is>
      </c>
      <c r="B781" s="2">
        <f>'Madine- Conversion'!A147</f>
        <v/>
      </c>
      <c r="C781" s="3">
        <f>'Madine- Conversion'!B147</f>
        <v/>
      </c>
      <c r="D781" s="3">
        <f>'Madine- Conversion'!C147</f>
        <v/>
      </c>
      <c r="E781" s="3">
        <f>'Madine- Conversion'!D147</f>
        <v/>
      </c>
      <c r="F781" s="3">
        <f>'Madine- Conversion'!E147</f>
        <v/>
      </c>
      <c r="G781" s="4">
        <f>'Madine- Conversion'!F147</f>
        <v/>
      </c>
      <c r="H781" s="3">
        <f>'Madine- Conversion'!G147</f>
        <v/>
      </c>
      <c r="I781" s="5">
        <f>'Madine- Conversion'!H147</f>
        <v/>
      </c>
      <c r="J781" s="5">
        <f>'Madine- Conversion'!I147</f>
        <v/>
      </c>
      <c r="K781" s="6">
        <f>'Madine- Conversion'!J147</f>
        <v/>
      </c>
      <c r="L781" s="13">
        <f>'Madine- Conversion'!K147</f>
        <v/>
      </c>
      <c r="M781" s="6">
        <f>'Madine- Conversion'!N147</f>
        <v/>
      </c>
      <c r="N781" s="3">
        <f>'Madine- Conversion'!O147</f>
        <v/>
      </c>
      <c r="O781" s="3">
        <f>'Madine- Conversion'!P147</f>
        <v/>
      </c>
    </row>
    <row r="782" ht="18" customHeight="1" s="96">
      <c r="A782" s="93" t="inlineStr">
        <is>
          <t>Person A</t>
        </is>
      </c>
      <c r="B782" s="93">
        <f>'Madine- Conversion'!A148</f>
        <v/>
      </c>
      <c r="C782" s="8">
        <f>'Madine- Conversion'!B148</f>
        <v/>
      </c>
      <c r="D782" s="8">
        <f>'Madine- Conversion'!C148</f>
        <v/>
      </c>
      <c r="E782" s="8">
        <f>'Madine- Conversion'!D148</f>
        <v/>
      </c>
      <c r="F782" s="8">
        <f>'Madine- Conversion'!E148</f>
        <v/>
      </c>
      <c r="G782" s="9">
        <f>'Madine- Conversion'!F148</f>
        <v/>
      </c>
      <c r="H782" s="8">
        <f>'Madine- Conversion'!G148</f>
        <v/>
      </c>
      <c r="I782" s="10">
        <f>'Madine- Conversion'!H148</f>
        <v/>
      </c>
      <c r="J782" s="10">
        <f>'Madine- Conversion'!I148</f>
        <v/>
      </c>
      <c r="K782" s="11">
        <f>'Madine- Conversion'!J148</f>
        <v/>
      </c>
      <c r="L782" s="12">
        <f>'Madine- Conversion'!K148</f>
        <v/>
      </c>
      <c r="M782" s="11">
        <f>'Madine- Conversion'!N148</f>
        <v/>
      </c>
      <c r="N782" s="8">
        <f>'Madine- Conversion'!O148</f>
        <v/>
      </c>
      <c r="O782" s="8">
        <f>'Madine- Conversion'!P148</f>
        <v/>
      </c>
    </row>
    <row r="783" ht="18" customHeight="1" s="96">
      <c r="A783" s="2" t="inlineStr">
        <is>
          <t>Person A</t>
        </is>
      </c>
      <c r="B783" s="2">
        <f>'Madine- Conversion'!A149</f>
        <v/>
      </c>
      <c r="C783" s="3">
        <f>'Madine- Conversion'!B149</f>
        <v/>
      </c>
      <c r="D783" s="3">
        <f>'Madine- Conversion'!C149</f>
        <v/>
      </c>
      <c r="E783" s="3">
        <f>'Madine- Conversion'!D149</f>
        <v/>
      </c>
      <c r="F783" s="3">
        <f>'Madine- Conversion'!E149</f>
        <v/>
      </c>
      <c r="G783" s="4">
        <f>'Madine- Conversion'!F149</f>
        <v/>
      </c>
      <c r="H783" s="3">
        <f>'Madine- Conversion'!G149</f>
        <v/>
      </c>
      <c r="I783" s="5">
        <f>'Madine- Conversion'!H149</f>
        <v/>
      </c>
      <c r="J783" s="5">
        <f>'Madine- Conversion'!I149</f>
        <v/>
      </c>
      <c r="K783" s="6">
        <f>'Madine- Conversion'!J149</f>
        <v/>
      </c>
      <c r="L783" s="13">
        <f>'Madine- Conversion'!K149</f>
        <v/>
      </c>
      <c r="M783" s="6">
        <f>'Madine- Conversion'!N149</f>
        <v/>
      </c>
      <c r="N783" s="3">
        <f>'Madine- Conversion'!O149</f>
        <v/>
      </c>
      <c r="O783" s="3">
        <f>'Madine- Conversion'!P149</f>
        <v/>
      </c>
    </row>
    <row r="784" ht="18" customHeight="1" s="96">
      <c r="A784" s="93" t="inlineStr">
        <is>
          <t>Person A</t>
        </is>
      </c>
      <c r="B784" s="93">
        <f>'Madine- Conversion'!A150</f>
        <v/>
      </c>
      <c r="C784" s="8">
        <f>'Madine- Conversion'!B150</f>
        <v/>
      </c>
      <c r="D784" s="8">
        <f>'Madine- Conversion'!C150</f>
        <v/>
      </c>
      <c r="E784" s="8">
        <f>'Madine- Conversion'!D150</f>
        <v/>
      </c>
      <c r="F784" s="8">
        <f>'Madine- Conversion'!E150</f>
        <v/>
      </c>
      <c r="G784" s="9">
        <f>'Madine- Conversion'!F150</f>
        <v/>
      </c>
      <c r="H784" s="8">
        <f>'Madine- Conversion'!G150</f>
        <v/>
      </c>
      <c r="I784" s="10">
        <f>'Madine- Conversion'!H150</f>
        <v/>
      </c>
      <c r="J784" s="10">
        <f>'Madine- Conversion'!I150</f>
        <v/>
      </c>
      <c r="K784" s="11">
        <f>'Madine- Conversion'!J150</f>
        <v/>
      </c>
      <c r="L784" s="12">
        <f>'Madine- Conversion'!K150</f>
        <v/>
      </c>
      <c r="M784" s="11">
        <f>'Madine- Conversion'!N150</f>
        <v/>
      </c>
      <c r="N784" s="8">
        <f>'Madine- Conversion'!O150</f>
        <v/>
      </c>
      <c r="O784" s="8">
        <f>'Madine- Conversion'!P150</f>
        <v/>
      </c>
    </row>
    <row r="785" ht="18" customHeight="1" s="96">
      <c r="A785" s="2" t="inlineStr">
        <is>
          <t>Person A</t>
        </is>
      </c>
      <c r="B785" s="2">
        <f>'Madine- Conversion'!A151</f>
        <v/>
      </c>
      <c r="C785" s="3">
        <f>'Madine- Conversion'!B151</f>
        <v/>
      </c>
      <c r="D785" s="3">
        <f>'Madine- Conversion'!C151</f>
        <v/>
      </c>
      <c r="E785" s="3">
        <f>'Madine- Conversion'!D151</f>
        <v/>
      </c>
      <c r="F785" s="3">
        <f>'Madine- Conversion'!E151</f>
        <v/>
      </c>
      <c r="G785" s="4">
        <f>'Madine- Conversion'!F151</f>
        <v/>
      </c>
      <c r="H785" s="3">
        <f>'Madine- Conversion'!G151</f>
        <v/>
      </c>
      <c r="I785" s="5">
        <f>'Madine- Conversion'!H151</f>
        <v/>
      </c>
      <c r="J785" s="5">
        <f>'Madine- Conversion'!I151</f>
        <v/>
      </c>
      <c r="K785" s="6">
        <f>'Madine- Conversion'!J151</f>
        <v/>
      </c>
      <c r="L785" s="13">
        <f>'Madine- Conversion'!K151</f>
        <v/>
      </c>
      <c r="M785" s="6">
        <f>'Madine- Conversion'!N151</f>
        <v/>
      </c>
      <c r="N785" s="3">
        <f>'Madine- Conversion'!O151</f>
        <v/>
      </c>
      <c r="O785" s="3">
        <f>'Madine- Conversion'!P151</f>
        <v/>
      </c>
    </row>
    <row r="786" ht="18" customHeight="1" s="96">
      <c r="A786" s="93" t="inlineStr">
        <is>
          <t>Person A</t>
        </is>
      </c>
      <c r="B786" s="93">
        <f>'Madine- Conversion'!A152</f>
        <v/>
      </c>
      <c r="C786" s="8">
        <f>'Madine- Conversion'!B152</f>
        <v/>
      </c>
      <c r="D786" s="8">
        <f>'Madine- Conversion'!C152</f>
        <v/>
      </c>
      <c r="E786" s="8">
        <f>'Madine- Conversion'!D152</f>
        <v/>
      </c>
      <c r="F786" s="8">
        <f>'Madine- Conversion'!E152</f>
        <v/>
      </c>
      <c r="G786" s="9">
        <f>'Madine- Conversion'!F152</f>
        <v/>
      </c>
      <c r="H786" s="8">
        <f>'Madine- Conversion'!G152</f>
        <v/>
      </c>
      <c r="I786" s="10">
        <f>'Madine- Conversion'!H152</f>
        <v/>
      </c>
      <c r="J786" s="10">
        <f>'Madine- Conversion'!I152</f>
        <v/>
      </c>
      <c r="K786" s="11">
        <f>'Madine- Conversion'!J152</f>
        <v/>
      </c>
      <c r="L786" s="12">
        <f>'Madine- Conversion'!K152</f>
        <v/>
      </c>
      <c r="M786" s="11">
        <f>'Madine- Conversion'!N152</f>
        <v/>
      </c>
      <c r="N786" s="8">
        <f>'Madine- Conversion'!O152</f>
        <v/>
      </c>
      <c r="O786" s="8">
        <f>'Madine- Conversion'!P152</f>
        <v/>
      </c>
    </row>
    <row r="787" ht="18" customHeight="1" s="96">
      <c r="A787" s="2" t="inlineStr">
        <is>
          <t>Person A</t>
        </is>
      </c>
      <c r="B787" s="2">
        <f>'Madine- Conversion'!A153</f>
        <v/>
      </c>
      <c r="C787" s="3">
        <f>'Madine- Conversion'!B153</f>
        <v/>
      </c>
      <c r="D787" s="3">
        <f>'Madine- Conversion'!C153</f>
        <v/>
      </c>
      <c r="E787" s="3">
        <f>'Madine- Conversion'!D153</f>
        <v/>
      </c>
      <c r="F787" s="3">
        <f>'Madine- Conversion'!E153</f>
        <v/>
      </c>
      <c r="G787" s="4">
        <f>'Madine- Conversion'!F153</f>
        <v/>
      </c>
      <c r="H787" s="3">
        <f>'Madine- Conversion'!G153</f>
        <v/>
      </c>
      <c r="I787" s="5">
        <f>'Madine- Conversion'!H153</f>
        <v/>
      </c>
      <c r="J787" s="5">
        <f>'Madine- Conversion'!I153</f>
        <v/>
      </c>
      <c r="K787" s="6">
        <f>'Madine- Conversion'!J153</f>
        <v/>
      </c>
      <c r="L787" s="13">
        <f>'Madine- Conversion'!K153</f>
        <v/>
      </c>
      <c r="M787" s="6">
        <f>'Madine- Conversion'!N153</f>
        <v/>
      </c>
      <c r="N787" s="3">
        <f>'Madine- Conversion'!O153</f>
        <v/>
      </c>
      <c r="O787" s="3">
        <f>'Madine- Conversion'!P153</f>
        <v/>
      </c>
    </row>
    <row r="788" ht="18" customHeight="1" s="96">
      <c r="A788" s="93" t="inlineStr">
        <is>
          <t>Person A</t>
        </is>
      </c>
      <c r="B788" s="93">
        <f>'Madine- Conversion'!A154</f>
        <v/>
      </c>
      <c r="C788" s="8">
        <f>'Madine- Conversion'!B154</f>
        <v/>
      </c>
      <c r="D788" s="8">
        <f>'Madine- Conversion'!C154</f>
        <v/>
      </c>
      <c r="E788" s="8">
        <f>'Madine- Conversion'!D154</f>
        <v/>
      </c>
      <c r="F788" s="8">
        <f>'Madine- Conversion'!E154</f>
        <v/>
      </c>
      <c r="G788" s="9">
        <f>'Madine- Conversion'!F154</f>
        <v/>
      </c>
      <c r="H788" s="8">
        <f>'Madine- Conversion'!G154</f>
        <v/>
      </c>
      <c r="I788" s="10">
        <f>'Madine- Conversion'!H154</f>
        <v/>
      </c>
      <c r="J788" s="10">
        <f>'Madine- Conversion'!I154</f>
        <v/>
      </c>
      <c r="K788" s="11">
        <f>'Madine- Conversion'!J154</f>
        <v/>
      </c>
      <c r="L788" s="12">
        <f>'Madine- Conversion'!K154</f>
        <v/>
      </c>
      <c r="M788" s="11">
        <f>'Madine- Conversion'!N154</f>
        <v/>
      </c>
      <c r="N788" s="8">
        <f>'Madine- Conversion'!O154</f>
        <v/>
      </c>
      <c r="O788" s="8">
        <f>'Madine- Conversion'!P154</f>
        <v/>
      </c>
    </row>
    <row r="789" ht="18" customHeight="1" s="96">
      <c r="A789" s="2" t="inlineStr">
        <is>
          <t>Person A</t>
        </is>
      </c>
      <c r="B789" s="2">
        <f>'Madine- Conversion'!A155</f>
        <v/>
      </c>
      <c r="C789" s="3">
        <f>'Madine- Conversion'!B155</f>
        <v/>
      </c>
      <c r="D789" s="3">
        <f>'Madine- Conversion'!C155</f>
        <v/>
      </c>
      <c r="E789" s="3">
        <f>'Madine- Conversion'!D155</f>
        <v/>
      </c>
      <c r="F789" s="3">
        <f>'Madine- Conversion'!E155</f>
        <v/>
      </c>
      <c r="G789" s="4">
        <f>'Madine- Conversion'!F155</f>
        <v/>
      </c>
      <c r="H789" s="3">
        <f>'Madine- Conversion'!G155</f>
        <v/>
      </c>
      <c r="I789" s="5">
        <f>'Madine- Conversion'!H155</f>
        <v/>
      </c>
      <c r="J789" s="5">
        <f>'Madine- Conversion'!I155</f>
        <v/>
      </c>
      <c r="K789" s="6">
        <f>'Madine- Conversion'!J155</f>
        <v/>
      </c>
      <c r="L789" s="13">
        <f>'Madine- Conversion'!K155</f>
        <v/>
      </c>
      <c r="M789" s="6">
        <f>'Madine- Conversion'!N155</f>
        <v/>
      </c>
      <c r="N789" s="3">
        <f>'Madine- Conversion'!O155</f>
        <v/>
      </c>
      <c r="O789" s="3">
        <f>'Madine- Conversion'!P155</f>
        <v/>
      </c>
    </row>
    <row r="790" ht="18" customHeight="1" s="96">
      <c r="A790" s="93" t="inlineStr">
        <is>
          <t>Person A</t>
        </is>
      </c>
      <c r="B790" s="93">
        <f>'Madine- Conversion'!A156</f>
        <v/>
      </c>
      <c r="C790" s="8">
        <f>'Madine- Conversion'!B156</f>
        <v/>
      </c>
      <c r="D790" s="8">
        <f>'Madine- Conversion'!C156</f>
        <v/>
      </c>
      <c r="E790" s="8">
        <f>'Madine- Conversion'!D156</f>
        <v/>
      </c>
      <c r="F790" s="8">
        <f>'Madine- Conversion'!E156</f>
        <v/>
      </c>
      <c r="G790" s="9">
        <f>'Madine- Conversion'!F156</f>
        <v/>
      </c>
      <c r="H790" s="8">
        <f>'Madine- Conversion'!G156</f>
        <v/>
      </c>
      <c r="I790" s="10">
        <f>'Madine- Conversion'!H156</f>
        <v/>
      </c>
      <c r="J790" s="10">
        <f>'Madine- Conversion'!I156</f>
        <v/>
      </c>
      <c r="K790" s="11">
        <f>'Madine- Conversion'!J156</f>
        <v/>
      </c>
      <c r="L790" s="12">
        <f>'Madine- Conversion'!K156</f>
        <v/>
      </c>
      <c r="M790" s="11">
        <f>'Madine- Conversion'!N156</f>
        <v/>
      </c>
      <c r="N790" s="8">
        <f>'Madine- Conversion'!O156</f>
        <v/>
      </c>
      <c r="O790" s="8">
        <f>'Madine- Conversion'!P156</f>
        <v/>
      </c>
    </row>
    <row r="791" ht="18" customHeight="1" s="96">
      <c r="A791" s="2" t="inlineStr">
        <is>
          <t>Person A</t>
        </is>
      </c>
      <c r="B791" s="2">
        <f>'Madine- Conversion'!A157</f>
        <v/>
      </c>
      <c r="C791" s="3">
        <f>'Madine- Conversion'!B157</f>
        <v/>
      </c>
      <c r="D791" s="3">
        <f>'Madine- Conversion'!C157</f>
        <v/>
      </c>
      <c r="E791" s="3">
        <f>'Madine- Conversion'!D157</f>
        <v/>
      </c>
      <c r="F791" s="3">
        <f>'Madine- Conversion'!E157</f>
        <v/>
      </c>
      <c r="G791" s="4">
        <f>'Madine- Conversion'!F157</f>
        <v/>
      </c>
      <c r="H791" s="3">
        <f>'Madine- Conversion'!G157</f>
        <v/>
      </c>
      <c r="I791" s="5">
        <f>'Madine- Conversion'!H157</f>
        <v/>
      </c>
      <c r="J791" s="5">
        <f>'Madine- Conversion'!I157</f>
        <v/>
      </c>
      <c r="K791" s="6">
        <f>'Madine- Conversion'!J157</f>
        <v/>
      </c>
      <c r="L791" s="13">
        <f>'Madine- Conversion'!K157</f>
        <v/>
      </c>
      <c r="M791" s="6">
        <f>'Madine- Conversion'!N157</f>
        <v/>
      </c>
      <c r="N791" s="3">
        <f>'Madine- Conversion'!O157</f>
        <v/>
      </c>
      <c r="O791" s="3">
        <f>'Madine- Conversion'!P157</f>
        <v/>
      </c>
    </row>
    <row r="792" ht="18" customHeight="1" s="96">
      <c r="A792" s="93" t="inlineStr">
        <is>
          <t>Person A</t>
        </is>
      </c>
      <c r="B792" s="93">
        <f>'Madine- Conversion'!A158</f>
        <v/>
      </c>
      <c r="C792" s="8">
        <f>'Madine- Conversion'!B158</f>
        <v/>
      </c>
      <c r="D792" s="8">
        <f>'Madine- Conversion'!C158</f>
        <v/>
      </c>
      <c r="E792" s="8">
        <f>'Madine- Conversion'!D158</f>
        <v/>
      </c>
      <c r="F792" s="8">
        <f>'Madine- Conversion'!E158</f>
        <v/>
      </c>
      <c r="G792" s="9">
        <f>'Madine- Conversion'!F158</f>
        <v/>
      </c>
      <c r="H792" s="8">
        <f>'Madine- Conversion'!G158</f>
        <v/>
      </c>
      <c r="I792" s="10">
        <f>'Madine- Conversion'!H158</f>
        <v/>
      </c>
      <c r="J792" s="10">
        <f>'Madine- Conversion'!I158</f>
        <v/>
      </c>
      <c r="K792" s="11">
        <f>'Madine- Conversion'!J158</f>
        <v/>
      </c>
      <c r="L792" s="12">
        <f>'Madine- Conversion'!K158</f>
        <v/>
      </c>
      <c r="M792" s="11">
        <f>'Madine- Conversion'!N158</f>
        <v/>
      </c>
      <c r="N792" s="8">
        <f>'Madine- Conversion'!O158</f>
        <v/>
      </c>
      <c r="O792" s="8">
        <f>'Madine- Conversion'!P158</f>
        <v/>
      </c>
    </row>
    <row r="793" ht="18" customHeight="1" s="96">
      <c r="A793" s="2" t="inlineStr">
        <is>
          <t>Person A</t>
        </is>
      </c>
      <c r="B793" s="2">
        <f>'Madine- Conversion'!A159</f>
        <v/>
      </c>
      <c r="C793" s="3">
        <f>'Madine- Conversion'!B159</f>
        <v/>
      </c>
      <c r="D793" s="3">
        <f>'Madine- Conversion'!C159</f>
        <v/>
      </c>
      <c r="E793" s="3">
        <f>'Madine- Conversion'!D159</f>
        <v/>
      </c>
      <c r="F793" s="3">
        <f>'Madine- Conversion'!E159</f>
        <v/>
      </c>
      <c r="G793" s="4">
        <f>'Madine- Conversion'!F159</f>
        <v/>
      </c>
      <c r="H793" s="3">
        <f>'Madine- Conversion'!G159</f>
        <v/>
      </c>
      <c r="I793" s="5">
        <f>'Madine- Conversion'!H159</f>
        <v/>
      </c>
      <c r="J793" s="5">
        <f>'Madine- Conversion'!I159</f>
        <v/>
      </c>
      <c r="K793" s="6">
        <f>'Madine- Conversion'!J159</f>
        <v/>
      </c>
      <c r="L793" s="13">
        <f>'Madine- Conversion'!K159</f>
        <v/>
      </c>
      <c r="M793" s="6">
        <f>'Madine- Conversion'!N159</f>
        <v/>
      </c>
      <c r="N793" s="3">
        <f>'Madine- Conversion'!O159</f>
        <v/>
      </c>
      <c r="O793" s="3">
        <f>'Madine- Conversion'!P159</f>
        <v/>
      </c>
    </row>
    <row r="794" ht="18" customHeight="1" s="96">
      <c r="A794" s="93" t="inlineStr">
        <is>
          <t>Person A</t>
        </is>
      </c>
      <c r="B794" s="93">
        <f>'Madine- Conversion'!A160</f>
        <v/>
      </c>
      <c r="C794" s="8">
        <f>'Madine- Conversion'!B160</f>
        <v/>
      </c>
      <c r="D794" s="8">
        <f>'Madine- Conversion'!C160</f>
        <v/>
      </c>
      <c r="E794" s="8">
        <f>'Madine- Conversion'!D160</f>
        <v/>
      </c>
      <c r="F794" s="8">
        <f>'Madine- Conversion'!E160</f>
        <v/>
      </c>
      <c r="G794" s="9">
        <f>'Madine- Conversion'!F160</f>
        <v/>
      </c>
      <c r="H794" s="8">
        <f>'Madine- Conversion'!G160</f>
        <v/>
      </c>
      <c r="I794" s="10">
        <f>'Madine- Conversion'!H160</f>
        <v/>
      </c>
      <c r="J794" s="10">
        <f>'Madine- Conversion'!I160</f>
        <v/>
      </c>
      <c r="K794" s="11">
        <f>'Madine- Conversion'!J160</f>
        <v/>
      </c>
      <c r="L794" s="12">
        <f>'Madine- Conversion'!K160</f>
        <v/>
      </c>
      <c r="M794" s="11">
        <f>'Madine- Conversion'!N160</f>
        <v/>
      </c>
      <c r="N794" s="8">
        <f>'Madine- Conversion'!O160</f>
        <v/>
      </c>
      <c r="O794" s="8">
        <f>'Madine- Conversion'!P160</f>
        <v/>
      </c>
    </row>
    <row r="795" ht="18" customHeight="1" s="96">
      <c r="A795" s="2" t="inlineStr">
        <is>
          <t>Person A</t>
        </is>
      </c>
      <c r="B795" s="2">
        <f>'Madine- Conversion'!A161</f>
        <v/>
      </c>
      <c r="C795" s="3">
        <f>'Madine- Conversion'!B161</f>
        <v/>
      </c>
      <c r="D795" s="3">
        <f>'Madine- Conversion'!C161</f>
        <v/>
      </c>
      <c r="E795" s="3">
        <f>'Madine- Conversion'!D161</f>
        <v/>
      </c>
      <c r="F795" s="3">
        <f>'Madine- Conversion'!E161</f>
        <v/>
      </c>
      <c r="G795" s="4">
        <f>'Madine- Conversion'!F161</f>
        <v/>
      </c>
      <c r="H795" s="3">
        <f>'Madine- Conversion'!G161</f>
        <v/>
      </c>
      <c r="I795" s="5">
        <f>'Madine- Conversion'!H161</f>
        <v/>
      </c>
      <c r="J795" s="5">
        <f>'Madine- Conversion'!I161</f>
        <v/>
      </c>
      <c r="K795" s="6">
        <f>'Madine- Conversion'!J161</f>
        <v/>
      </c>
      <c r="L795" s="13">
        <f>'Madine- Conversion'!K161</f>
        <v/>
      </c>
      <c r="M795" s="6">
        <f>'Madine- Conversion'!N161</f>
        <v/>
      </c>
      <c r="N795" s="3">
        <f>'Madine- Conversion'!O161</f>
        <v/>
      </c>
      <c r="O795" s="3">
        <f>'Madine- Conversion'!P161</f>
        <v/>
      </c>
    </row>
    <row r="796" ht="18" customHeight="1" s="96">
      <c r="A796" s="93" t="inlineStr">
        <is>
          <t>Person A</t>
        </is>
      </c>
      <c r="B796" s="93">
        <f>'Madine- Conversion'!A162</f>
        <v/>
      </c>
      <c r="C796" s="8">
        <f>'Madine- Conversion'!B162</f>
        <v/>
      </c>
      <c r="D796" s="8">
        <f>'Madine- Conversion'!C162</f>
        <v/>
      </c>
      <c r="E796" s="8">
        <f>'Madine- Conversion'!D162</f>
        <v/>
      </c>
      <c r="F796" s="8">
        <f>'Madine- Conversion'!E162</f>
        <v/>
      </c>
      <c r="G796" s="9">
        <f>'Madine- Conversion'!F162</f>
        <v/>
      </c>
      <c r="H796" s="8">
        <f>'Madine- Conversion'!G162</f>
        <v/>
      </c>
      <c r="I796" s="10">
        <f>'Madine- Conversion'!H162</f>
        <v/>
      </c>
      <c r="J796" s="10">
        <f>'Madine- Conversion'!I162</f>
        <v/>
      </c>
      <c r="K796" s="11">
        <f>'Madine- Conversion'!J162</f>
        <v/>
      </c>
      <c r="L796" s="12">
        <f>'Madine- Conversion'!K162</f>
        <v/>
      </c>
      <c r="M796" s="11">
        <f>'Madine- Conversion'!N162</f>
        <v/>
      </c>
      <c r="N796" s="8">
        <f>'Madine- Conversion'!O162</f>
        <v/>
      </c>
      <c r="O796" s="8">
        <f>'Madine- Conversion'!P162</f>
        <v/>
      </c>
    </row>
    <row r="797" ht="18" customHeight="1" s="96">
      <c r="A797" s="2" t="inlineStr">
        <is>
          <t>Person A</t>
        </is>
      </c>
      <c r="B797" s="2">
        <f>'Madine- Conversion'!A163</f>
        <v/>
      </c>
      <c r="C797" s="3">
        <f>'Madine- Conversion'!B163</f>
        <v/>
      </c>
      <c r="D797" s="3">
        <f>'Madine- Conversion'!C163</f>
        <v/>
      </c>
      <c r="E797" s="3">
        <f>'Madine- Conversion'!D163</f>
        <v/>
      </c>
      <c r="F797" s="3">
        <f>'Madine- Conversion'!E163</f>
        <v/>
      </c>
      <c r="G797" s="4">
        <f>'Madine- Conversion'!F163</f>
        <v/>
      </c>
      <c r="H797" s="3">
        <f>'Madine- Conversion'!G163</f>
        <v/>
      </c>
      <c r="I797" s="5">
        <f>'Madine- Conversion'!H163</f>
        <v/>
      </c>
      <c r="J797" s="5">
        <f>'Madine- Conversion'!I163</f>
        <v/>
      </c>
      <c r="K797" s="6">
        <f>'Madine- Conversion'!J163</f>
        <v/>
      </c>
      <c r="L797" s="13">
        <f>'Madine- Conversion'!K163</f>
        <v/>
      </c>
      <c r="M797" s="6">
        <f>'Madine- Conversion'!N163</f>
        <v/>
      </c>
      <c r="N797" s="3">
        <f>'Madine- Conversion'!O163</f>
        <v/>
      </c>
      <c r="O797" s="3">
        <f>'Madine- Conversion'!P163</f>
        <v/>
      </c>
    </row>
    <row r="798" ht="18" customHeight="1" s="96">
      <c r="A798" s="93" t="inlineStr">
        <is>
          <t>Person A</t>
        </is>
      </c>
      <c r="B798" s="93">
        <f>'Madine- Conversion'!A164</f>
        <v/>
      </c>
      <c r="C798" s="8">
        <f>'Madine- Conversion'!B164</f>
        <v/>
      </c>
      <c r="D798" s="8">
        <f>'Madine- Conversion'!C164</f>
        <v/>
      </c>
      <c r="E798" s="8">
        <f>'Madine- Conversion'!D164</f>
        <v/>
      </c>
      <c r="F798" s="8">
        <f>'Madine- Conversion'!E164</f>
        <v/>
      </c>
      <c r="G798" s="9">
        <f>'Madine- Conversion'!F164</f>
        <v/>
      </c>
      <c r="H798" s="8">
        <f>'Madine- Conversion'!G164</f>
        <v/>
      </c>
      <c r="I798" s="10">
        <f>'Madine- Conversion'!H164</f>
        <v/>
      </c>
      <c r="J798" s="10">
        <f>'Madine- Conversion'!I164</f>
        <v/>
      </c>
      <c r="K798" s="11">
        <f>'Madine- Conversion'!J164</f>
        <v/>
      </c>
      <c r="L798" s="12">
        <f>'Madine- Conversion'!K164</f>
        <v/>
      </c>
      <c r="M798" s="11">
        <f>'Madine- Conversion'!N164</f>
        <v/>
      </c>
      <c r="N798" s="8">
        <f>'Madine- Conversion'!O164</f>
        <v/>
      </c>
      <c r="O798" s="8">
        <f>'Madine- Conversion'!P164</f>
        <v/>
      </c>
    </row>
    <row r="799" ht="18" customHeight="1" s="96">
      <c r="A799" s="2" t="inlineStr">
        <is>
          <t>Person A</t>
        </is>
      </c>
      <c r="B799" s="2">
        <f>'Madine- Conversion'!A165</f>
        <v/>
      </c>
      <c r="C799" s="3">
        <f>'Madine- Conversion'!B165</f>
        <v/>
      </c>
      <c r="D799" s="3">
        <f>'Madine- Conversion'!C165</f>
        <v/>
      </c>
      <c r="E799" s="3">
        <f>'Madine- Conversion'!D165</f>
        <v/>
      </c>
      <c r="F799" s="3">
        <f>'Madine- Conversion'!E165</f>
        <v/>
      </c>
      <c r="G799" s="4">
        <f>'Madine- Conversion'!F165</f>
        <v/>
      </c>
      <c r="H799" s="3">
        <f>'Madine- Conversion'!G165</f>
        <v/>
      </c>
      <c r="I799" s="5">
        <f>'Madine- Conversion'!H165</f>
        <v/>
      </c>
      <c r="J799" s="5">
        <f>'Madine- Conversion'!I165</f>
        <v/>
      </c>
      <c r="K799" s="6">
        <f>'Madine- Conversion'!J165</f>
        <v/>
      </c>
      <c r="L799" s="13">
        <f>'Madine- Conversion'!K165</f>
        <v/>
      </c>
      <c r="M799" s="6">
        <f>'Madine- Conversion'!N165</f>
        <v/>
      </c>
      <c r="N799" s="3">
        <f>'Madine- Conversion'!O165</f>
        <v/>
      </c>
      <c r="O799" s="3">
        <f>'Madine- Conversion'!P165</f>
        <v/>
      </c>
    </row>
    <row r="800" ht="18" customHeight="1" s="96">
      <c r="A800" s="93" t="inlineStr">
        <is>
          <t>Person A</t>
        </is>
      </c>
      <c r="B800" s="93">
        <f>'Madine- Conversion'!A166</f>
        <v/>
      </c>
      <c r="C800" s="8">
        <f>'Madine- Conversion'!B166</f>
        <v/>
      </c>
      <c r="D800" s="8">
        <f>'Madine- Conversion'!C166</f>
        <v/>
      </c>
      <c r="E800" s="8">
        <f>'Madine- Conversion'!D166</f>
        <v/>
      </c>
      <c r="F800" s="8">
        <f>'Madine- Conversion'!E166</f>
        <v/>
      </c>
      <c r="G800" s="9">
        <f>'Madine- Conversion'!F166</f>
        <v/>
      </c>
      <c r="H800" s="8">
        <f>'Madine- Conversion'!G166</f>
        <v/>
      </c>
      <c r="I800" s="10">
        <f>'Madine- Conversion'!H166</f>
        <v/>
      </c>
      <c r="J800" s="10">
        <f>'Madine- Conversion'!I166</f>
        <v/>
      </c>
      <c r="K800" s="11">
        <f>'Madine- Conversion'!J166</f>
        <v/>
      </c>
      <c r="L800" s="12">
        <f>'Madine- Conversion'!K166</f>
        <v/>
      </c>
      <c r="M800" s="11">
        <f>'Madine- Conversion'!N166</f>
        <v/>
      </c>
      <c r="N800" s="8">
        <f>'Madine- Conversion'!O166</f>
        <v/>
      </c>
      <c r="O800" s="8">
        <f>'Madine- Conversion'!P166</f>
        <v/>
      </c>
    </row>
    <row r="801" ht="18" customHeight="1" s="96">
      <c r="A801" s="2" t="inlineStr">
        <is>
          <t>Person A</t>
        </is>
      </c>
      <c r="B801" s="2">
        <f>'Madine- Conversion'!A167</f>
        <v/>
      </c>
      <c r="C801" s="3">
        <f>'Madine- Conversion'!B167</f>
        <v/>
      </c>
      <c r="D801" s="3">
        <f>'Madine- Conversion'!C167</f>
        <v/>
      </c>
      <c r="E801" s="3">
        <f>'Madine- Conversion'!D167</f>
        <v/>
      </c>
      <c r="F801" s="3">
        <f>'Madine- Conversion'!E167</f>
        <v/>
      </c>
      <c r="G801" s="4">
        <f>'Madine- Conversion'!F167</f>
        <v/>
      </c>
      <c r="H801" s="3">
        <f>'Madine- Conversion'!G167</f>
        <v/>
      </c>
      <c r="I801" s="5">
        <f>'Madine- Conversion'!H167</f>
        <v/>
      </c>
      <c r="J801" s="5">
        <f>'Madine- Conversion'!I167</f>
        <v/>
      </c>
      <c r="K801" s="6">
        <f>'Madine- Conversion'!J167</f>
        <v/>
      </c>
      <c r="L801" s="13">
        <f>'Madine- Conversion'!K167</f>
        <v/>
      </c>
      <c r="M801" s="6">
        <f>'Madine- Conversion'!N167</f>
        <v/>
      </c>
      <c r="N801" s="3">
        <f>'Madine- Conversion'!O167</f>
        <v/>
      </c>
      <c r="O801" s="3">
        <f>'Madine- Conversion'!P167</f>
        <v/>
      </c>
    </row>
    <row r="802" ht="18" customHeight="1" s="96">
      <c r="A802" s="93" t="inlineStr">
        <is>
          <t>Person A</t>
        </is>
      </c>
      <c r="B802" s="93">
        <f>'Madine- Conversion'!A168</f>
        <v/>
      </c>
      <c r="C802" s="8">
        <f>'Madine- Conversion'!B168</f>
        <v/>
      </c>
      <c r="D802" s="8">
        <f>'Madine- Conversion'!C168</f>
        <v/>
      </c>
      <c r="E802" s="8">
        <f>'Madine- Conversion'!D168</f>
        <v/>
      </c>
      <c r="F802" s="8">
        <f>'Madine- Conversion'!E168</f>
        <v/>
      </c>
      <c r="G802" s="9">
        <f>'Madine- Conversion'!F168</f>
        <v/>
      </c>
      <c r="H802" s="8">
        <f>'Madine- Conversion'!G168</f>
        <v/>
      </c>
      <c r="I802" s="10">
        <f>'Madine- Conversion'!H168</f>
        <v/>
      </c>
      <c r="J802" s="10">
        <f>'Madine- Conversion'!I168</f>
        <v/>
      </c>
      <c r="K802" s="11">
        <f>'Madine- Conversion'!J168</f>
        <v/>
      </c>
      <c r="L802" s="12">
        <f>'Madine- Conversion'!K168</f>
        <v/>
      </c>
      <c r="M802" s="11">
        <f>'Madine- Conversion'!N168</f>
        <v/>
      </c>
      <c r="N802" s="8">
        <f>'Madine- Conversion'!O168</f>
        <v/>
      </c>
      <c r="O802" s="8">
        <f>'Madine- Conversion'!P168</f>
        <v/>
      </c>
    </row>
    <row r="803" ht="18" customHeight="1" s="96">
      <c r="A803" s="2" t="inlineStr">
        <is>
          <t>Person A</t>
        </is>
      </c>
      <c r="B803" s="2">
        <f>'Madine- Conversion'!A169</f>
        <v/>
      </c>
      <c r="C803" s="3">
        <f>'Madine- Conversion'!B169</f>
        <v/>
      </c>
      <c r="D803" s="3">
        <f>'Madine- Conversion'!C169</f>
        <v/>
      </c>
      <c r="E803" s="3">
        <f>'Madine- Conversion'!D169</f>
        <v/>
      </c>
      <c r="F803" s="3">
        <f>'Madine- Conversion'!E169</f>
        <v/>
      </c>
      <c r="G803" s="4">
        <f>'Madine- Conversion'!F169</f>
        <v/>
      </c>
      <c r="H803" s="3">
        <f>'Madine- Conversion'!G169</f>
        <v/>
      </c>
      <c r="I803" s="5">
        <f>'Madine- Conversion'!H169</f>
        <v/>
      </c>
      <c r="J803" s="5">
        <f>'Madine- Conversion'!I169</f>
        <v/>
      </c>
      <c r="K803" s="6">
        <f>'Madine- Conversion'!J169</f>
        <v/>
      </c>
      <c r="L803" s="13">
        <f>'Madine- Conversion'!K169</f>
        <v/>
      </c>
      <c r="M803" s="6">
        <f>'Madine- Conversion'!N169</f>
        <v/>
      </c>
      <c r="N803" s="3">
        <f>'Madine- Conversion'!O169</f>
        <v/>
      </c>
      <c r="O803" s="3">
        <f>'Madine- Conversion'!P169</f>
        <v/>
      </c>
    </row>
    <row r="804" ht="18" customHeight="1" s="96">
      <c r="A804" s="93" t="inlineStr">
        <is>
          <t>Person A</t>
        </is>
      </c>
      <c r="B804" s="93">
        <f>'Madine- Conversion'!A170</f>
        <v/>
      </c>
      <c r="C804" s="8">
        <f>'Madine- Conversion'!B170</f>
        <v/>
      </c>
      <c r="D804" s="8">
        <f>'Madine- Conversion'!C170</f>
        <v/>
      </c>
      <c r="E804" s="8">
        <f>'Madine- Conversion'!D170</f>
        <v/>
      </c>
      <c r="F804" s="8">
        <f>'Madine- Conversion'!E170</f>
        <v/>
      </c>
      <c r="G804" s="9">
        <f>'Madine- Conversion'!F170</f>
        <v/>
      </c>
      <c r="H804" s="8">
        <f>'Madine- Conversion'!G170</f>
        <v/>
      </c>
      <c r="I804" s="10">
        <f>'Madine- Conversion'!H170</f>
        <v/>
      </c>
      <c r="J804" s="10">
        <f>'Madine- Conversion'!I170</f>
        <v/>
      </c>
      <c r="K804" s="11">
        <f>'Madine- Conversion'!J170</f>
        <v/>
      </c>
      <c r="L804" s="12">
        <f>'Madine- Conversion'!K170</f>
        <v/>
      </c>
      <c r="M804" s="11">
        <f>'Madine- Conversion'!N170</f>
        <v/>
      </c>
      <c r="N804" s="8">
        <f>'Madine- Conversion'!O170</f>
        <v/>
      </c>
      <c r="O804" s="8">
        <f>'Madine- Conversion'!P170</f>
        <v/>
      </c>
    </row>
    <row r="805" ht="18" customHeight="1" s="96">
      <c r="A805" s="2" t="inlineStr">
        <is>
          <t>Person A</t>
        </is>
      </c>
      <c r="B805" s="2">
        <f>'Madine- Conversion'!A171</f>
        <v/>
      </c>
      <c r="C805" s="3">
        <f>'Madine- Conversion'!B171</f>
        <v/>
      </c>
      <c r="D805" s="3">
        <f>'Madine- Conversion'!C171</f>
        <v/>
      </c>
      <c r="E805" s="3">
        <f>'Madine- Conversion'!D171</f>
        <v/>
      </c>
      <c r="F805" s="3">
        <f>'Madine- Conversion'!E171</f>
        <v/>
      </c>
      <c r="G805" s="4">
        <f>'Madine- Conversion'!F171</f>
        <v/>
      </c>
      <c r="H805" s="3">
        <f>'Madine- Conversion'!G171</f>
        <v/>
      </c>
      <c r="I805" s="5">
        <f>'Madine- Conversion'!H171</f>
        <v/>
      </c>
      <c r="J805" s="5">
        <f>'Madine- Conversion'!I171</f>
        <v/>
      </c>
      <c r="K805" s="6">
        <f>'Madine- Conversion'!J171</f>
        <v/>
      </c>
      <c r="L805" s="13">
        <f>'Madine- Conversion'!K171</f>
        <v/>
      </c>
      <c r="M805" s="6">
        <f>'Madine- Conversion'!N171</f>
        <v/>
      </c>
      <c r="N805" s="3">
        <f>'Madine- Conversion'!O171</f>
        <v/>
      </c>
      <c r="O805" s="3">
        <f>'Madine- Conversion'!P171</f>
        <v/>
      </c>
    </row>
    <row r="806" ht="18" customHeight="1" s="96">
      <c r="A806" s="93" t="inlineStr">
        <is>
          <t>Person A</t>
        </is>
      </c>
      <c r="B806" s="93">
        <f>'Madine- Conversion'!A172</f>
        <v/>
      </c>
      <c r="C806" s="8">
        <f>'Madine- Conversion'!B172</f>
        <v/>
      </c>
      <c r="D806" s="8">
        <f>'Madine- Conversion'!C172</f>
        <v/>
      </c>
      <c r="E806" s="8">
        <f>'Madine- Conversion'!D172</f>
        <v/>
      </c>
      <c r="F806" s="8">
        <f>'Madine- Conversion'!E172</f>
        <v/>
      </c>
      <c r="G806" s="9">
        <f>'Madine- Conversion'!F172</f>
        <v/>
      </c>
      <c r="H806" s="8">
        <f>'Madine- Conversion'!G172</f>
        <v/>
      </c>
      <c r="I806" s="10">
        <f>'Madine- Conversion'!H172</f>
        <v/>
      </c>
      <c r="J806" s="10">
        <f>'Madine- Conversion'!I172</f>
        <v/>
      </c>
      <c r="K806" s="11">
        <f>'Madine- Conversion'!J172</f>
        <v/>
      </c>
      <c r="L806" s="12">
        <f>'Madine- Conversion'!K172</f>
        <v/>
      </c>
      <c r="M806" s="11">
        <f>'Madine- Conversion'!N172</f>
        <v/>
      </c>
      <c r="N806" s="8">
        <f>'Madine- Conversion'!O172</f>
        <v/>
      </c>
      <c r="O806" s="8">
        <f>'Madine- Conversion'!P172</f>
        <v/>
      </c>
    </row>
    <row r="807" ht="18" customHeight="1" s="96">
      <c r="A807" s="2" t="inlineStr">
        <is>
          <t>Person A</t>
        </is>
      </c>
      <c r="B807" s="2">
        <f>'Madine- Conversion'!A173</f>
        <v/>
      </c>
      <c r="C807" s="3">
        <f>'Madine- Conversion'!B173</f>
        <v/>
      </c>
      <c r="D807" s="3">
        <f>'Madine- Conversion'!C173</f>
        <v/>
      </c>
      <c r="E807" s="3">
        <f>'Madine- Conversion'!D173</f>
        <v/>
      </c>
      <c r="F807" s="3">
        <f>'Madine- Conversion'!E173</f>
        <v/>
      </c>
      <c r="G807" s="4">
        <f>'Madine- Conversion'!F173</f>
        <v/>
      </c>
      <c r="H807" s="3">
        <f>'Madine- Conversion'!G173</f>
        <v/>
      </c>
      <c r="I807" s="5">
        <f>'Madine- Conversion'!H173</f>
        <v/>
      </c>
      <c r="J807" s="5">
        <f>'Madine- Conversion'!I173</f>
        <v/>
      </c>
      <c r="K807" s="6">
        <f>'Madine- Conversion'!J173</f>
        <v/>
      </c>
      <c r="L807" s="13">
        <f>'Madine- Conversion'!K173</f>
        <v/>
      </c>
      <c r="M807" s="6">
        <f>'Madine- Conversion'!N173</f>
        <v/>
      </c>
      <c r="N807" s="3">
        <f>'Madine- Conversion'!O173</f>
        <v/>
      </c>
      <c r="O807" s="3">
        <f>'Madine- Conversion'!P173</f>
        <v/>
      </c>
    </row>
    <row r="808" ht="18" customHeight="1" s="96">
      <c r="A808" s="93" t="inlineStr">
        <is>
          <t>Person A</t>
        </is>
      </c>
      <c r="B808" s="93">
        <f>'Madine- Conversion'!A174</f>
        <v/>
      </c>
      <c r="C808" s="8">
        <f>'Madine- Conversion'!B174</f>
        <v/>
      </c>
      <c r="D808" s="8">
        <f>'Madine- Conversion'!C174</f>
        <v/>
      </c>
      <c r="E808" s="8">
        <f>'Madine- Conversion'!D174</f>
        <v/>
      </c>
      <c r="F808" s="8">
        <f>'Madine- Conversion'!E174</f>
        <v/>
      </c>
      <c r="G808" s="9">
        <f>'Madine- Conversion'!F174</f>
        <v/>
      </c>
      <c r="H808" s="8">
        <f>'Madine- Conversion'!G174</f>
        <v/>
      </c>
      <c r="I808" s="10">
        <f>'Madine- Conversion'!H174</f>
        <v/>
      </c>
      <c r="J808" s="10">
        <f>'Madine- Conversion'!I174</f>
        <v/>
      </c>
      <c r="K808" s="11">
        <f>'Madine- Conversion'!J174</f>
        <v/>
      </c>
      <c r="L808" s="12">
        <f>'Madine- Conversion'!K174</f>
        <v/>
      </c>
      <c r="M808" s="11">
        <f>'Madine- Conversion'!N174</f>
        <v/>
      </c>
      <c r="N808" s="8">
        <f>'Madine- Conversion'!O174</f>
        <v/>
      </c>
      <c r="O808" s="8">
        <f>'Madine- Conversion'!P174</f>
        <v/>
      </c>
    </row>
    <row r="809" ht="18" customHeight="1" s="96">
      <c r="A809" s="2" t="inlineStr">
        <is>
          <t>Person A</t>
        </is>
      </c>
      <c r="B809" s="2">
        <f>'Madine- Conversion'!A175</f>
        <v/>
      </c>
      <c r="C809" s="3">
        <f>'Madine- Conversion'!B175</f>
        <v/>
      </c>
      <c r="D809" s="3">
        <f>'Madine- Conversion'!C175</f>
        <v/>
      </c>
      <c r="E809" s="3">
        <f>'Madine- Conversion'!D175</f>
        <v/>
      </c>
      <c r="F809" s="3">
        <f>'Madine- Conversion'!E175</f>
        <v/>
      </c>
      <c r="G809" s="4">
        <f>'Madine- Conversion'!F175</f>
        <v/>
      </c>
      <c r="H809" s="3">
        <f>'Madine- Conversion'!G175</f>
        <v/>
      </c>
      <c r="I809" s="5">
        <f>'Madine- Conversion'!H175</f>
        <v/>
      </c>
      <c r="J809" s="5">
        <f>'Madine- Conversion'!I175</f>
        <v/>
      </c>
      <c r="K809" s="6">
        <f>'Madine- Conversion'!J175</f>
        <v/>
      </c>
      <c r="L809" s="13">
        <f>'Madine- Conversion'!K175</f>
        <v/>
      </c>
      <c r="M809" s="6">
        <f>'Madine- Conversion'!N175</f>
        <v/>
      </c>
      <c r="N809" s="3">
        <f>'Madine- Conversion'!O175</f>
        <v/>
      </c>
      <c r="O809" s="3">
        <f>'Madine- Conversion'!P175</f>
        <v/>
      </c>
    </row>
    <row r="810" ht="18" customHeight="1" s="96">
      <c r="A810" s="93" t="inlineStr">
        <is>
          <t>Person A</t>
        </is>
      </c>
      <c r="B810" s="93">
        <f>'Madine- Conversion'!A176</f>
        <v/>
      </c>
      <c r="C810" s="8">
        <f>'Madine- Conversion'!B176</f>
        <v/>
      </c>
      <c r="D810" s="8">
        <f>'Madine- Conversion'!C176</f>
        <v/>
      </c>
      <c r="E810" s="8">
        <f>'Madine- Conversion'!D176</f>
        <v/>
      </c>
      <c r="F810" s="8">
        <f>'Madine- Conversion'!E176</f>
        <v/>
      </c>
      <c r="G810" s="9">
        <f>'Madine- Conversion'!F176</f>
        <v/>
      </c>
      <c r="H810" s="8">
        <f>'Madine- Conversion'!G176</f>
        <v/>
      </c>
      <c r="I810" s="10">
        <f>'Madine- Conversion'!H176</f>
        <v/>
      </c>
      <c r="J810" s="10">
        <f>'Madine- Conversion'!I176</f>
        <v/>
      </c>
      <c r="K810" s="11">
        <f>'Madine- Conversion'!J176</f>
        <v/>
      </c>
      <c r="L810" s="12">
        <f>'Madine- Conversion'!K176</f>
        <v/>
      </c>
      <c r="M810" s="11">
        <f>'Madine- Conversion'!N176</f>
        <v/>
      </c>
      <c r="N810" s="8">
        <f>'Madine- Conversion'!O176</f>
        <v/>
      </c>
      <c r="O810" s="8">
        <f>'Madine- Conversion'!P176</f>
        <v/>
      </c>
    </row>
    <row r="811" ht="18" customHeight="1" s="96">
      <c r="A811" s="2" t="inlineStr">
        <is>
          <t>Person A</t>
        </is>
      </c>
      <c r="B811" s="2">
        <f>'Madine- Conversion'!A177</f>
        <v/>
      </c>
      <c r="C811" s="3">
        <f>'Madine- Conversion'!B177</f>
        <v/>
      </c>
      <c r="D811" s="3">
        <f>'Madine- Conversion'!C177</f>
        <v/>
      </c>
      <c r="E811" s="3">
        <f>'Madine- Conversion'!D177</f>
        <v/>
      </c>
      <c r="F811" s="3">
        <f>'Madine- Conversion'!E177</f>
        <v/>
      </c>
      <c r="G811" s="4">
        <f>'Madine- Conversion'!F177</f>
        <v/>
      </c>
      <c r="H811" s="3">
        <f>'Madine- Conversion'!G177</f>
        <v/>
      </c>
      <c r="I811" s="5">
        <f>'Madine- Conversion'!H177</f>
        <v/>
      </c>
      <c r="J811" s="5">
        <f>'Madine- Conversion'!I177</f>
        <v/>
      </c>
      <c r="K811" s="6">
        <f>'Madine- Conversion'!J177</f>
        <v/>
      </c>
      <c r="L811" s="13">
        <f>'Madine- Conversion'!K177</f>
        <v/>
      </c>
      <c r="M811" s="6">
        <f>'Madine- Conversion'!N177</f>
        <v/>
      </c>
      <c r="N811" s="3">
        <f>'Madine- Conversion'!O177</f>
        <v/>
      </c>
      <c r="O811" s="3">
        <f>'Madine- Conversion'!P177</f>
        <v/>
      </c>
    </row>
    <row r="812" ht="18" customHeight="1" s="96">
      <c r="A812" s="93" t="inlineStr">
        <is>
          <t>Person A</t>
        </is>
      </c>
      <c r="B812" s="93">
        <f>'Madine- Conversion'!A178</f>
        <v/>
      </c>
      <c r="C812" s="8">
        <f>'Madine- Conversion'!B178</f>
        <v/>
      </c>
      <c r="D812" s="8">
        <f>'Madine- Conversion'!C178</f>
        <v/>
      </c>
      <c r="E812" s="8">
        <f>'Madine- Conversion'!D178</f>
        <v/>
      </c>
      <c r="F812" s="8">
        <f>'Madine- Conversion'!E178</f>
        <v/>
      </c>
      <c r="G812" s="9">
        <f>'Madine- Conversion'!F178</f>
        <v/>
      </c>
      <c r="H812" s="8">
        <f>'Madine- Conversion'!G178</f>
        <v/>
      </c>
      <c r="I812" s="10">
        <f>'Madine- Conversion'!H178</f>
        <v/>
      </c>
      <c r="J812" s="10">
        <f>'Madine- Conversion'!I178</f>
        <v/>
      </c>
      <c r="K812" s="11">
        <f>'Madine- Conversion'!J178</f>
        <v/>
      </c>
      <c r="L812" s="12">
        <f>'Madine- Conversion'!K178</f>
        <v/>
      </c>
      <c r="M812" s="11">
        <f>'Madine- Conversion'!N178</f>
        <v/>
      </c>
      <c r="N812" s="8">
        <f>'Madine- Conversion'!O178</f>
        <v/>
      </c>
      <c r="O812" s="8">
        <f>'Madine- Conversion'!P178</f>
        <v/>
      </c>
    </row>
    <row r="813" ht="18" customHeight="1" s="96">
      <c r="A813" s="2" t="inlineStr">
        <is>
          <t>Person A</t>
        </is>
      </c>
      <c r="B813" s="2">
        <f>'Madine- Conversion'!A179</f>
        <v/>
      </c>
      <c r="C813" s="3">
        <f>'Madine- Conversion'!B179</f>
        <v/>
      </c>
      <c r="D813" s="3">
        <f>'Madine- Conversion'!C179</f>
        <v/>
      </c>
      <c r="E813" s="3">
        <f>'Madine- Conversion'!D179</f>
        <v/>
      </c>
      <c r="F813" s="3">
        <f>'Madine- Conversion'!E179</f>
        <v/>
      </c>
      <c r="G813" s="4">
        <f>'Madine- Conversion'!F179</f>
        <v/>
      </c>
      <c r="H813" s="3">
        <f>'Madine- Conversion'!G179</f>
        <v/>
      </c>
      <c r="I813" s="5">
        <f>'Madine- Conversion'!H179</f>
        <v/>
      </c>
      <c r="J813" s="5">
        <f>'Madine- Conversion'!I179</f>
        <v/>
      </c>
      <c r="K813" s="6">
        <f>'Madine- Conversion'!J179</f>
        <v/>
      </c>
      <c r="L813" s="13">
        <f>'Madine- Conversion'!K179</f>
        <v/>
      </c>
      <c r="M813" s="6">
        <f>'Madine- Conversion'!N179</f>
        <v/>
      </c>
      <c r="N813" s="3">
        <f>'Madine- Conversion'!O179</f>
        <v/>
      </c>
      <c r="O813" s="3">
        <f>'Madine- Conversion'!P179</f>
        <v/>
      </c>
    </row>
    <row r="814" ht="18" customHeight="1" s="96">
      <c r="A814" s="93" t="inlineStr">
        <is>
          <t>Person A</t>
        </is>
      </c>
      <c r="B814" s="93">
        <f>'Madine- Conversion'!A180</f>
        <v/>
      </c>
      <c r="C814" s="8">
        <f>'Madine- Conversion'!B180</f>
        <v/>
      </c>
      <c r="D814" s="8">
        <f>'Madine- Conversion'!C180</f>
        <v/>
      </c>
      <c r="E814" s="8">
        <f>'Madine- Conversion'!D180</f>
        <v/>
      </c>
      <c r="F814" s="8">
        <f>'Madine- Conversion'!E180</f>
        <v/>
      </c>
      <c r="G814" s="9">
        <f>'Madine- Conversion'!F180</f>
        <v/>
      </c>
      <c r="H814" s="8">
        <f>'Madine- Conversion'!G180</f>
        <v/>
      </c>
      <c r="I814" s="10">
        <f>'Madine- Conversion'!H180</f>
        <v/>
      </c>
      <c r="J814" s="10">
        <f>'Madine- Conversion'!I180</f>
        <v/>
      </c>
      <c r="K814" s="11">
        <f>'Madine- Conversion'!J180</f>
        <v/>
      </c>
      <c r="L814" s="12">
        <f>'Madine- Conversion'!K180</f>
        <v/>
      </c>
      <c r="M814" s="11">
        <f>'Madine- Conversion'!N180</f>
        <v/>
      </c>
      <c r="N814" s="8">
        <f>'Madine- Conversion'!O180</f>
        <v/>
      </c>
      <c r="O814" s="8">
        <f>'Madine- Conversion'!P180</f>
        <v/>
      </c>
    </row>
    <row r="815" ht="18" customHeight="1" s="96">
      <c r="A815" s="2" t="inlineStr">
        <is>
          <t>Person A</t>
        </is>
      </c>
      <c r="B815" s="2">
        <f>'Madine- Conversion'!A181</f>
        <v/>
      </c>
      <c r="C815" s="3">
        <f>'Madine- Conversion'!B181</f>
        <v/>
      </c>
      <c r="D815" s="3">
        <f>'Madine- Conversion'!C181</f>
        <v/>
      </c>
      <c r="E815" s="3">
        <f>'Madine- Conversion'!D181</f>
        <v/>
      </c>
      <c r="F815" s="3">
        <f>'Madine- Conversion'!E181</f>
        <v/>
      </c>
      <c r="G815" s="4">
        <f>'Madine- Conversion'!F181</f>
        <v/>
      </c>
      <c r="H815" s="3">
        <f>'Madine- Conversion'!G181</f>
        <v/>
      </c>
      <c r="I815" s="5">
        <f>'Madine- Conversion'!H181</f>
        <v/>
      </c>
      <c r="J815" s="5">
        <f>'Madine- Conversion'!I181</f>
        <v/>
      </c>
      <c r="K815" s="6">
        <f>'Madine- Conversion'!J181</f>
        <v/>
      </c>
      <c r="L815" s="13">
        <f>'Madine- Conversion'!K181</f>
        <v/>
      </c>
      <c r="M815" s="6">
        <f>'Madine- Conversion'!N181</f>
        <v/>
      </c>
      <c r="N815" s="3">
        <f>'Madine- Conversion'!O181</f>
        <v/>
      </c>
      <c r="O815" s="3">
        <f>'Madine- Conversion'!P181</f>
        <v/>
      </c>
    </row>
    <row r="816" ht="18" customHeight="1" s="96">
      <c r="A816" s="93" t="inlineStr">
        <is>
          <t>Person A</t>
        </is>
      </c>
      <c r="B816" s="93">
        <f>'Madine- Conversion'!A182</f>
        <v/>
      </c>
      <c r="C816" s="8">
        <f>'Madine- Conversion'!B182</f>
        <v/>
      </c>
      <c r="D816" s="8">
        <f>'Madine- Conversion'!C182</f>
        <v/>
      </c>
      <c r="E816" s="8">
        <f>'Madine- Conversion'!D182</f>
        <v/>
      </c>
      <c r="F816" s="8">
        <f>'Madine- Conversion'!E182</f>
        <v/>
      </c>
      <c r="G816" s="9">
        <f>'Madine- Conversion'!F182</f>
        <v/>
      </c>
      <c r="H816" s="8">
        <f>'Madine- Conversion'!G182</f>
        <v/>
      </c>
      <c r="I816" s="10">
        <f>'Madine- Conversion'!H182</f>
        <v/>
      </c>
      <c r="J816" s="10">
        <f>'Madine- Conversion'!I182</f>
        <v/>
      </c>
      <c r="K816" s="11">
        <f>'Madine- Conversion'!J182</f>
        <v/>
      </c>
      <c r="L816" s="12">
        <f>'Madine- Conversion'!K182</f>
        <v/>
      </c>
      <c r="M816" s="11">
        <f>'Madine- Conversion'!N182</f>
        <v/>
      </c>
      <c r="N816" s="8">
        <f>'Madine- Conversion'!O182</f>
        <v/>
      </c>
      <c r="O816" s="8">
        <f>'Madine- Conversion'!P182</f>
        <v/>
      </c>
    </row>
    <row r="817" ht="18" customHeight="1" s="96">
      <c r="A817" s="2" t="inlineStr">
        <is>
          <t>Person A</t>
        </is>
      </c>
      <c r="B817" s="2">
        <f>'Madine- Conversion'!A183</f>
        <v/>
      </c>
      <c r="C817" s="3">
        <f>'Madine- Conversion'!B183</f>
        <v/>
      </c>
      <c r="D817" s="3">
        <f>'Madine- Conversion'!C183</f>
        <v/>
      </c>
      <c r="E817" s="3">
        <f>'Madine- Conversion'!D183</f>
        <v/>
      </c>
      <c r="F817" s="3">
        <f>'Madine- Conversion'!E183</f>
        <v/>
      </c>
      <c r="G817" s="4">
        <f>'Madine- Conversion'!F183</f>
        <v/>
      </c>
      <c r="H817" s="3">
        <f>'Madine- Conversion'!G183</f>
        <v/>
      </c>
      <c r="I817" s="5">
        <f>'Madine- Conversion'!H183</f>
        <v/>
      </c>
      <c r="J817" s="5">
        <f>'Madine- Conversion'!I183</f>
        <v/>
      </c>
      <c r="K817" s="6">
        <f>'Madine- Conversion'!J183</f>
        <v/>
      </c>
      <c r="L817" s="13">
        <f>'Madine- Conversion'!K183</f>
        <v/>
      </c>
      <c r="M817" s="6">
        <f>'Madine- Conversion'!N183</f>
        <v/>
      </c>
      <c r="N817" s="3">
        <f>'Madine- Conversion'!O183</f>
        <v/>
      </c>
      <c r="O817" s="3">
        <f>'Madine- Conversion'!P183</f>
        <v/>
      </c>
    </row>
    <row r="818" ht="18" customHeight="1" s="96">
      <c r="A818" s="93" t="inlineStr">
        <is>
          <t>Person A</t>
        </is>
      </c>
      <c r="B818" s="93">
        <f>'Madine- Conversion'!A184</f>
        <v/>
      </c>
      <c r="C818" s="8">
        <f>'Madine- Conversion'!B184</f>
        <v/>
      </c>
      <c r="D818" s="8">
        <f>'Madine- Conversion'!C184</f>
        <v/>
      </c>
      <c r="E818" s="8">
        <f>'Madine- Conversion'!D184</f>
        <v/>
      </c>
      <c r="F818" s="8">
        <f>'Madine- Conversion'!E184</f>
        <v/>
      </c>
      <c r="G818" s="9">
        <f>'Madine- Conversion'!F184</f>
        <v/>
      </c>
      <c r="H818" s="8">
        <f>'Madine- Conversion'!G184</f>
        <v/>
      </c>
      <c r="I818" s="10">
        <f>'Madine- Conversion'!H184</f>
        <v/>
      </c>
      <c r="J818" s="10">
        <f>'Madine- Conversion'!I184</f>
        <v/>
      </c>
      <c r="K818" s="11">
        <f>'Madine- Conversion'!J184</f>
        <v/>
      </c>
      <c r="L818" s="12">
        <f>'Madine- Conversion'!K184</f>
        <v/>
      </c>
      <c r="M818" s="11">
        <f>'Madine- Conversion'!N184</f>
        <v/>
      </c>
      <c r="N818" s="8">
        <f>'Madine- Conversion'!O184</f>
        <v/>
      </c>
      <c r="O818" s="8">
        <f>'Madine- Conversion'!P184</f>
        <v/>
      </c>
    </row>
    <row r="819" ht="18" customHeight="1" s="96">
      <c r="A819" s="2" t="inlineStr">
        <is>
          <t>Person A</t>
        </is>
      </c>
      <c r="B819" s="2">
        <f>'Madine- Conversion'!A185</f>
        <v/>
      </c>
      <c r="C819" s="3">
        <f>'Madine- Conversion'!B185</f>
        <v/>
      </c>
      <c r="D819" s="3">
        <f>'Madine- Conversion'!C185</f>
        <v/>
      </c>
      <c r="E819" s="3">
        <f>'Madine- Conversion'!D185</f>
        <v/>
      </c>
      <c r="F819" s="3">
        <f>'Madine- Conversion'!E185</f>
        <v/>
      </c>
      <c r="G819" s="4">
        <f>'Madine- Conversion'!F185</f>
        <v/>
      </c>
      <c r="H819" s="3">
        <f>'Madine- Conversion'!G185</f>
        <v/>
      </c>
      <c r="I819" s="5">
        <f>'Madine- Conversion'!H185</f>
        <v/>
      </c>
      <c r="J819" s="5">
        <f>'Madine- Conversion'!I185</f>
        <v/>
      </c>
      <c r="K819" s="6">
        <f>'Madine- Conversion'!J185</f>
        <v/>
      </c>
      <c r="L819" s="13">
        <f>'Madine- Conversion'!K185</f>
        <v/>
      </c>
      <c r="M819" s="6">
        <f>'Madine- Conversion'!N185</f>
        <v/>
      </c>
      <c r="N819" s="3">
        <f>'Madine- Conversion'!O185</f>
        <v/>
      </c>
      <c r="O819" s="3">
        <f>'Madine- Conversion'!P185</f>
        <v/>
      </c>
    </row>
    <row r="820" ht="18" customHeight="1" s="96">
      <c r="A820" s="93" t="inlineStr">
        <is>
          <t>Person A</t>
        </is>
      </c>
      <c r="B820" s="93">
        <f>'Madine- Conversion'!A186</f>
        <v/>
      </c>
      <c r="C820" s="8">
        <f>'Madine- Conversion'!B186</f>
        <v/>
      </c>
      <c r="D820" s="8">
        <f>'Madine- Conversion'!C186</f>
        <v/>
      </c>
      <c r="E820" s="8">
        <f>'Madine- Conversion'!D186</f>
        <v/>
      </c>
      <c r="F820" s="8">
        <f>'Madine- Conversion'!E186</f>
        <v/>
      </c>
      <c r="G820" s="9">
        <f>'Madine- Conversion'!F186</f>
        <v/>
      </c>
      <c r="H820" s="8">
        <f>'Madine- Conversion'!G186</f>
        <v/>
      </c>
      <c r="I820" s="10">
        <f>'Madine- Conversion'!H186</f>
        <v/>
      </c>
      <c r="J820" s="10">
        <f>'Madine- Conversion'!I186</f>
        <v/>
      </c>
      <c r="K820" s="11">
        <f>'Madine- Conversion'!J186</f>
        <v/>
      </c>
      <c r="L820" s="12">
        <f>'Madine- Conversion'!K186</f>
        <v/>
      </c>
      <c r="M820" s="11">
        <f>'Madine- Conversion'!N186</f>
        <v/>
      </c>
      <c r="N820" s="8">
        <f>'Madine- Conversion'!O186</f>
        <v/>
      </c>
      <c r="O820" s="8">
        <f>'Madine- Conversion'!P186</f>
        <v/>
      </c>
    </row>
    <row r="821" ht="18" customHeight="1" s="96">
      <c r="A821" s="2" t="inlineStr">
        <is>
          <t>Person A</t>
        </is>
      </c>
      <c r="B821" s="2">
        <f>'Madine- Conversion'!A187</f>
        <v/>
      </c>
      <c r="C821" s="3">
        <f>'Madine- Conversion'!B187</f>
        <v/>
      </c>
      <c r="D821" s="3">
        <f>'Madine- Conversion'!C187</f>
        <v/>
      </c>
      <c r="E821" s="3">
        <f>'Madine- Conversion'!D187</f>
        <v/>
      </c>
      <c r="F821" s="3">
        <f>'Madine- Conversion'!E187</f>
        <v/>
      </c>
      <c r="G821" s="4">
        <f>'Madine- Conversion'!F187</f>
        <v/>
      </c>
      <c r="H821" s="3">
        <f>'Madine- Conversion'!G187</f>
        <v/>
      </c>
      <c r="I821" s="5">
        <f>'Madine- Conversion'!H187</f>
        <v/>
      </c>
      <c r="J821" s="5">
        <f>'Madine- Conversion'!I187</f>
        <v/>
      </c>
      <c r="K821" s="6">
        <f>'Madine- Conversion'!J187</f>
        <v/>
      </c>
      <c r="L821" s="13">
        <f>'Madine- Conversion'!K187</f>
        <v/>
      </c>
      <c r="M821" s="6">
        <f>'Madine- Conversion'!N187</f>
        <v/>
      </c>
      <c r="N821" s="3">
        <f>'Madine- Conversion'!O187</f>
        <v/>
      </c>
      <c r="O821" s="3">
        <f>'Madine- Conversion'!P187</f>
        <v/>
      </c>
    </row>
    <row r="822" ht="18" customHeight="1" s="96">
      <c r="A822" s="93" t="inlineStr">
        <is>
          <t>Person A</t>
        </is>
      </c>
      <c r="B822" s="93">
        <f>'Madine- Conversion'!A188</f>
        <v/>
      </c>
      <c r="C822" s="8">
        <f>'Madine- Conversion'!B188</f>
        <v/>
      </c>
      <c r="D822" s="8">
        <f>'Madine- Conversion'!C188</f>
        <v/>
      </c>
      <c r="E822" s="8">
        <f>'Madine- Conversion'!D188</f>
        <v/>
      </c>
      <c r="F822" s="8">
        <f>'Madine- Conversion'!E188</f>
        <v/>
      </c>
      <c r="G822" s="9">
        <f>'Madine- Conversion'!F188</f>
        <v/>
      </c>
      <c r="H822" s="8">
        <f>'Madine- Conversion'!G188</f>
        <v/>
      </c>
      <c r="I822" s="10">
        <f>'Madine- Conversion'!H188</f>
        <v/>
      </c>
      <c r="J822" s="10">
        <f>'Madine- Conversion'!I188</f>
        <v/>
      </c>
      <c r="K822" s="11">
        <f>'Madine- Conversion'!J188</f>
        <v/>
      </c>
      <c r="L822" s="12">
        <f>'Madine- Conversion'!K188</f>
        <v/>
      </c>
      <c r="M822" s="11">
        <f>'Madine- Conversion'!N188</f>
        <v/>
      </c>
      <c r="N822" s="8">
        <f>'Madine- Conversion'!O188</f>
        <v/>
      </c>
      <c r="O822" s="8">
        <f>'Madine- Conversion'!P188</f>
        <v/>
      </c>
    </row>
    <row r="823" ht="18" customHeight="1" s="96">
      <c r="A823" s="2" t="inlineStr">
        <is>
          <t>Person A</t>
        </is>
      </c>
      <c r="B823" s="2">
        <f>'Madine- Conversion'!A189</f>
        <v/>
      </c>
      <c r="C823" s="3">
        <f>'Madine- Conversion'!B189</f>
        <v/>
      </c>
      <c r="D823" s="3">
        <f>'Madine- Conversion'!C189</f>
        <v/>
      </c>
      <c r="E823" s="3">
        <f>'Madine- Conversion'!D189</f>
        <v/>
      </c>
      <c r="F823" s="3">
        <f>'Madine- Conversion'!E189</f>
        <v/>
      </c>
      <c r="G823" s="4">
        <f>'Madine- Conversion'!F189</f>
        <v/>
      </c>
      <c r="H823" s="3">
        <f>'Madine- Conversion'!G189</f>
        <v/>
      </c>
      <c r="I823" s="5">
        <f>'Madine- Conversion'!H189</f>
        <v/>
      </c>
      <c r="J823" s="5">
        <f>'Madine- Conversion'!I189</f>
        <v/>
      </c>
      <c r="K823" s="6">
        <f>'Madine- Conversion'!J189</f>
        <v/>
      </c>
      <c r="L823" s="13">
        <f>'Madine- Conversion'!K189</f>
        <v/>
      </c>
      <c r="M823" s="6">
        <f>'Madine- Conversion'!N189</f>
        <v/>
      </c>
      <c r="N823" s="3">
        <f>'Madine- Conversion'!O189</f>
        <v/>
      </c>
      <c r="O823" s="3">
        <f>'Madine- Conversion'!P189</f>
        <v/>
      </c>
    </row>
    <row r="824" ht="18" customHeight="1" s="96">
      <c r="A824" s="93" t="inlineStr">
        <is>
          <t>Person A</t>
        </is>
      </c>
      <c r="B824" s="93">
        <f>'Madine- Conversion'!A190</f>
        <v/>
      </c>
      <c r="C824" s="8">
        <f>'Madine- Conversion'!B190</f>
        <v/>
      </c>
      <c r="D824" s="8">
        <f>'Madine- Conversion'!C190</f>
        <v/>
      </c>
      <c r="E824" s="8">
        <f>'Madine- Conversion'!D190</f>
        <v/>
      </c>
      <c r="F824" s="8">
        <f>'Madine- Conversion'!E190</f>
        <v/>
      </c>
      <c r="G824" s="9">
        <f>'Madine- Conversion'!F190</f>
        <v/>
      </c>
      <c r="H824" s="8">
        <f>'Madine- Conversion'!G190</f>
        <v/>
      </c>
      <c r="I824" s="10">
        <f>'Madine- Conversion'!H190</f>
        <v/>
      </c>
      <c r="J824" s="10">
        <f>'Madine- Conversion'!I190</f>
        <v/>
      </c>
      <c r="K824" s="11">
        <f>'Madine- Conversion'!J190</f>
        <v/>
      </c>
      <c r="L824" s="12">
        <f>'Madine- Conversion'!K190</f>
        <v/>
      </c>
      <c r="M824" s="11">
        <f>'Madine- Conversion'!N190</f>
        <v/>
      </c>
      <c r="N824" s="8">
        <f>'Madine- Conversion'!O190</f>
        <v/>
      </c>
      <c r="O824" s="8">
        <f>'Madine- Conversion'!P190</f>
        <v/>
      </c>
    </row>
    <row r="825" ht="18" customHeight="1" s="96">
      <c r="A825" s="2" t="inlineStr">
        <is>
          <t>Person A</t>
        </is>
      </c>
      <c r="B825" s="2">
        <f>'Madine- Conversion'!A191</f>
        <v/>
      </c>
      <c r="C825" s="3">
        <f>'Madine- Conversion'!B191</f>
        <v/>
      </c>
      <c r="D825" s="3">
        <f>'Madine- Conversion'!C191</f>
        <v/>
      </c>
      <c r="E825" s="3">
        <f>'Madine- Conversion'!D191</f>
        <v/>
      </c>
      <c r="F825" s="3">
        <f>'Madine- Conversion'!E191</f>
        <v/>
      </c>
      <c r="G825" s="4">
        <f>'Madine- Conversion'!F191</f>
        <v/>
      </c>
      <c r="H825" s="3">
        <f>'Madine- Conversion'!G191</f>
        <v/>
      </c>
      <c r="I825" s="5">
        <f>'Madine- Conversion'!H191</f>
        <v/>
      </c>
      <c r="J825" s="5">
        <f>'Madine- Conversion'!I191</f>
        <v/>
      </c>
      <c r="K825" s="6">
        <f>'Madine- Conversion'!J191</f>
        <v/>
      </c>
      <c r="L825" s="13">
        <f>'Madine- Conversion'!K191</f>
        <v/>
      </c>
      <c r="M825" s="6">
        <f>'Madine- Conversion'!N191</f>
        <v/>
      </c>
      <c r="N825" s="3">
        <f>'Madine- Conversion'!O191</f>
        <v/>
      </c>
      <c r="O825" s="3">
        <f>'Madine- Conversion'!P191</f>
        <v/>
      </c>
    </row>
    <row r="826" ht="18" customHeight="1" s="96">
      <c r="A826" s="93" t="inlineStr">
        <is>
          <t>Person A</t>
        </is>
      </c>
      <c r="B826" s="93">
        <f>'Madine- Conversion'!A192</f>
        <v/>
      </c>
      <c r="C826" s="8">
        <f>'Madine- Conversion'!B192</f>
        <v/>
      </c>
      <c r="D826" s="8">
        <f>'Madine- Conversion'!C192</f>
        <v/>
      </c>
      <c r="E826" s="8">
        <f>'Madine- Conversion'!D192</f>
        <v/>
      </c>
      <c r="F826" s="8">
        <f>'Madine- Conversion'!E192</f>
        <v/>
      </c>
      <c r="G826" s="9">
        <f>'Madine- Conversion'!F192</f>
        <v/>
      </c>
      <c r="H826" s="8">
        <f>'Madine- Conversion'!G192</f>
        <v/>
      </c>
      <c r="I826" s="10">
        <f>'Madine- Conversion'!H192</f>
        <v/>
      </c>
      <c r="J826" s="10">
        <f>'Madine- Conversion'!I192</f>
        <v/>
      </c>
      <c r="K826" s="11">
        <f>'Madine- Conversion'!J192</f>
        <v/>
      </c>
      <c r="L826" s="12">
        <f>'Madine- Conversion'!K192</f>
        <v/>
      </c>
      <c r="M826" s="11">
        <f>'Madine- Conversion'!N192</f>
        <v/>
      </c>
      <c r="N826" s="8">
        <f>'Madine- Conversion'!O192</f>
        <v/>
      </c>
      <c r="O826" s="8">
        <f>'Madine- Conversion'!P192</f>
        <v/>
      </c>
    </row>
    <row r="827" ht="18" customHeight="1" s="96">
      <c r="A827" s="2" t="inlineStr">
        <is>
          <t>Person A</t>
        </is>
      </c>
      <c r="B827" s="2">
        <f>'Madine- Conversion'!A193</f>
        <v/>
      </c>
      <c r="C827" s="3">
        <f>'Madine- Conversion'!B193</f>
        <v/>
      </c>
      <c r="D827" s="3">
        <f>'Madine- Conversion'!C193</f>
        <v/>
      </c>
      <c r="E827" s="3">
        <f>'Madine- Conversion'!D193</f>
        <v/>
      </c>
      <c r="F827" s="3">
        <f>'Madine- Conversion'!E193</f>
        <v/>
      </c>
      <c r="G827" s="4">
        <f>'Madine- Conversion'!F193</f>
        <v/>
      </c>
      <c r="H827" s="3">
        <f>'Madine- Conversion'!G193</f>
        <v/>
      </c>
      <c r="I827" s="5">
        <f>'Madine- Conversion'!H193</f>
        <v/>
      </c>
      <c r="J827" s="5">
        <f>'Madine- Conversion'!I193</f>
        <v/>
      </c>
      <c r="K827" s="6">
        <f>'Madine- Conversion'!J193</f>
        <v/>
      </c>
      <c r="L827" s="13">
        <f>'Madine- Conversion'!K193</f>
        <v/>
      </c>
      <c r="M827" s="6">
        <f>'Madine- Conversion'!N193</f>
        <v/>
      </c>
      <c r="N827" s="3">
        <f>'Madine- Conversion'!O193</f>
        <v/>
      </c>
      <c r="O827" s="3">
        <f>'Madine- Conversion'!P193</f>
        <v/>
      </c>
    </row>
    <row r="828" ht="18" customHeight="1" s="96">
      <c r="A828" s="93" t="inlineStr">
        <is>
          <t>Person A</t>
        </is>
      </c>
      <c r="B828" s="93">
        <f>'Madine- Conversion'!A194</f>
        <v/>
      </c>
      <c r="C828" s="8">
        <f>'Madine- Conversion'!B194</f>
        <v/>
      </c>
      <c r="D828" s="8">
        <f>'Madine- Conversion'!C194</f>
        <v/>
      </c>
      <c r="E828" s="8">
        <f>'Madine- Conversion'!D194</f>
        <v/>
      </c>
      <c r="F828" s="8">
        <f>'Madine- Conversion'!E194</f>
        <v/>
      </c>
      <c r="G828" s="9">
        <f>'Madine- Conversion'!F194</f>
        <v/>
      </c>
      <c r="H828" s="8">
        <f>'Madine- Conversion'!G194</f>
        <v/>
      </c>
      <c r="I828" s="10">
        <f>'Madine- Conversion'!H194</f>
        <v/>
      </c>
      <c r="J828" s="10">
        <f>'Madine- Conversion'!I194</f>
        <v/>
      </c>
      <c r="K828" s="11">
        <f>'Madine- Conversion'!J194</f>
        <v/>
      </c>
      <c r="L828" s="12">
        <f>'Madine- Conversion'!K194</f>
        <v/>
      </c>
      <c r="M828" s="11">
        <f>'Madine- Conversion'!N194</f>
        <v/>
      </c>
      <c r="N828" s="8">
        <f>'Madine- Conversion'!O194</f>
        <v/>
      </c>
      <c r="O828" s="8">
        <f>'Madine- Conversion'!P194</f>
        <v/>
      </c>
    </row>
    <row r="829" ht="18" customHeight="1" s="96">
      <c r="A829" s="2" t="inlineStr">
        <is>
          <t>Person A</t>
        </is>
      </c>
      <c r="B829" s="2">
        <f>'Madine- Conversion'!A195</f>
        <v/>
      </c>
      <c r="C829" s="3">
        <f>'Madine- Conversion'!B195</f>
        <v/>
      </c>
      <c r="D829" s="3">
        <f>'Madine- Conversion'!C195</f>
        <v/>
      </c>
      <c r="E829" s="3">
        <f>'Madine- Conversion'!D195</f>
        <v/>
      </c>
      <c r="F829" s="3">
        <f>'Madine- Conversion'!E195</f>
        <v/>
      </c>
      <c r="G829" s="4">
        <f>'Madine- Conversion'!F195</f>
        <v/>
      </c>
      <c r="H829" s="3">
        <f>'Madine- Conversion'!G195</f>
        <v/>
      </c>
      <c r="I829" s="5">
        <f>'Madine- Conversion'!H195</f>
        <v/>
      </c>
      <c r="J829" s="5">
        <f>'Madine- Conversion'!I195</f>
        <v/>
      </c>
      <c r="K829" s="6">
        <f>'Madine- Conversion'!J195</f>
        <v/>
      </c>
      <c r="L829" s="13">
        <f>'Madine- Conversion'!K195</f>
        <v/>
      </c>
      <c r="M829" s="6">
        <f>'Madine- Conversion'!N195</f>
        <v/>
      </c>
      <c r="N829" s="3">
        <f>'Madine- Conversion'!O195</f>
        <v/>
      </c>
      <c r="O829" s="3">
        <f>'Madine- Conversion'!P195</f>
        <v/>
      </c>
    </row>
    <row r="830" ht="18" customHeight="1" s="96">
      <c r="A830" s="93" t="inlineStr">
        <is>
          <t>Person A</t>
        </is>
      </c>
      <c r="B830" s="93">
        <f>'Madine- Conversion'!A196</f>
        <v/>
      </c>
      <c r="C830" s="8">
        <f>'Madine- Conversion'!B196</f>
        <v/>
      </c>
      <c r="D830" s="8">
        <f>'Madine- Conversion'!C196</f>
        <v/>
      </c>
      <c r="E830" s="8">
        <f>'Madine- Conversion'!D196</f>
        <v/>
      </c>
      <c r="F830" s="8">
        <f>'Madine- Conversion'!E196</f>
        <v/>
      </c>
      <c r="G830" s="9">
        <f>'Madine- Conversion'!F196</f>
        <v/>
      </c>
      <c r="H830" s="8">
        <f>'Madine- Conversion'!G196</f>
        <v/>
      </c>
      <c r="I830" s="10">
        <f>'Madine- Conversion'!H196</f>
        <v/>
      </c>
      <c r="J830" s="10">
        <f>'Madine- Conversion'!I196</f>
        <v/>
      </c>
      <c r="K830" s="11">
        <f>'Madine- Conversion'!J196</f>
        <v/>
      </c>
      <c r="L830" s="12">
        <f>'Madine- Conversion'!K196</f>
        <v/>
      </c>
      <c r="M830" s="11">
        <f>'Madine- Conversion'!N196</f>
        <v/>
      </c>
      <c r="N830" s="8">
        <f>'Madine- Conversion'!O196</f>
        <v/>
      </c>
      <c r="O830" s="8">
        <f>'Madine- Conversion'!P196</f>
        <v/>
      </c>
    </row>
    <row r="831" ht="18" customHeight="1" s="96">
      <c r="A831" s="2" t="inlineStr">
        <is>
          <t>Person A</t>
        </is>
      </c>
      <c r="B831" s="2">
        <f>'Madine- Conversion'!A197</f>
        <v/>
      </c>
      <c r="C831" s="3">
        <f>'Madine- Conversion'!B197</f>
        <v/>
      </c>
      <c r="D831" s="3">
        <f>'Madine- Conversion'!C197</f>
        <v/>
      </c>
      <c r="E831" s="3">
        <f>'Madine- Conversion'!D197</f>
        <v/>
      </c>
      <c r="F831" s="3">
        <f>'Madine- Conversion'!E197</f>
        <v/>
      </c>
      <c r="G831" s="4">
        <f>'Madine- Conversion'!F197</f>
        <v/>
      </c>
      <c r="H831" s="3">
        <f>'Madine- Conversion'!G197</f>
        <v/>
      </c>
      <c r="I831" s="5">
        <f>'Madine- Conversion'!H197</f>
        <v/>
      </c>
      <c r="J831" s="5">
        <f>'Madine- Conversion'!I197</f>
        <v/>
      </c>
      <c r="K831" s="6">
        <f>'Madine- Conversion'!J197</f>
        <v/>
      </c>
      <c r="L831" s="13">
        <f>'Madine- Conversion'!K197</f>
        <v/>
      </c>
      <c r="M831" s="6">
        <f>'Madine- Conversion'!N197</f>
        <v/>
      </c>
      <c r="N831" s="3">
        <f>'Madine- Conversion'!O197</f>
        <v/>
      </c>
      <c r="O831" s="3">
        <f>'Madine- Conversion'!P197</f>
        <v/>
      </c>
    </row>
    <row r="832" ht="18" customHeight="1" s="96">
      <c r="A832" s="93" t="inlineStr">
        <is>
          <t>Person A</t>
        </is>
      </c>
      <c r="B832" s="93">
        <f>'Madine- Conversion'!A198</f>
        <v/>
      </c>
      <c r="C832" s="8">
        <f>'Madine- Conversion'!B198</f>
        <v/>
      </c>
      <c r="D832" s="8">
        <f>'Madine- Conversion'!C198</f>
        <v/>
      </c>
      <c r="E832" s="8">
        <f>'Madine- Conversion'!D198</f>
        <v/>
      </c>
      <c r="F832" s="8">
        <f>'Madine- Conversion'!E198</f>
        <v/>
      </c>
      <c r="G832" s="9">
        <f>'Madine- Conversion'!F198</f>
        <v/>
      </c>
      <c r="H832" s="8">
        <f>'Madine- Conversion'!G198</f>
        <v/>
      </c>
      <c r="I832" s="10">
        <f>'Madine- Conversion'!H198</f>
        <v/>
      </c>
      <c r="J832" s="10">
        <f>'Madine- Conversion'!I198</f>
        <v/>
      </c>
      <c r="K832" s="11">
        <f>'Madine- Conversion'!J198</f>
        <v/>
      </c>
      <c r="L832" s="12">
        <f>'Madine- Conversion'!K198</f>
        <v/>
      </c>
      <c r="M832" s="11">
        <f>'Madine- Conversion'!N198</f>
        <v/>
      </c>
      <c r="N832" s="8">
        <f>'Madine- Conversion'!O198</f>
        <v/>
      </c>
      <c r="O832" s="8">
        <f>'Madine- Conversion'!P198</f>
        <v/>
      </c>
    </row>
    <row r="833" ht="18" customHeight="1" s="96">
      <c r="A833" s="2" t="inlineStr">
        <is>
          <t>Person A</t>
        </is>
      </c>
      <c r="B833" s="2">
        <f>'Madine- Conversion'!A199</f>
        <v/>
      </c>
      <c r="C833" s="3">
        <f>'Madine- Conversion'!B199</f>
        <v/>
      </c>
      <c r="D833" s="3">
        <f>'Madine- Conversion'!C199</f>
        <v/>
      </c>
      <c r="E833" s="3">
        <f>'Madine- Conversion'!D199</f>
        <v/>
      </c>
      <c r="F833" s="3">
        <f>'Madine- Conversion'!E199</f>
        <v/>
      </c>
      <c r="G833" s="4">
        <f>'Madine- Conversion'!F199</f>
        <v/>
      </c>
      <c r="H833" s="3">
        <f>'Madine- Conversion'!G199</f>
        <v/>
      </c>
      <c r="I833" s="5">
        <f>'Madine- Conversion'!H199</f>
        <v/>
      </c>
      <c r="J833" s="5">
        <f>'Madine- Conversion'!I199</f>
        <v/>
      </c>
      <c r="K833" s="6">
        <f>'Madine- Conversion'!J199</f>
        <v/>
      </c>
      <c r="L833" s="13">
        <f>'Madine- Conversion'!K199</f>
        <v/>
      </c>
      <c r="M833" s="6">
        <f>'Madine- Conversion'!N199</f>
        <v/>
      </c>
      <c r="N833" s="3">
        <f>'Madine- Conversion'!O199</f>
        <v/>
      </c>
      <c r="O833" s="3">
        <f>'Madine- Conversion'!P199</f>
        <v/>
      </c>
    </row>
    <row r="834" ht="18" customHeight="1" s="96">
      <c r="A834" s="93" t="inlineStr">
        <is>
          <t>Person A</t>
        </is>
      </c>
      <c r="B834" s="93">
        <f>'Madine- Conversion'!A200</f>
        <v/>
      </c>
      <c r="C834" s="8">
        <f>'Madine- Conversion'!B200</f>
        <v/>
      </c>
      <c r="D834" s="8">
        <f>'Madine- Conversion'!C200</f>
        <v/>
      </c>
      <c r="E834" s="8">
        <f>'Madine- Conversion'!D200</f>
        <v/>
      </c>
      <c r="F834" s="8">
        <f>'Madine- Conversion'!E200</f>
        <v/>
      </c>
      <c r="G834" s="9">
        <f>'Madine- Conversion'!F200</f>
        <v/>
      </c>
      <c r="H834" s="8">
        <f>'Madine- Conversion'!G200</f>
        <v/>
      </c>
      <c r="I834" s="10">
        <f>'Madine- Conversion'!H200</f>
        <v/>
      </c>
      <c r="J834" s="10">
        <f>'Madine- Conversion'!I200</f>
        <v/>
      </c>
      <c r="K834" s="11">
        <f>'Madine- Conversion'!J200</f>
        <v/>
      </c>
      <c r="L834" s="12">
        <f>'Madine- Conversion'!K200</f>
        <v/>
      </c>
      <c r="M834" s="11">
        <f>'Madine- Conversion'!N200</f>
        <v/>
      </c>
      <c r="N834" s="8">
        <f>'Madine- Conversion'!O200</f>
        <v/>
      </c>
      <c r="O834" s="8">
        <f>'Madine- Conversion'!P200</f>
        <v/>
      </c>
    </row>
    <row r="835" ht="18" customHeight="1" s="96">
      <c r="A835" s="2" t="inlineStr">
        <is>
          <t>Person A</t>
        </is>
      </c>
      <c r="B835" s="2">
        <f>'Madine- Conversion'!A201</f>
        <v/>
      </c>
      <c r="C835" s="3">
        <f>'Madine- Conversion'!B201</f>
        <v/>
      </c>
      <c r="D835" s="3">
        <f>'Madine- Conversion'!C201</f>
        <v/>
      </c>
      <c r="E835" s="3">
        <f>'Madine- Conversion'!D201</f>
        <v/>
      </c>
      <c r="F835" s="3">
        <f>'Madine- Conversion'!E201</f>
        <v/>
      </c>
      <c r="G835" s="4">
        <f>'Madine- Conversion'!F201</f>
        <v/>
      </c>
      <c r="H835" s="3">
        <f>'Madine- Conversion'!G201</f>
        <v/>
      </c>
      <c r="I835" s="5">
        <f>'Madine- Conversion'!H201</f>
        <v/>
      </c>
      <c r="J835" s="5">
        <f>'Madine- Conversion'!I201</f>
        <v/>
      </c>
      <c r="K835" s="6">
        <f>'Madine- Conversion'!J201</f>
        <v/>
      </c>
      <c r="L835" s="13">
        <f>'Madine- Conversion'!K201</f>
        <v/>
      </c>
      <c r="M835" s="6">
        <f>'Madine- Conversion'!N201</f>
        <v/>
      </c>
      <c r="N835" s="3">
        <f>'Madine- Conversion'!O201</f>
        <v/>
      </c>
      <c r="O835" s="3">
        <f>'Madine- Conversion'!P201</f>
        <v/>
      </c>
    </row>
    <row r="836" ht="18" customHeight="1" s="96">
      <c r="A836" s="93" t="inlineStr">
        <is>
          <t>Person A</t>
        </is>
      </c>
      <c r="B836" s="93">
        <f>'Madine- Conversion'!A202</f>
        <v/>
      </c>
      <c r="C836" s="8">
        <f>'Madine- Conversion'!B202</f>
        <v/>
      </c>
      <c r="D836" s="8">
        <f>'Madine- Conversion'!C202</f>
        <v/>
      </c>
      <c r="E836" s="8">
        <f>'Madine- Conversion'!D202</f>
        <v/>
      </c>
      <c r="F836" s="8">
        <f>'Madine- Conversion'!E202</f>
        <v/>
      </c>
      <c r="G836" s="9">
        <f>'Madine- Conversion'!F202</f>
        <v/>
      </c>
      <c r="H836" s="8">
        <f>'Madine- Conversion'!G202</f>
        <v/>
      </c>
      <c r="I836" s="10">
        <f>'Madine- Conversion'!H202</f>
        <v/>
      </c>
      <c r="J836" s="10">
        <f>'Madine- Conversion'!I202</f>
        <v/>
      </c>
      <c r="K836" s="11">
        <f>'Madine- Conversion'!J202</f>
        <v/>
      </c>
      <c r="L836" s="12">
        <f>'Madine- Conversion'!K202</f>
        <v/>
      </c>
      <c r="M836" s="11">
        <f>'Madine- Conversion'!N202</f>
        <v/>
      </c>
      <c r="N836" s="8">
        <f>'Madine- Conversion'!O202</f>
        <v/>
      </c>
      <c r="O836" s="8">
        <f>'Madine- Conversion'!P202</f>
        <v/>
      </c>
    </row>
    <row r="837" ht="18" customHeight="1" s="96">
      <c r="A837" s="2" t="inlineStr">
        <is>
          <t>Person B</t>
        </is>
      </c>
      <c r="B837" s="2">
        <f>'Zarrah-Conversion'!A2</f>
        <v/>
      </c>
      <c r="C837" s="3">
        <f>'Zarrah-Conversion'!B2</f>
        <v/>
      </c>
      <c r="D837" s="3">
        <f>'Zarrah-Conversion'!C2</f>
        <v/>
      </c>
      <c r="E837" s="3">
        <f>'Zarrah-Conversion'!D2</f>
        <v/>
      </c>
      <c r="F837" s="3">
        <f>'Zarrah-Conversion'!E2</f>
        <v/>
      </c>
      <c r="G837" s="4">
        <f>'Zarrah-Conversion'!F2</f>
        <v/>
      </c>
      <c r="H837" s="3">
        <f>'Zarrah-Conversion'!G2</f>
        <v/>
      </c>
      <c r="I837" s="5">
        <f>'Zarrah-Conversion'!H2</f>
        <v/>
      </c>
      <c r="J837" s="5">
        <f>'Zarrah-Conversion'!I2</f>
        <v/>
      </c>
      <c r="K837" s="6">
        <f>'Zarrah-Conversion'!J2</f>
        <v/>
      </c>
      <c r="L837" s="13">
        <f>'Zarrah-Conversion'!K2</f>
        <v/>
      </c>
      <c r="M837" s="6">
        <f>'Zarrah-Conversion'!N2</f>
        <v/>
      </c>
      <c r="N837" s="3">
        <f>'Zarrah-Conversion'!O2</f>
        <v/>
      </c>
      <c r="O837" s="3">
        <f>'Zarrah-Conversion'!P2</f>
        <v/>
      </c>
    </row>
    <row r="838" ht="18" customHeight="1" s="96">
      <c r="A838" s="93" t="inlineStr">
        <is>
          <t>Person B</t>
        </is>
      </c>
      <c r="B838" s="93">
        <f>'Zarrah-Conversion'!A3</f>
        <v/>
      </c>
      <c r="C838" s="8">
        <f>'Zarrah-Conversion'!B3</f>
        <v/>
      </c>
      <c r="D838" s="8">
        <f>'Zarrah-Conversion'!C3</f>
        <v/>
      </c>
      <c r="E838" s="8">
        <f>'Zarrah-Conversion'!D3</f>
        <v/>
      </c>
      <c r="F838" s="8">
        <f>'Zarrah-Conversion'!E3</f>
        <v/>
      </c>
      <c r="G838" s="9">
        <f>'Zarrah-Conversion'!F3</f>
        <v/>
      </c>
      <c r="H838" s="8">
        <f>'Zarrah-Conversion'!G3</f>
        <v/>
      </c>
      <c r="I838" s="10">
        <f>'Zarrah-Conversion'!H3</f>
        <v/>
      </c>
      <c r="J838" s="10">
        <f>'Zarrah-Conversion'!I3</f>
        <v/>
      </c>
      <c r="K838" s="11">
        <f>'Zarrah-Conversion'!J3</f>
        <v/>
      </c>
      <c r="L838" s="12">
        <f>'Zarrah-Conversion'!K3</f>
        <v/>
      </c>
      <c r="M838" s="11">
        <f>'Zarrah-Conversion'!N3</f>
        <v/>
      </c>
      <c r="N838" s="8">
        <f>'Zarrah-Conversion'!O3</f>
        <v/>
      </c>
      <c r="O838" s="8">
        <f>'Zarrah-Conversion'!P3</f>
        <v/>
      </c>
    </row>
    <row r="839" ht="18" customHeight="1" s="96">
      <c r="A839" s="2" t="inlineStr">
        <is>
          <t>Person B</t>
        </is>
      </c>
      <c r="B839" s="2">
        <f>'Zarrah-Conversion'!A4</f>
        <v/>
      </c>
      <c r="C839" s="3">
        <f>'Zarrah-Conversion'!B4</f>
        <v/>
      </c>
      <c r="D839" s="3">
        <f>'Zarrah-Conversion'!C4</f>
        <v/>
      </c>
      <c r="E839" s="3">
        <f>'Zarrah-Conversion'!D4</f>
        <v/>
      </c>
      <c r="F839" s="3">
        <f>'Zarrah-Conversion'!E4</f>
        <v/>
      </c>
      <c r="G839" s="4">
        <f>'Zarrah-Conversion'!F4</f>
        <v/>
      </c>
      <c r="H839" s="3">
        <f>'Zarrah-Conversion'!G4</f>
        <v/>
      </c>
      <c r="I839" s="5">
        <f>'Zarrah-Conversion'!H4</f>
        <v/>
      </c>
      <c r="J839" s="5">
        <f>'Zarrah-Conversion'!I4</f>
        <v/>
      </c>
      <c r="K839" s="6">
        <f>'Zarrah-Conversion'!J4</f>
        <v/>
      </c>
      <c r="L839" s="13">
        <f>'Zarrah-Conversion'!K4</f>
        <v/>
      </c>
      <c r="M839" s="6">
        <f>'Zarrah-Conversion'!N4</f>
        <v/>
      </c>
      <c r="N839" s="3">
        <f>'Zarrah-Conversion'!O4</f>
        <v/>
      </c>
      <c r="O839" s="3">
        <f>'Zarrah-Conversion'!P4</f>
        <v/>
      </c>
    </row>
    <row r="840" ht="18" customHeight="1" s="96">
      <c r="A840" s="93" t="inlineStr">
        <is>
          <t>Person B</t>
        </is>
      </c>
      <c r="B840" s="93">
        <f>'Zarrah-Conversion'!A5</f>
        <v/>
      </c>
      <c r="C840" s="8">
        <f>'Zarrah-Conversion'!B5</f>
        <v/>
      </c>
      <c r="D840" s="8">
        <f>'Zarrah-Conversion'!C5</f>
        <v/>
      </c>
      <c r="E840" s="8">
        <f>'Zarrah-Conversion'!D5</f>
        <v/>
      </c>
      <c r="F840" s="8">
        <f>'Zarrah-Conversion'!E5</f>
        <v/>
      </c>
      <c r="G840" s="9">
        <f>'Zarrah-Conversion'!F5</f>
        <v/>
      </c>
      <c r="H840" s="8">
        <f>'Zarrah-Conversion'!G5</f>
        <v/>
      </c>
      <c r="I840" s="10">
        <f>'Zarrah-Conversion'!H5</f>
        <v/>
      </c>
      <c r="J840" s="10">
        <f>'Zarrah-Conversion'!I5</f>
        <v/>
      </c>
      <c r="K840" s="11">
        <f>'Zarrah-Conversion'!J5</f>
        <v/>
      </c>
      <c r="L840" s="12">
        <f>'Zarrah-Conversion'!K5</f>
        <v/>
      </c>
      <c r="M840" s="11">
        <f>'Zarrah-Conversion'!N5</f>
        <v/>
      </c>
      <c r="N840" s="8">
        <f>'Zarrah-Conversion'!O5</f>
        <v/>
      </c>
      <c r="O840" s="8">
        <f>'Zarrah-Conversion'!P5</f>
        <v/>
      </c>
    </row>
    <row r="841" ht="18" customHeight="1" s="96">
      <c r="A841" s="2" t="inlineStr">
        <is>
          <t>Person B</t>
        </is>
      </c>
      <c r="B841" s="2">
        <f>'Zarrah-Conversion'!A6</f>
        <v/>
      </c>
      <c r="C841" s="3">
        <f>'Zarrah-Conversion'!B6</f>
        <v/>
      </c>
      <c r="D841" s="3">
        <f>'Zarrah-Conversion'!C6</f>
        <v/>
      </c>
      <c r="E841" s="3">
        <f>'Zarrah-Conversion'!D6</f>
        <v/>
      </c>
      <c r="F841" s="3">
        <f>'Zarrah-Conversion'!E6</f>
        <v/>
      </c>
      <c r="G841" s="4">
        <f>'Zarrah-Conversion'!F6</f>
        <v/>
      </c>
      <c r="H841" s="3">
        <f>'Zarrah-Conversion'!G6</f>
        <v/>
      </c>
      <c r="I841" s="5">
        <f>'Zarrah-Conversion'!H6</f>
        <v/>
      </c>
      <c r="J841" s="5">
        <f>'Zarrah-Conversion'!I6</f>
        <v/>
      </c>
      <c r="K841" s="6">
        <f>'Zarrah-Conversion'!J6</f>
        <v/>
      </c>
      <c r="L841" s="13">
        <f>'Zarrah-Conversion'!K6</f>
        <v/>
      </c>
      <c r="M841" s="6">
        <f>'Zarrah-Conversion'!N6</f>
        <v/>
      </c>
      <c r="N841" s="3">
        <f>'Zarrah-Conversion'!O6</f>
        <v/>
      </c>
      <c r="O841" s="3">
        <f>'Zarrah-Conversion'!P6</f>
        <v/>
      </c>
    </row>
    <row r="842" ht="18" customHeight="1" s="96">
      <c r="A842" s="93" t="inlineStr">
        <is>
          <t>Person B</t>
        </is>
      </c>
      <c r="B842" s="93">
        <f>'Zarrah-Conversion'!A7</f>
        <v/>
      </c>
      <c r="C842" s="8">
        <f>'Zarrah-Conversion'!B7</f>
        <v/>
      </c>
      <c r="D842" s="8">
        <f>'Zarrah-Conversion'!C7</f>
        <v/>
      </c>
      <c r="E842" s="8">
        <f>'Zarrah-Conversion'!D7</f>
        <v/>
      </c>
      <c r="F842" s="8">
        <f>'Zarrah-Conversion'!E7</f>
        <v/>
      </c>
      <c r="G842" s="9">
        <f>'Zarrah-Conversion'!F7</f>
        <v/>
      </c>
      <c r="H842" s="8">
        <f>'Zarrah-Conversion'!G7</f>
        <v/>
      </c>
      <c r="I842" s="10">
        <f>'Zarrah-Conversion'!H7</f>
        <v/>
      </c>
      <c r="J842" s="10">
        <f>'Zarrah-Conversion'!I7</f>
        <v/>
      </c>
      <c r="K842" s="11">
        <f>'Zarrah-Conversion'!J7</f>
        <v/>
      </c>
      <c r="L842" s="12">
        <f>'Zarrah-Conversion'!K7</f>
        <v/>
      </c>
      <c r="M842" s="11">
        <f>'Zarrah-Conversion'!N7</f>
        <v/>
      </c>
      <c r="N842" s="8">
        <f>'Zarrah-Conversion'!O7</f>
        <v/>
      </c>
      <c r="O842" s="8">
        <f>'Zarrah-Conversion'!P7</f>
        <v/>
      </c>
    </row>
    <row r="843" ht="18" customHeight="1" s="96">
      <c r="A843" s="2" t="inlineStr">
        <is>
          <t>Person B</t>
        </is>
      </c>
      <c r="B843" s="2">
        <f>'Zarrah-Conversion'!A8</f>
        <v/>
      </c>
      <c r="C843" s="3">
        <f>'Zarrah-Conversion'!B8</f>
        <v/>
      </c>
      <c r="D843" s="3">
        <f>'Zarrah-Conversion'!C8</f>
        <v/>
      </c>
      <c r="E843" s="3">
        <f>'Zarrah-Conversion'!D8</f>
        <v/>
      </c>
      <c r="F843" s="3">
        <f>'Zarrah-Conversion'!E8</f>
        <v/>
      </c>
      <c r="G843" s="4">
        <f>'Zarrah-Conversion'!F8</f>
        <v/>
      </c>
      <c r="H843" s="3">
        <f>'Zarrah-Conversion'!G8</f>
        <v/>
      </c>
      <c r="I843" s="5">
        <f>'Zarrah-Conversion'!H8</f>
        <v/>
      </c>
      <c r="J843" s="5">
        <f>'Zarrah-Conversion'!I8</f>
        <v/>
      </c>
      <c r="K843" s="6">
        <f>'Zarrah-Conversion'!J8</f>
        <v/>
      </c>
      <c r="L843" s="13">
        <f>'Zarrah-Conversion'!K8</f>
        <v/>
      </c>
      <c r="M843" s="6">
        <f>'Zarrah-Conversion'!N8</f>
        <v/>
      </c>
      <c r="N843" s="3">
        <f>'Zarrah-Conversion'!O8</f>
        <v/>
      </c>
      <c r="O843" s="3">
        <f>'Zarrah-Conversion'!P8</f>
        <v/>
      </c>
    </row>
    <row r="844" ht="18" customHeight="1" s="96">
      <c r="A844" s="93" t="inlineStr">
        <is>
          <t>Person B</t>
        </is>
      </c>
      <c r="B844" s="93">
        <f>'Zarrah-Conversion'!A9</f>
        <v/>
      </c>
      <c r="C844" s="8">
        <f>'Zarrah-Conversion'!B9</f>
        <v/>
      </c>
      <c r="D844" s="8">
        <f>'Zarrah-Conversion'!C9</f>
        <v/>
      </c>
      <c r="E844" s="8">
        <f>'Zarrah-Conversion'!D9</f>
        <v/>
      </c>
      <c r="F844" s="8">
        <f>'Zarrah-Conversion'!E9</f>
        <v/>
      </c>
      <c r="G844" s="9">
        <f>'Zarrah-Conversion'!F9</f>
        <v/>
      </c>
      <c r="H844" s="8">
        <f>'Zarrah-Conversion'!G9</f>
        <v/>
      </c>
      <c r="I844" s="10">
        <f>'Zarrah-Conversion'!H9</f>
        <v/>
      </c>
      <c r="J844" s="10">
        <f>'Zarrah-Conversion'!I9</f>
        <v/>
      </c>
      <c r="K844" s="11">
        <f>'Zarrah-Conversion'!J9</f>
        <v/>
      </c>
      <c r="L844" s="12">
        <f>'Zarrah-Conversion'!K9</f>
        <v/>
      </c>
      <c r="M844" s="11">
        <f>'Zarrah-Conversion'!N9</f>
        <v/>
      </c>
      <c r="N844" s="8">
        <f>'Zarrah-Conversion'!O9</f>
        <v/>
      </c>
      <c r="O844" s="8">
        <f>'Zarrah-Conversion'!P9</f>
        <v/>
      </c>
    </row>
    <row r="845" ht="18" customHeight="1" s="96">
      <c r="A845" s="2" t="inlineStr">
        <is>
          <t>Person B</t>
        </is>
      </c>
      <c r="B845" s="2">
        <f>'Zarrah-Conversion'!A10</f>
        <v/>
      </c>
      <c r="C845" s="3">
        <f>'Zarrah-Conversion'!B10</f>
        <v/>
      </c>
      <c r="D845" s="3">
        <f>'Zarrah-Conversion'!C10</f>
        <v/>
      </c>
      <c r="E845" s="3">
        <f>'Zarrah-Conversion'!D10</f>
        <v/>
      </c>
      <c r="F845" s="3">
        <f>'Zarrah-Conversion'!E10</f>
        <v/>
      </c>
      <c r="G845" s="4">
        <f>'Zarrah-Conversion'!F10</f>
        <v/>
      </c>
      <c r="H845" s="3">
        <f>'Zarrah-Conversion'!G10</f>
        <v/>
      </c>
      <c r="I845" s="5">
        <f>'Zarrah-Conversion'!H10</f>
        <v/>
      </c>
      <c r="J845" s="5">
        <f>'Zarrah-Conversion'!I10</f>
        <v/>
      </c>
      <c r="K845" s="6">
        <f>'Zarrah-Conversion'!J10</f>
        <v/>
      </c>
      <c r="L845" s="13">
        <f>'Zarrah-Conversion'!K10</f>
        <v/>
      </c>
      <c r="M845" s="6">
        <f>'Zarrah-Conversion'!N10</f>
        <v/>
      </c>
      <c r="N845" s="3">
        <f>'Zarrah-Conversion'!O10</f>
        <v/>
      </c>
      <c r="O845" s="3">
        <f>'Zarrah-Conversion'!P10</f>
        <v/>
      </c>
    </row>
    <row r="846" ht="18" customHeight="1" s="96">
      <c r="A846" s="93" t="inlineStr">
        <is>
          <t>Person B</t>
        </is>
      </c>
      <c r="B846" s="93">
        <f>'Zarrah-Conversion'!A11</f>
        <v/>
      </c>
      <c r="C846" s="8">
        <f>'Zarrah-Conversion'!B11</f>
        <v/>
      </c>
      <c r="D846" s="8">
        <f>'Zarrah-Conversion'!C11</f>
        <v/>
      </c>
      <c r="E846" s="8">
        <f>'Zarrah-Conversion'!D11</f>
        <v/>
      </c>
      <c r="F846" s="8">
        <f>'Zarrah-Conversion'!E11</f>
        <v/>
      </c>
      <c r="G846" s="9">
        <f>'Zarrah-Conversion'!F11</f>
        <v/>
      </c>
      <c r="H846" s="8">
        <f>'Zarrah-Conversion'!G11</f>
        <v/>
      </c>
      <c r="I846" s="10">
        <f>'Zarrah-Conversion'!H11</f>
        <v/>
      </c>
      <c r="J846" s="10">
        <f>'Zarrah-Conversion'!I11</f>
        <v/>
      </c>
      <c r="K846" s="11">
        <f>'Zarrah-Conversion'!J11</f>
        <v/>
      </c>
      <c r="L846" s="12">
        <f>'Zarrah-Conversion'!K11</f>
        <v/>
      </c>
      <c r="M846" s="11">
        <f>'Zarrah-Conversion'!N11</f>
        <v/>
      </c>
      <c r="N846" s="8">
        <f>'Zarrah-Conversion'!O11</f>
        <v/>
      </c>
      <c r="O846" s="8">
        <f>'Zarrah-Conversion'!P11</f>
        <v/>
      </c>
    </row>
    <row r="847" ht="18" customHeight="1" s="96">
      <c r="A847" s="2" t="inlineStr">
        <is>
          <t>Person B</t>
        </is>
      </c>
      <c r="B847" s="2">
        <f>'Zarrah-Conversion'!A12</f>
        <v/>
      </c>
      <c r="C847" s="3">
        <f>'Zarrah-Conversion'!B12</f>
        <v/>
      </c>
      <c r="D847" s="3">
        <f>'Zarrah-Conversion'!C12</f>
        <v/>
      </c>
      <c r="E847" s="3">
        <f>'Zarrah-Conversion'!D12</f>
        <v/>
      </c>
      <c r="F847" s="3">
        <f>'Zarrah-Conversion'!E12</f>
        <v/>
      </c>
      <c r="G847" s="4">
        <f>'Zarrah-Conversion'!F12</f>
        <v/>
      </c>
      <c r="H847" s="3">
        <f>'Zarrah-Conversion'!G12</f>
        <v/>
      </c>
      <c r="I847" s="5">
        <f>'Zarrah-Conversion'!H12</f>
        <v/>
      </c>
      <c r="J847" s="5">
        <f>'Zarrah-Conversion'!I12</f>
        <v/>
      </c>
      <c r="K847" s="6">
        <f>'Zarrah-Conversion'!J12</f>
        <v/>
      </c>
      <c r="L847" s="13">
        <f>'Zarrah-Conversion'!K12</f>
        <v/>
      </c>
      <c r="M847" s="6">
        <f>'Zarrah-Conversion'!N12</f>
        <v/>
      </c>
      <c r="N847" s="3">
        <f>'Zarrah-Conversion'!O12</f>
        <v/>
      </c>
      <c r="O847" s="3">
        <f>'Zarrah-Conversion'!P12</f>
        <v/>
      </c>
    </row>
    <row r="848" ht="18" customHeight="1" s="96">
      <c r="A848" s="93" t="inlineStr">
        <is>
          <t>Person B</t>
        </is>
      </c>
      <c r="B848" s="93">
        <f>'Zarrah-Conversion'!A13</f>
        <v/>
      </c>
      <c r="C848" s="8">
        <f>'Zarrah-Conversion'!B13</f>
        <v/>
      </c>
      <c r="D848" s="8">
        <f>'Zarrah-Conversion'!C13</f>
        <v/>
      </c>
      <c r="E848" s="8">
        <f>'Zarrah-Conversion'!D13</f>
        <v/>
      </c>
      <c r="F848" s="8">
        <f>'Zarrah-Conversion'!E13</f>
        <v/>
      </c>
      <c r="G848" s="9">
        <f>'Zarrah-Conversion'!F13</f>
        <v/>
      </c>
      <c r="H848" s="8">
        <f>'Zarrah-Conversion'!G13</f>
        <v/>
      </c>
      <c r="I848" s="10">
        <f>'Zarrah-Conversion'!H13</f>
        <v/>
      </c>
      <c r="J848" s="10">
        <f>'Zarrah-Conversion'!I13</f>
        <v/>
      </c>
      <c r="K848" s="11">
        <f>'Zarrah-Conversion'!J13</f>
        <v/>
      </c>
      <c r="L848" s="12">
        <f>'Zarrah-Conversion'!K13</f>
        <v/>
      </c>
      <c r="M848" s="11">
        <f>'Zarrah-Conversion'!N13</f>
        <v/>
      </c>
      <c r="N848" s="8">
        <f>'Zarrah-Conversion'!O13</f>
        <v/>
      </c>
      <c r="O848" s="8">
        <f>'Zarrah-Conversion'!P13</f>
        <v/>
      </c>
    </row>
    <row r="849" ht="18" customHeight="1" s="96">
      <c r="A849" s="2" t="inlineStr">
        <is>
          <t>Person B</t>
        </is>
      </c>
      <c r="B849" s="2">
        <f>'Zarrah-Conversion'!A14</f>
        <v/>
      </c>
      <c r="C849" s="3">
        <f>'Zarrah-Conversion'!B14</f>
        <v/>
      </c>
      <c r="D849" s="3">
        <f>'Zarrah-Conversion'!C14</f>
        <v/>
      </c>
      <c r="E849" s="3">
        <f>'Zarrah-Conversion'!D14</f>
        <v/>
      </c>
      <c r="F849" s="3">
        <f>'Zarrah-Conversion'!E14</f>
        <v/>
      </c>
      <c r="G849" s="4">
        <f>'Zarrah-Conversion'!F14</f>
        <v/>
      </c>
      <c r="H849" s="3">
        <f>'Zarrah-Conversion'!G14</f>
        <v/>
      </c>
      <c r="I849" s="5">
        <f>'Zarrah-Conversion'!H14</f>
        <v/>
      </c>
      <c r="J849" s="5">
        <f>'Zarrah-Conversion'!I14</f>
        <v/>
      </c>
      <c r="K849" s="6">
        <f>'Zarrah-Conversion'!J14</f>
        <v/>
      </c>
      <c r="L849" s="13">
        <f>'Zarrah-Conversion'!K14</f>
        <v/>
      </c>
      <c r="M849" s="6">
        <f>'Zarrah-Conversion'!N14</f>
        <v/>
      </c>
      <c r="N849" s="3">
        <f>'Zarrah-Conversion'!O14</f>
        <v/>
      </c>
      <c r="O849" s="3">
        <f>'Zarrah-Conversion'!P14</f>
        <v/>
      </c>
    </row>
    <row r="850" ht="18" customHeight="1" s="96">
      <c r="A850" s="93" t="inlineStr">
        <is>
          <t>Person B</t>
        </is>
      </c>
      <c r="B850" s="93">
        <f>'Zarrah-Conversion'!A15</f>
        <v/>
      </c>
      <c r="C850" s="8">
        <f>'Zarrah-Conversion'!B15</f>
        <v/>
      </c>
      <c r="D850" s="8">
        <f>'Zarrah-Conversion'!C15</f>
        <v/>
      </c>
      <c r="E850" s="8">
        <f>'Zarrah-Conversion'!D15</f>
        <v/>
      </c>
      <c r="F850" s="8">
        <f>'Zarrah-Conversion'!E15</f>
        <v/>
      </c>
      <c r="G850" s="9">
        <f>'Zarrah-Conversion'!F15</f>
        <v/>
      </c>
      <c r="H850" s="8">
        <f>'Zarrah-Conversion'!G15</f>
        <v/>
      </c>
      <c r="I850" s="10">
        <f>'Zarrah-Conversion'!H15</f>
        <v/>
      </c>
      <c r="J850" s="10">
        <f>'Zarrah-Conversion'!I15</f>
        <v/>
      </c>
      <c r="K850" s="11">
        <f>'Zarrah-Conversion'!J15</f>
        <v/>
      </c>
      <c r="L850" s="12">
        <f>'Zarrah-Conversion'!K15</f>
        <v/>
      </c>
      <c r="M850" s="11">
        <f>'Zarrah-Conversion'!N15</f>
        <v/>
      </c>
      <c r="N850" s="8">
        <f>'Zarrah-Conversion'!O15</f>
        <v/>
      </c>
      <c r="O850" s="8">
        <f>'Zarrah-Conversion'!P15</f>
        <v/>
      </c>
    </row>
    <row r="851" ht="18" customHeight="1" s="96">
      <c r="A851" s="2" t="inlineStr">
        <is>
          <t>Person B</t>
        </is>
      </c>
      <c r="B851" s="2">
        <f>'Zarrah-Conversion'!A16</f>
        <v/>
      </c>
      <c r="C851" s="3">
        <f>'Zarrah-Conversion'!B16</f>
        <v/>
      </c>
      <c r="D851" s="3">
        <f>'Zarrah-Conversion'!C16</f>
        <v/>
      </c>
      <c r="E851" s="3">
        <f>'Zarrah-Conversion'!D16</f>
        <v/>
      </c>
      <c r="F851" s="3">
        <f>'Zarrah-Conversion'!E16</f>
        <v/>
      </c>
      <c r="G851" s="4">
        <f>'Zarrah-Conversion'!F16</f>
        <v/>
      </c>
      <c r="H851" s="3">
        <f>'Zarrah-Conversion'!G16</f>
        <v/>
      </c>
      <c r="I851" s="5">
        <f>'Zarrah-Conversion'!H16</f>
        <v/>
      </c>
      <c r="J851" s="5">
        <f>'Zarrah-Conversion'!I16</f>
        <v/>
      </c>
      <c r="K851" s="6">
        <f>'Zarrah-Conversion'!J16</f>
        <v/>
      </c>
      <c r="L851" s="13">
        <f>'Zarrah-Conversion'!K16</f>
        <v/>
      </c>
      <c r="M851" s="6">
        <f>'Zarrah-Conversion'!N16</f>
        <v/>
      </c>
      <c r="N851" s="3">
        <f>'Zarrah-Conversion'!O16</f>
        <v/>
      </c>
      <c r="O851" s="3">
        <f>'Zarrah-Conversion'!P16</f>
        <v/>
      </c>
    </row>
    <row r="852" ht="18" customHeight="1" s="96">
      <c r="A852" s="93" t="inlineStr">
        <is>
          <t>Person B</t>
        </is>
      </c>
      <c r="B852" s="93">
        <f>'Zarrah-Conversion'!A17</f>
        <v/>
      </c>
      <c r="C852" s="8">
        <f>'Zarrah-Conversion'!B17</f>
        <v/>
      </c>
      <c r="D852" s="8">
        <f>'Zarrah-Conversion'!C17</f>
        <v/>
      </c>
      <c r="E852" s="8">
        <f>'Zarrah-Conversion'!D17</f>
        <v/>
      </c>
      <c r="F852" s="8">
        <f>'Zarrah-Conversion'!E17</f>
        <v/>
      </c>
      <c r="G852" s="9">
        <f>'Zarrah-Conversion'!F17</f>
        <v/>
      </c>
      <c r="H852" s="8">
        <f>'Zarrah-Conversion'!G17</f>
        <v/>
      </c>
      <c r="I852" s="10">
        <f>'Zarrah-Conversion'!H17</f>
        <v/>
      </c>
      <c r="J852" s="10">
        <f>'Zarrah-Conversion'!I17</f>
        <v/>
      </c>
      <c r="K852" s="11">
        <f>'Zarrah-Conversion'!J17</f>
        <v/>
      </c>
      <c r="L852" s="12">
        <f>'Zarrah-Conversion'!K17</f>
        <v/>
      </c>
      <c r="M852" s="11">
        <f>'Zarrah-Conversion'!N17</f>
        <v/>
      </c>
      <c r="N852" s="8">
        <f>'Zarrah-Conversion'!O17</f>
        <v/>
      </c>
      <c r="O852" s="8">
        <f>'Zarrah-Conversion'!P17</f>
        <v/>
      </c>
    </row>
    <row r="853" ht="18" customHeight="1" s="96">
      <c r="A853" s="2" t="inlineStr">
        <is>
          <t>Person B</t>
        </is>
      </c>
      <c r="B853" s="2">
        <f>'Zarrah-Conversion'!A18</f>
        <v/>
      </c>
      <c r="C853" s="3">
        <f>'Zarrah-Conversion'!B18</f>
        <v/>
      </c>
      <c r="D853" s="3">
        <f>'Zarrah-Conversion'!C18</f>
        <v/>
      </c>
      <c r="E853" s="3">
        <f>'Zarrah-Conversion'!D18</f>
        <v/>
      </c>
      <c r="F853" s="3">
        <f>'Zarrah-Conversion'!E18</f>
        <v/>
      </c>
      <c r="G853" s="4">
        <f>'Zarrah-Conversion'!F18</f>
        <v/>
      </c>
      <c r="H853" s="3">
        <f>'Zarrah-Conversion'!G18</f>
        <v/>
      </c>
      <c r="I853" s="5">
        <f>'Zarrah-Conversion'!H18</f>
        <v/>
      </c>
      <c r="J853" s="5">
        <f>'Zarrah-Conversion'!I18</f>
        <v/>
      </c>
      <c r="K853" s="6">
        <f>'Zarrah-Conversion'!J18</f>
        <v/>
      </c>
      <c r="L853" s="13">
        <f>'Zarrah-Conversion'!K18</f>
        <v/>
      </c>
      <c r="M853" s="6">
        <f>'Zarrah-Conversion'!N18</f>
        <v/>
      </c>
      <c r="N853" s="3">
        <f>'Zarrah-Conversion'!O18</f>
        <v/>
      </c>
      <c r="O853" s="3">
        <f>'Zarrah-Conversion'!P18</f>
        <v/>
      </c>
    </row>
    <row r="854" ht="18" customHeight="1" s="96">
      <c r="A854" s="93" t="inlineStr">
        <is>
          <t>Person B</t>
        </is>
      </c>
      <c r="B854" s="93">
        <f>'Zarrah-Conversion'!A19</f>
        <v/>
      </c>
      <c r="C854" s="8">
        <f>'Zarrah-Conversion'!B19</f>
        <v/>
      </c>
      <c r="D854" s="8">
        <f>'Zarrah-Conversion'!C19</f>
        <v/>
      </c>
      <c r="E854" s="8">
        <f>'Zarrah-Conversion'!D19</f>
        <v/>
      </c>
      <c r="F854" s="8">
        <f>'Zarrah-Conversion'!E19</f>
        <v/>
      </c>
      <c r="G854" s="9">
        <f>'Zarrah-Conversion'!F19</f>
        <v/>
      </c>
      <c r="H854" s="8">
        <f>'Zarrah-Conversion'!G19</f>
        <v/>
      </c>
      <c r="I854" s="10">
        <f>'Zarrah-Conversion'!H19</f>
        <v/>
      </c>
      <c r="J854" s="10">
        <f>'Zarrah-Conversion'!I19</f>
        <v/>
      </c>
      <c r="K854" s="11">
        <f>'Zarrah-Conversion'!J19</f>
        <v/>
      </c>
      <c r="L854" s="12">
        <f>'Zarrah-Conversion'!K19</f>
        <v/>
      </c>
      <c r="M854" s="11">
        <f>'Zarrah-Conversion'!N19</f>
        <v/>
      </c>
      <c r="N854" s="8">
        <f>'Zarrah-Conversion'!O19</f>
        <v/>
      </c>
      <c r="O854" s="8">
        <f>'Zarrah-Conversion'!P19</f>
        <v/>
      </c>
    </row>
    <row r="855" ht="18" customHeight="1" s="96">
      <c r="A855" s="2" t="inlineStr">
        <is>
          <t>Person B</t>
        </is>
      </c>
      <c r="B855" s="2">
        <f>'Zarrah-Conversion'!A20</f>
        <v/>
      </c>
      <c r="C855" s="3">
        <f>'Zarrah-Conversion'!B20</f>
        <v/>
      </c>
      <c r="D855" s="3">
        <f>'Zarrah-Conversion'!C20</f>
        <v/>
      </c>
      <c r="E855" s="3">
        <f>'Zarrah-Conversion'!D20</f>
        <v/>
      </c>
      <c r="F855" s="3">
        <f>'Zarrah-Conversion'!E20</f>
        <v/>
      </c>
      <c r="G855" s="4">
        <f>'Zarrah-Conversion'!F20</f>
        <v/>
      </c>
      <c r="H855" s="3">
        <f>'Zarrah-Conversion'!G20</f>
        <v/>
      </c>
      <c r="I855" s="5">
        <f>'Zarrah-Conversion'!H20</f>
        <v/>
      </c>
      <c r="J855" s="5">
        <f>'Zarrah-Conversion'!I20</f>
        <v/>
      </c>
      <c r="K855" s="6">
        <f>'Zarrah-Conversion'!J20</f>
        <v/>
      </c>
      <c r="L855" s="13">
        <f>'Zarrah-Conversion'!K20</f>
        <v/>
      </c>
      <c r="M855" s="6">
        <f>'Zarrah-Conversion'!N20</f>
        <v/>
      </c>
      <c r="N855" s="3">
        <f>'Zarrah-Conversion'!O20</f>
        <v/>
      </c>
      <c r="O855" s="3">
        <f>'Zarrah-Conversion'!P20</f>
        <v/>
      </c>
    </row>
    <row r="856" ht="18" customHeight="1" s="96">
      <c r="A856" s="93" t="inlineStr">
        <is>
          <t>Person B</t>
        </is>
      </c>
      <c r="B856" s="93">
        <f>'Zarrah-Conversion'!A21</f>
        <v/>
      </c>
      <c r="C856" s="8">
        <f>'Zarrah-Conversion'!B21</f>
        <v/>
      </c>
      <c r="D856" s="8">
        <f>'Zarrah-Conversion'!C21</f>
        <v/>
      </c>
      <c r="E856" s="8">
        <f>'Zarrah-Conversion'!D21</f>
        <v/>
      </c>
      <c r="F856" s="8">
        <f>'Zarrah-Conversion'!E21</f>
        <v/>
      </c>
      <c r="G856" s="9">
        <f>'Zarrah-Conversion'!F21</f>
        <v/>
      </c>
      <c r="H856" s="8">
        <f>'Zarrah-Conversion'!G21</f>
        <v/>
      </c>
      <c r="I856" s="10">
        <f>'Zarrah-Conversion'!H21</f>
        <v/>
      </c>
      <c r="J856" s="10">
        <f>'Zarrah-Conversion'!I21</f>
        <v/>
      </c>
      <c r="K856" s="11">
        <f>'Zarrah-Conversion'!J21</f>
        <v/>
      </c>
      <c r="L856" s="12">
        <f>'Zarrah-Conversion'!K21</f>
        <v/>
      </c>
      <c r="M856" s="11">
        <f>'Zarrah-Conversion'!N21</f>
        <v/>
      </c>
      <c r="N856" s="8">
        <f>'Zarrah-Conversion'!O21</f>
        <v/>
      </c>
      <c r="O856" s="8">
        <f>'Zarrah-Conversion'!P21</f>
        <v/>
      </c>
    </row>
    <row r="857" ht="18" customHeight="1" s="96">
      <c r="A857" s="2" t="inlineStr">
        <is>
          <t>Person B</t>
        </is>
      </c>
      <c r="B857" s="2">
        <f>'Zarrah-Conversion'!A22</f>
        <v/>
      </c>
      <c r="C857" s="3">
        <f>'Zarrah-Conversion'!B22</f>
        <v/>
      </c>
      <c r="D857" s="3">
        <f>'Zarrah-Conversion'!C22</f>
        <v/>
      </c>
      <c r="E857" s="3">
        <f>'Zarrah-Conversion'!D22</f>
        <v/>
      </c>
      <c r="F857" s="3">
        <f>'Zarrah-Conversion'!E22</f>
        <v/>
      </c>
      <c r="G857" s="4">
        <f>'Zarrah-Conversion'!F22</f>
        <v/>
      </c>
      <c r="H857" s="3">
        <f>'Zarrah-Conversion'!G22</f>
        <v/>
      </c>
      <c r="I857" s="5">
        <f>'Zarrah-Conversion'!H22</f>
        <v/>
      </c>
      <c r="J857" s="5">
        <f>'Zarrah-Conversion'!I22</f>
        <v/>
      </c>
      <c r="K857" s="6">
        <f>'Zarrah-Conversion'!J22</f>
        <v/>
      </c>
      <c r="L857" s="13">
        <f>'Zarrah-Conversion'!K22</f>
        <v/>
      </c>
      <c r="M857" s="6">
        <f>'Zarrah-Conversion'!N22</f>
        <v/>
      </c>
      <c r="N857" s="3">
        <f>'Zarrah-Conversion'!O22</f>
        <v/>
      </c>
      <c r="O857" s="3">
        <f>'Zarrah-Conversion'!P22</f>
        <v/>
      </c>
    </row>
    <row r="858" ht="18" customHeight="1" s="96">
      <c r="A858" s="93" t="inlineStr">
        <is>
          <t>Person B</t>
        </is>
      </c>
      <c r="B858" s="93">
        <f>'Zarrah-Conversion'!A23</f>
        <v/>
      </c>
      <c r="C858" s="8">
        <f>'Zarrah-Conversion'!B23</f>
        <v/>
      </c>
      <c r="D858" s="8">
        <f>'Zarrah-Conversion'!C23</f>
        <v/>
      </c>
      <c r="E858" s="8">
        <f>'Zarrah-Conversion'!D23</f>
        <v/>
      </c>
      <c r="F858" s="8">
        <f>'Zarrah-Conversion'!E23</f>
        <v/>
      </c>
      <c r="G858" s="9">
        <f>'Zarrah-Conversion'!F23</f>
        <v/>
      </c>
      <c r="H858" s="8">
        <f>'Zarrah-Conversion'!G23</f>
        <v/>
      </c>
      <c r="I858" s="10">
        <f>'Zarrah-Conversion'!H23</f>
        <v/>
      </c>
      <c r="J858" s="10">
        <f>'Zarrah-Conversion'!I23</f>
        <v/>
      </c>
      <c r="K858" s="11">
        <f>'Zarrah-Conversion'!J23</f>
        <v/>
      </c>
      <c r="L858" s="12">
        <f>'Zarrah-Conversion'!K23</f>
        <v/>
      </c>
      <c r="M858" s="11">
        <f>'Zarrah-Conversion'!N23</f>
        <v/>
      </c>
      <c r="N858" s="8">
        <f>'Zarrah-Conversion'!O23</f>
        <v/>
      </c>
      <c r="O858" s="8">
        <f>'Zarrah-Conversion'!P23</f>
        <v/>
      </c>
    </row>
    <row r="859" ht="18" customHeight="1" s="96">
      <c r="A859" s="2" t="inlineStr">
        <is>
          <t>Person B</t>
        </is>
      </c>
      <c r="B859" s="2">
        <f>'Zarrah-Conversion'!A24</f>
        <v/>
      </c>
      <c r="C859" s="3">
        <f>'Zarrah-Conversion'!B24</f>
        <v/>
      </c>
      <c r="D859" s="3">
        <f>'Zarrah-Conversion'!C24</f>
        <v/>
      </c>
      <c r="E859" s="3">
        <f>'Zarrah-Conversion'!D24</f>
        <v/>
      </c>
      <c r="F859" s="3">
        <f>'Zarrah-Conversion'!E24</f>
        <v/>
      </c>
      <c r="G859" s="4">
        <f>'Zarrah-Conversion'!F24</f>
        <v/>
      </c>
      <c r="H859" s="3">
        <f>'Zarrah-Conversion'!G24</f>
        <v/>
      </c>
      <c r="I859" s="5">
        <f>'Zarrah-Conversion'!H24</f>
        <v/>
      </c>
      <c r="J859" s="5">
        <f>'Zarrah-Conversion'!I24</f>
        <v/>
      </c>
      <c r="K859" s="6">
        <f>'Zarrah-Conversion'!J24</f>
        <v/>
      </c>
      <c r="L859" s="13">
        <f>'Zarrah-Conversion'!K24</f>
        <v/>
      </c>
      <c r="M859" s="6">
        <f>'Zarrah-Conversion'!N24</f>
        <v/>
      </c>
      <c r="N859" s="3">
        <f>'Zarrah-Conversion'!O24</f>
        <v/>
      </c>
      <c r="O859" s="3">
        <f>'Zarrah-Conversion'!P24</f>
        <v/>
      </c>
    </row>
    <row r="860" ht="18" customHeight="1" s="96">
      <c r="A860" s="93" t="inlineStr">
        <is>
          <t>Person B</t>
        </is>
      </c>
      <c r="B860" s="93">
        <f>'Zarrah-Conversion'!A25</f>
        <v/>
      </c>
      <c r="C860" s="8">
        <f>'Zarrah-Conversion'!B25</f>
        <v/>
      </c>
      <c r="D860" s="8">
        <f>'Zarrah-Conversion'!C25</f>
        <v/>
      </c>
      <c r="E860" s="8">
        <f>'Zarrah-Conversion'!D25</f>
        <v/>
      </c>
      <c r="F860" s="8">
        <f>'Zarrah-Conversion'!E25</f>
        <v/>
      </c>
      <c r="G860" s="9">
        <f>'Zarrah-Conversion'!F25</f>
        <v/>
      </c>
      <c r="H860" s="8">
        <f>'Zarrah-Conversion'!G25</f>
        <v/>
      </c>
      <c r="I860" s="10">
        <f>'Zarrah-Conversion'!H25</f>
        <v/>
      </c>
      <c r="J860" s="10">
        <f>'Zarrah-Conversion'!I25</f>
        <v/>
      </c>
      <c r="K860" s="11">
        <f>'Zarrah-Conversion'!J25</f>
        <v/>
      </c>
      <c r="L860" s="12">
        <f>'Zarrah-Conversion'!K25</f>
        <v/>
      </c>
      <c r="M860" s="11">
        <f>'Zarrah-Conversion'!N25</f>
        <v/>
      </c>
      <c r="N860" s="8">
        <f>'Zarrah-Conversion'!O25</f>
        <v/>
      </c>
      <c r="O860" s="8">
        <f>'Zarrah-Conversion'!P25</f>
        <v/>
      </c>
    </row>
    <row r="861" ht="18" customHeight="1" s="96">
      <c r="A861" s="2" t="inlineStr">
        <is>
          <t>Person B</t>
        </is>
      </c>
      <c r="B861" s="2">
        <f>'Zarrah-Conversion'!A26</f>
        <v/>
      </c>
      <c r="C861" s="3">
        <f>'Zarrah-Conversion'!B26</f>
        <v/>
      </c>
      <c r="D861" s="3">
        <f>'Zarrah-Conversion'!C26</f>
        <v/>
      </c>
      <c r="E861" s="3">
        <f>'Zarrah-Conversion'!D26</f>
        <v/>
      </c>
      <c r="F861" s="3">
        <f>'Zarrah-Conversion'!E26</f>
        <v/>
      </c>
      <c r="G861" s="4">
        <f>'Zarrah-Conversion'!F26</f>
        <v/>
      </c>
      <c r="H861" s="3">
        <f>'Zarrah-Conversion'!G26</f>
        <v/>
      </c>
      <c r="I861" s="5">
        <f>'Zarrah-Conversion'!H26</f>
        <v/>
      </c>
      <c r="J861" s="5">
        <f>'Zarrah-Conversion'!I26</f>
        <v/>
      </c>
      <c r="K861" s="6">
        <f>'Zarrah-Conversion'!J26</f>
        <v/>
      </c>
      <c r="L861" s="13">
        <f>'Zarrah-Conversion'!K26</f>
        <v/>
      </c>
      <c r="M861" s="6">
        <f>'Zarrah-Conversion'!N26</f>
        <v/>
      </c>
      <c r="N861" s="3">
        <f>'Zarrah-Conversion'!O26</f>
        <v/>
      </c>
      <c r="O861" s="3">
        <f>'Zarrah-Conversion'!P26</f>
        <v/>
      </c>
    </row>
    <row r="862" ht="18" customHeight="1" s="96">
      <c r="A862" s="93" t="inlineStr">
        <is>
          <t>Person B</t>
        </is>
      </c>
      <c r="B862" s="93">
        <f>'Zarrah-Conversion'!A27</f>
        <v/>
      </c>
      <c r="C862" s="8">
        <f>'Zarrah-Conversion'!B27</f>
        <v/>
      </c>
      <c r="D862" s="8">
        <f>'Zarrah-Conversion'!C27</f>
        <v/>
      </c>
      <c r="E862" s="8">
        <f>'Zarrah-Conversion'!D27</f>
        <v/>
      </c>
      <c r="F862" s="8">
        <f>'Zarrah-Conversion'!E27</f>
        <v/>
      </c>
      <c r="G862" s="9">
        <f>'Zarrah-Conversion'!F27</f>
        <v/>
      </c>
      <c r="H862" s="8">
        <f>'Zarrah-Conversion'!G27</f>
        <v/>
      </c>
      <c r="I862" s="10">
        <f>'Zarrah-Conversion'!H27</f>
        <v/>
      </c>
      <c r="J862" s="10">
        <f>'Zarrah-Conversion'!I27</f>
        <v/>
      </c>
      <c r="K862" s="11">
        <f>'Zarrah-Conversion'!J27</f>
        <v/>
      </c>
      <c r="L862" s="12">
        <f>'Zarrah-Conversion'!K27</f>
        <v/>
      </c>
      <c r="M862" s="11">
        <f>'Zarrah-Conversion'!N27</f>
        <v/>
      </c>
      <c r="N862" s="8">
        <f>'Zarrah-Conversion'!O27</f>
        <v/>
      </c>
      <c r="O862" s="8">
        <f>'Zarrah-Conversion'!P27</f>
        <v/>
      </c>
    </row>
    <row r="863" ht="18" customHeight="1" s="96">
      <c r="A863" s="2" t="inlineStr">
        <is>
          <t>Person B</t>
        </is>
      </c>
      <c r="B863" s="2">
        <f>'Zarrah-Conversion'!A28</f>
        <v/>
      </c>
      <c r="C863" s="3">
        <f>'Zarrah-Conversion'!B28</f>
        <v/>
      </c>
      <c r="D863" s="3">
        <f>'Zarrah-Conversion'!C28</f>
        <v/>
      </c>
      <c r="E863" s="3">
        <f>'Zarrah-Conversion'!D28</f>
        <v/>
      </c>
      <c r="F863" s="3">
        <f>'Zarrah-Conversion'!E28</f>
        <v/>
      </c>
      <c r="G863" s="4">
        <f>'Zarrah-Conversion'!F28</f>
        <v/>
      </c>
      <c r="H863" s="3">
        <f>'Zarrah-Conversion'!G28</f>
        <v/>
      </c>
      <c r="I863" s="5">
        <f>'Zarrah-Conversion'!H28</f>
        <v/>
      </c>
      <c r="J863" s="5">
        <f>'Zarrah-Conversion'!I28</f>
        <v/>
      </c>
      <c r="K863" s="6">
        <f>'Zarrah-Conversion'!J28</f>
        <v/>
      </c>
      <c r="L863" s="13">
        <f>'Zarrah-Conversion'!K28</f>
        <v/>
      </c>
      <c r="M863" s="6">
        <f>'Zarrah-Conversion'!N28</f>
        <v/>
      </c>
      <c r="N863" s="3">
        <f>'Zarrah-Conversion'!O28</f>
        <v/>
      </c>
      <c r="O863" s="3">
        <f>'Zarrah-Conversion'!P28</f>
        <v/>
      </c>
    </row>
    <row r="864" ht="18" customHeight="1" s="96">
      <c r="A864" s="93" t="inlineStr">
        <is>
          <t>Person B</t>
        </is>
      </c>
      <c r="B864" s="93">
        <f>'Zarrah-Conversion'!A29</f>
        <v/>
      </c>
      <c r="C864" s="8">
        <f>'Zarrah-Conversion'!B29</f>
        <v/>
      </c>
      <c r="D864" s="8">
        <f>'Zarrah-Conversion'!C29</f>
        <v/>
      </c>
      <c r="E864" s="8">
        <f>'Zarrah-Conversion'!D29</f>
        <v/>
      </c>
      <c r="F864" s="8">
        <f>'Zarrah-Conversion'!E29</f>
        <v/>
      </c>
      <c r="G864" s="9">
        <f>'Zarrah-Conversion'!F29</f>
        <v/>
      </c>
      <c r="H864" s="8">
        <f>'Zarrah-Conversion'!G29</f>
        <v/>
      </c>
      <c r="I864" s="10">
        <f>'Zarrah-Conversion'!H29</f>
        <v/>
      </c>
      <c r="J864" s="10">
        <f>'Zarrah-Conversion'!I29</f>
        <v/>
      </c>
      <c r="K864" s="11">
        <f>'Zarrah-Conversion'!J29</f>
        <v/>
      </c>
      <c r="L864" s="12">
        <f>'Zarrah-Conversion'!K29</f>
        <v/>
      </c>
      <c r="M864" s="11">
        <f>'Zarrah-Conversion'!N29</f>
        <v/>
      </c>
      <c r="N864" s="8">
        <f>'Zarrah-Conversion'!O29</f>
        <v/>
      </c>
      <c r="O864" s="8">
        <f>'Zarrah-Conversion'!P29</f>
        <v/>
      </c>
    </row>
    <row r="865" ht="18" customHeight="1" s="96">
      <c r="A865" s="2" t="inlineStr">
        <is>
          <t>Person B</t>
        </is>
      </c>
      <c r="B865" s="2">
        <f>'Zarrah-Conversion'!A30</f>
        <v/>
      </c>
      <c r="C865" s="3">
        <f>'Zarrah-Conversion'!B30</f>
        <v/>
      </c>
      <c r="D865" s="3">
        <f>'Zarrah-Conversion'!C30</f>
        <v/>
      </c>
      <c r="E865" s="3">
        <f>'Zarrah-Conversion'!D30</f>
        <v/>
      </c>
      <c r="F865" s="3">
        <f>'Zarrah-Conversion'!E30</f>
        <v/>
      </c>
      <c r="G865" s="4">
        <f>'Zarrah-Conversion'!F30</f>
        <v/>
      </c>
      <c r="H865" s="3">
        <f>'Zarrah-Conversion'!G30</f>
        <v/>
      </c>
      <c r="I865" s="5">
        <f>'Zarrah-Conversion'!H30</f>
        <v/>
      </c>
      <c r="J865" s="5">
        <f>'Zarrah-Conversion'!I30</f>
        <v/>
      </c>
      <c r="K865" s="6">
        <f>'Zarrah-Conversion'!J30</f>
        <v/>
      </c>
      <c r="L865" s="13">
        <f>'Zarrah-Conversion'!K30</f>
        <v/>
      </c>
      <c r="M865" s="6">
        <f>'Zarrah-Conversion'!N30</f>
        <v/>
      </c>
      <c r="N865" s="3">
        <f>'Zarrah-Conversion'!O30</f>
        <v/>
      </c>
      <c r="O865" s="3">
        <f>'Zarrah-Conversion'!P30</f>
        <v/>
      </c>
    </row>
    <row r="866" ht="18" customHeight="1" s="96">
      <c r="A866" s="93" t="inlineStr">
        <is>
          <t>Person B</t>
        </is>
      </c>
      <c r="B866" s="93">
        <f>'Zarrah-Conversion'!A31</f>
        <v/>
      </c>
      <c r="C866" s="8">
        <f>'Zarrah-Conversion'!B31</f>
        <v/>
      </c>
      <c r="D866" s="8">
        <f>'Zarrah-Conversion'!C31</f>
        <v/>
      </c>
      <c r="E866" s="8">
        <f>'Zarrah-Conversion'!D31</f>
        <v/>
      </c>
      <c r="F866" s="8">
        <f>'Zarrah-Conversion'!E31</f>
        <v/>
      </c>
      <c r="G866" s="9">
        <f>'Zarrah-Conversion'!F31</f>
        <v/>
      </c>
      <c r="H866" s="8">
        <f>'Zarrah-Conversion'!G31</f>
        <v/>
      </c>
      <c r="I866" s="10">
        <f>'Zarrah-Conversion'!H31</f>
        <v/>
      </c>
      <c r="J866" s="10">
        <f>'Zarrah-Conversion'!I31</f>
        <v/>
      </c>
      <c r="K866" s="11">
        <f>'Zarrah-Conversion'!J31</f>
        <v/>
      </c>
      <c r="L866" s="12">
        <f>'Zarrah-Conversion'!K31</f>
        <v/>
      </c>
      <c r="M866" s="11">
        <f>'Zarrah-Conversion'!N31</f>
        <v/>
      </c>
      <c r="N866" s="8">
        <f>'Zarrah-Conversion'!O31</f>
        <v/>
      </c>
      <c r="O866" s="8">
        <f>'Zarrah-Conversion'!P31</f>
        <v/>
      </c>
    </row>
    <row r="867" ht="18" customHeight="1" s="96">
      <c r="A867" s="2" t="inlineStr">
        <is>
          <t>Person B</t>
        </is>
      </c>
      <c r="B867" s="2">
        <f>'Zarrah-Conversion'!A32</f>
        <v/>
      </c>
      <c r="C867" s="3">
        <f>'Zarrah-Conversion'!B32</f>
        <v/>
      </c>
      <c r="D867" s="3">
        <f>'Zarrah-Conversion'!C32</f>
        <v/>
      </c>
      <c r="E867" s="3">
        <f>'Zarrah-Conversion'!D32</f>
        <v/>
      </c>
      <c r="F867" s="3">
        <f>'Zarrah-Conversion'!E32</f>
        <v/>
      </c>
      <c r="G867" s="4">
        <f>'Zarrah-Conversion'!F32</f>
        <v/>
      </c>
      <c r="H867" s="3">
        <f>'Zarrah-Conversion'!G32</f>
        <v/>
      </c>
      <c r="I867" s="5">
        <f>'Zarrah-Conversion'!H32</f>
        <v/>
      </c>
      <c r="J867" s="5">
        <f>'Zarrah-Conversion'!I32</f>
        <v/>
      </c>
      <c r="K867" s="6">
        <f>'Zarrah-Conversion'!J32</f>
        <v/>
      </c>
      <c r="L867" s="13">
        <f>'Zarrah-Conversion'!K32</f>
        <v/>
      </c>
      <c r="M867" s="6">
        <f>'Zarrah-Conversion'!N32</f>
        <v/>
      </c>
      <c r="N867" s="3">
        <f>'Zarrah-Conversion'!O32</f>
        <v/>
      </c>
      <c r="O867" s="3">
        <f>'Zarrah-Conversion'!P32</f>
        <v/>
      </c>
    </row>
    <row r="868" ht="18" customHeight="1" s="96">
      <c r="A868" s="93" t="inlineStr">
        <is>
          <t>Person B</t>
        </is>
      </c>
      <c r="B868" s="93">
        <f>'Zarrah-Conversion'!A33</f>
        <v/>
      </c>
      <c r="C868" s="8">
        <f>'Zarrah-Conversion'!B33</f>
        <v/>
      </c>
      <c r="D868" s="8">
        <f>'Zarrah-Conversion'!C33</f>
        <v/>
      </c>
      <c r="E868" s="8">
        <f>'Zarrah-Conversion'!D33</f>
        <v/>
      </c>
      <c r="F868" s="8">
        <f>'Zarrah-Conversion'!E33</f>
        <v/>
      </c>
      <c r="G868" s="9">
        <f>'Zarrah-Conversion'!F33</f>
        <v/>
      </c>
      <c r="H868" s="8">
        <f>'Zarrah-Conversion'!G33</f>
        <v/>
      </c>
      <c r="I868" s="10">
        <f>'Zarrah-Conversion'!H33</f>
        <v/>
      </c>
      <c r="J868" s="10">
        <f>'Zarrah-Conversion'!I33</f>
        <v/>
      </c>
      <c r="K868" s="11">
        <f>'Zarrah-Conversion'!J33</f>
        <v/>
      </c>
      <c r="L868" s="12">
        <f>'Zarrah-Conversion'!K33</f>
        <v/>
      </c>
      <c r="M868" s="11">
        <f>'Zarrah-Conversion'!N33</f>
        <v/>
      </c>
      <c r="N868" s="8">
        <f>'Zarrah-Conversion'!O33</f>
        <v/>
      </c>
      <c r="O868" s="8">
        <f>'Zarrah-Conversion'!P33</f>
        <v/>
      </c>
    </row>
    <row r="869" ht="18" customHeight="1" s="96">
      <c r="A869" s="2" t="inlineStr">
        <is>
          <t>Person B</t>
        </is>
      </c>
      <c r="B869" s="2">
        <f>'Zarrah-Conversion'!A34</f>
        <v/>
      </c>
      <c r="C869" s="3">
        <f>'Zarrah-Conversion'!B34</f>
        <v/>
      </c>
      <c r="D869" s="3">
        <f>'Zarrah-Conversion'!C34</f>
        <v/>
      </c>
      <c r="E869" s="3">
        <f>'Zarrah-Conversion'!D34</f>
        <v/>
      </c>
      <c r="F869" s="3">
        <f>'Zarrah-Conversion'!E34</f>
        <v/>
      </c>
      <c r="G869" s="4">
        <f>'Zarrah-Conversion'!F34</f>
        <v/>
      </c>
      <c r="H869" s="3">
        <f>'Zarrah-Conversion'!G34</f>
        <v/>
      </c>
      <c r="I869" s="5">
        <f>'Zarrah-Conversion'!H34</f>
        <v/>
      </c>
      <c r="J869" s="5">
        <f>'Zarrah-Conversion'!I34</f>
        <v/>
      </c>
      <c r="K869" s="6">
        <f>'Zarrah-Conversion'!J34</f>
        <v/>
      </c>
      <c r="L869" s="13">
        <f>'Zarrah-Conversion'!K34</f>
        <v/>
      </c>
      <c r="M869" s="6">
        <f>'Zarrah-Conversion'!N34</f>
        <v/>
      </c>
      <c r="N869" s="3">
        <f>'Zarrah-Conversion'!O34</f>
        <v/>
      </c>
      <c r="O869" s="3">
        <f>'Zarrah-Conversion'!P34</f>
        <v/>
      </c>
    </row>
    <row r="870" ht="18" customHeight="1" s="96">
      <c r="A870" s="93" t="inlineStr">
        <is>
          <t>Person B</t>
        </is>
      </c>
      <c r="B870" s="93">
        <f>'Zarrah-Conversion'!A35</f>
        <v/>
      </c>
      <c r="C870" s="8">
        <f>'Zarrah-Conversion'!B35</f>
        <v/>
      </c>
      <c r="D870" s="8">
        <f>'Zarrah-Conversion'!C35</f>
        <v/>
      </c>
      <c r="E870" s="8">
        <f>'Zarrah-Conversion'!D35</f>
        <v/>
      </c>
      <c r="F870" s="8">
        <f>'Zarrah-Conversion'!E35</f>
        <v/>
      </c>
      <c r="G870" s="9">
        <f>'Zarrah-Conversion'!F35</f>
        <v/>
      </c>
      <c r="H870" s="8">
        <f>'Zarrah-Conversion'!G35</f>
        <v/>
      </c>
      <c r="I870" s="10">
        <f>'Zarrah-Conversion'!H35</f>
        <v/>
      </c>
      <c r="J870" s="10">
        <f>'Zarrah-Conversion'!I35</f>
        <v/>
      </c>
      <c r="K870" s="11">
        <f>'Zarrah-Conversion'!J35</f>
        <v/>
      </c>
      <c r="L870" s="12">
        <f>'Zarrah-Conversion'!K35</f>
        <v/>
      </c>
      <c r="M870" s="11">
        <f>'Zarrah-Conversion'!N35</f>
        <v/>
      </c>
      <c r="N870" s="8">
        <f>'Zarrah-Conversion'!O35</f>
        <v/>
      </c>
      <c r="O870" s="8">
        <f>'Zarrah-Conversion'!P35</f>
        <v/>
      </c>
    </row>
    <row r="871" ht="18" customHeight="1" s="96">
      <c r="A871" s="2" t="inlineStr">
        <is>
          <t>Person B</t>
        </is>
      </c>
      <c r="B871" s="2">
        <f>'Zarrah-Conversion'!A36</f>
        <v/>
      </c>
      <c r="C871" s="3">
        <f>'Zarrah-Conversion'!B36</f>
        <v/>
      </c>
      <c r="D871" s="3">
        <f>'Zarrah-Conversion'!C36</f>
        <v/>
      </c>
      <c r="E871" s="3">
        <f>'Zarrah-Conversion'!D36</f>
        <v/>
      </c>
      <c r="F871" s="3">
        <f>'Zarrah-Conversion'!E36</f>
        <v/>
      </c>
      <c r="G871" s="4">
        <f>'Zarrah-Conversion'!F36</f>
        <v/>
      </c>
      <c r="H871" s="3">
        <f>'Zarrah-Conversion'!G36</f>
        <v/>
      </c>
      <c r="I871" s="5">
        <f>'Zarrah-Conversion'!H36</f>
        <v/>
      </c>
      <c r="J871" s="5">
        <f>'Zarrah-Conversion'!I36</f>
        <v/>
      </c>
      <c r="K871" s="6">
        <f>'Zarrah-Conversion'!J36</f>
        <v/>
      </c>
      <c r="L871" s="13">
        <f>'Zarrah-Conversion'!K36</f>
        <v/>
      </c>
      <c r="M871" s="6">
        <f>'Zarrah-Conversion'!N36</f>
        <v/>
      </c>
      <c r="N871" s="3">
        <f>'Zarrah-Conversion'!O36</f>
        <v/>
      </c>
      <c r="O871" s="3">
        <f>'Zarrah-Conversion'!P36</f>
        <v/>
      </c>
    </row>
    <row r="872" ht="18" customHeight="1" s="96">
      <c r="A872" s="93" t="inlineStr">
        <is>
          <t>Person B</t>
        </is>
      </c>
      <c r="B872" s="93">
        <f>'Zarrah-Conversion'!A37</f>
        <v/>
      </c>
      <c r="C872" s="8">
        <f>'Zarrah-Conversion'!B37</f>
        <v/>
      </c>
      <c r="D872" s="8">
        <f>'Zarrah-Conversion'!C37</f>
        <v/>
      </c>
      <c r="E872" s="8">
        <f>'Zarrah-Conversion'!D37</f>
        <v/>
      </c>
      <c r="F872" s="8">
        <f>'Zarrah-Conversion'!E37</f>
        <v/>
      </c>
      <c r="G872" s="9">
        <f>'Zarrah-Conversion'!F37</f>
        <v/>
      </c>
      <c r="H872" s="8">
        <f>'Zarrah-Conversion'!G37</f>
        <v/>
      </c>
      <c r="I872" s="10">
        <f>'Zarrah-Conversion'!H37</f>
        <v/>
      </c>
      <c r="J872" s="10">
        <f>'Zarrah-Conversion'!I37</f>
        <v/>
      </c>
      <c r="K872" s="11">
        <f>'Zarrah-Conversion'!J37</f>
        <v/>
      </c>
      <c r="L872" s="12">
        <f>'Zarrah-Conversion'!K37</f>
        <v/>
      </c>
      <c r="M872" s="11">
        <f>'Zarrah-Conversion'!N37</f>
        <v/>
      </c>
      <c r="N872" s="8">
        <f>'Zarrah-Conversion'!O37</f>
        <v/>
      </c>
      <c r="O872" s="8">
        <f>'Zarrah-Conversion'!P37</f>
        <v/>
      </c>
    </row>
    <row r="873" ht="18" customHeight="1" s="96">
      <c r="A873" s="2" t="inlineStr">
        <is>
          <t>Person B</t>
        </is>
      </c>
      <c r="B873" s="2">
        <f>'Zarrah-Conversion'!A38</f>
        <v/>
      </c>
      <c r="C873" s="3">
        <f>'Zarrah-Conversion'!B38</f>
        <v/>
      </c>
      <c r="D873" s="3">
        <f>'Zarrah-Conversion'!C38</f>
        <v/>
      </c>
      <c r="E873" s="3">
        <f>'Zarrah-Conversion'!D38</f>
        <v/>
      </c>
      <c r="F873" s="3">
        <f>'Zarrah-Conversion'!E38</f>
        <v/>
      </c>
      <c r="G873" s="4">
        <f>'Zarrah-Conversion'!F38</f>
        <v/>
      </c>
      <c r="H873" s="3">
        <f>'Zarrah-Conversion'!G38</f>
        <v/>
      </c>
      <c r="I873" s="5">
        <f>'Zarrah-Conversion'!H38</f>
        <v/>
      </c>
      <c r="J873" s="5">
        <f>'Zarrah-Conversion'!I38</f>
        <v/>
      </c>
      <c r="K873" s="6">
        <f>'Zarrah-Conversion'!J38</f>
        <v/>
      </c>
      <c r="L873" s="13">
        <f>'Zarrah-Conversion'!K38</f>
        <v/>
      </c>
      <c r="M873" s="6">
        <f>'Zarrah-Conversion'!N38</f>
        <v/>
      </c>
      <c r="N873" s="3">
        <f>'Zarrah-Conversion'!O38</f>
        <v/>
      </c>
      <c r="O873" s="3">
        <f>'Zarrah-Conversion'!P38</f>
        <v/>
      </c>
    </row>
    <row r="874" ht="18" customHeight="1" s="96">
      <c r="A874" s="93" t="inlineStr">
        <is>
          <t>Person B</t>
        </is>
      </c>
      <c r="B874" s="93">
        <f>'Zarrah-Conversion'!A39</f>
        <v/>
      </c>
      <c r="C874" s="8">
        <f>'Zarrah-Conversion'!B39</f>
        <v/>
      </c>
      <c r="D874" s="8">
        <f>'Zarrah-Conversion'!C39</f>
        <v/>
      </c>
      <c r="E874" s="8">
        <f>'Zarrah-Conversion'!D39</f>
        <v/>
      </c>
      <c r="F874" s="8">
        <f>'Zarrah-Conversion'!E39</f>
        <v/>
      </c>
      <c r="G874" s="9">
        <f>'Zarrah-Conversion'!F39</f>
        <v/>
      </c>
      <c r="H874" s="8">
        <f>'Zarrah-Conversion'!G39</f>
        <v/>
      </c>
      <c r="I874" s="10">
        <f>'Zarrah-Conversion'!H39</f>
        <v/>
      </c>
      <c r="J874" s="10">
        <f>'Zarrah-Conversion'!I39</f>
        <v/>
      </c>
      <c r="K874" s="11">
        <f>'Zarrah-Conversion'!J39</f>
        <v/>
      </c>
      <c r="L874" s="12">
        <f>'Zarrah-Conversion'!K39</f>
        <v/>
      </c>
      <c r="M874" s="11">
        <f>'Zarrah-Conversion'!N39</f>
        <v/>
      </c>
      <c r="N874" s="8">
        <f>'Zarrah-Conversion'!O39</f>
        <v/>
      </c>
      <c r="O874" s="8">
        <f>'Zarrah-Conversion'!P39</f>
        <v/>
      </c>
    </row>
    <row r="875" ht="18" customHeight="1" s="96">
      <c r="A875" s="2" t="inlineStr">
        <is>
          <t>Person B</t>
        </is>
      </c>
      <c r="B875" s="2">
        <f>'Zarrah-Conversion'!A40</f>
        <v/>
      </c>
      <c r="C875" s="3">
        <f>'Zarrah-Conversion'!B40</f>
        <v/>
      </c>
      <c r="D875" s="3">
        <f>'Zarrah-Conversion'!C40</f>
        <v/>
      </c>
      <c r="E875" s="3">
        <f>'Zarrah-Conversion'!D40</f>
        <v/>
      </c>
      <c r="F875" s="3">
        <f>'Zarrah-Conversion'!E40</f>
        <v/>
      </c>
      <c r="G875" s="4">
        <f>'Zarrah-Conversion'!F40</f>
        <v/>
      </c>
      <c r="H875" s="3">
        <f>'Zarrah-Conversion'!G40</f>
        <v/>
      </c>
      <c r="I875" s="5">
        <f>'Zarrah-Conversion'!H40</f>
        <v/>
      </c>
      <c r="J875" s="5">
        <f>'Zarrah-Conversion'!I40</f>
        <v/>
      </c>
      <c r="K875" s="6">
        <f>'Zarrah-Conversion'!J40</f>
        <v/>
      </c>
      <c r="L875" s="13">
        <f>'Zarrah-Conversion'!K40</f>
        <v/>
      </c>
      <c r="M875" s="6">
        <f>'Zarrah-Conversion'!N40</f>
        <v/>
      </c>
      <c r="N875" s="3">
        <f>'Zarrah-Conversion'!O40</f>
        <v/>
      </c>
      <c r="O875" s="3">
        <f>'Zarrah-Conversion'!P40</f>
        <v/>
      </c>
    </row>
    <row r="876" ht="18" customHeight="1" s="96">
      <c r="A876" s="93" t="inlineStr">
        <is>
          <t>Person B</t>
        </is>
      </c>
      <c r="B876" s="93">
        <f>'Zarrah-Conversion'!A41</f>
        <v/>
      </c>
      <c r="C876" s="8">
        <f>'Zarrah-Conversion'!B41</f>
        <v/>
      </c>
      <c r="D876" s="8">
        <f>'Zarrah-Conversion'!C41</f>
        <v/>
      </c>
      <c r="E876" s="8">
        <f>'Zarrah-Conversion'!D41</f>
        <v/>
      </c>
      <c r="F876" s="8">
        <f>'Zarrah-Conversion'!E41</f>
        <v/>
      </c>
      <c r="G876" s="9">
        <f>'Zarrah-Conversion'!F41</f>
        <v/>
      </c>
      <c r="H876" s="8">
        <f>'Zarrah-Conversion'!G41</f>
        <v/>
      </c>
      <c r="I876" s="10">
        <f>'Zarrah-Conversion'!H41</f>
        <v/>
      </c>
      <c r="J876" s="10">
        <f>'Zarrah-Conversion'!I41</f>
        <v/>
      </c>
      <c r="K876" s="11">
        <f>'Zarrah-Conversion'!J41</f>
        <v/>
      </c>
      <c r="L876" s="12">
        <f>'Zarrah-Conversion'!K41</f>
        <v/>
      </c>
      <c r="M876" s="11">
        <f>'Zarrah-Conversion'!N41</f>
        <v/>
      </c>
      <c r="N876" s="8">
        <f>'Zarrah-Conversion'!O41</f>
        <v/>
      </c>
      <c r="O876" s="8">
        <f>'Zarrah-Conversion'!P41</f>
        <v/>
      </c>
    </row>
    <row r="877" ht="18" customHeight="1" s="96">
      <c r="A877" s="2" t="inlineStr">
        <is>
          <t>Person B</t>
        </is>
      </c>
      <c r="B877" s="2">
        <f>'Zarrah-Conversion'!A42</f>
        <v/>
      </c>
      <c r="C877" s="3">
        <f>'Zarrah-Conversion'!B42</f>
        <v/>
      </c>
      <c r="D877" s="3">
        <f>'Zarrah-Conversion'!C42</f>
        <v/>
      </c>
      <c r="E877" s="3">
        <f>'Zarrah-Conversion'!D42</f>
        <v/>
      </c>
      <c r="F877" s="3">
        <f>'Zarrah-Conversion'!E42</f>
        <v/>
      </c>
      <c r="G877" s="4">
        <f>'Zarrah-Conversion'!F42</f>
        <v/>
      </c>
      <c r="H877" s="3">
        <f>'Zarrah-Conversion'!G42</f>
        <v/>
      </c>
      <c r="I877" s="5">
        <f>'Zarrah-Conversion'!H42</f>
        <v/>
      </c>
      <c r="J877" s="5">
        <f>'Zarrah-Conversion'!I42</f>
        <v/>
      </c>
      <c r="K877" s="6">
        <f>'Zarrah-Conversion'!J42</f>
        <v/>
      </c>
      <c r="L877" s="13">
        <f>'Zarrah-Conversion'!K42</f>
        <v/>
      </c>
      <c r="M877" s="6">
        <f>'Zarrah-Conversion'!N42</f>
        <v/>
      </c>
      <c r="N877" s="3">
        <f>'Zarrah-Conversion'!O42</f>
        <v/>
      </c>
      <c r="O877" s="3">
        <f>'Zarrah-Conversion'!P42</f>
        <v/>
      </c>
    </row>
    <row r="878" ht="18" customHeight="1" s="96">
      <c r="A878" s="93" t="inlineStr">
        <is>
          <t>Person B</t>
        </is>
      </c>
      <c r="B878" s="93">
        <f>'Zarrah-Conversion'!A43</f>
        <v/>
      </c>
      <c r="C878" s="8">
        <f>'Zarrah-Conversion'!B43</f>
        <v/>
      </c>
      <c r="D878" s="8">
        <f>'Zarrah-Conversion'!C43</f>
        <v/>
      </c>
      <c r="E878" s="8">
        <f>'Zarrah-Conversion'!D43</f>
        <v/>
      </c>
      <c r="F878" s="8">
        <f>'Zarrah-Conversion'!E43</f>
        <v/>
      </c>
      <c r="G878" s="9">
        <f>'Zarrah-Conversion'!F43</f>
        <v/>
      </c>
      <c r="H878" s="8">
        <f>'Zarrah-Conversion'!G43</f>
        <v/>
      </c>
      <c r="I878" s="10">
        <f>'Zarrah-Conversion'!H43</f>
        <v/>
      </c>
      <c r="J878" s="10">
        <f>'Zarrah-Conversion'!I43</f>
        <v/>
      </c>
      <c r="K878" s="11">
        <f>'Zarrah-Conversion'!J43</f>
        <v/>
      </c>
      <c r="L878" s="12">
        <f>'Zarrah-Conversion'!K43</f>
        <v/>
      </c>
      <c r="M878" s="11">
        <f>'Zarrah-Conversion'!N43</f>
        <v/>
      </c>
      <c r="N878" s="8">
        <f>'Zarrah-Conversion'!O43</f>
        <v/>
      </c>
      <c r="O878" s="8">
        <f>'Zarrah-Conversion'!P43</f>
        <v/>
      </c>
    </row>
    <row r="879" ht="18" customHeight="1" s="96">
      <c r="A879" s="2" t="inlineStr">
        <is>
          <t>Person B</t>
        </is>
      </c>
      <c r="B879" s="2">
        <f>'Zarrah-Conversion'!A44</f>
        <v/>
      </c>
      <c r="C879" s="3">
        <f>'Zarrah-Conversion'!B44</f>
        <v/>
      </c>
      <c r="D879" s="3">
        <f>'Zarrah-Conversion'!C44</f>
        <v/>
      </c>
      <c r="E879" s="3">
        <f>'Zarrah-Conversion'!D44</f>
        <v/>
      </c>
      <c r="F879" s="3">
        <f>'Zarrah-Conversion'!E44</f>
        <v/>
      </c>
      <c r="G879" s="4">
        <f>'Zarrah-Conversion'!F44</f>
        <v/>
      </c>
      <c r="H879" s="3">
        <f>'Zarrah-Conversion'!G44</f>
        <v/>
      </c>
      <c r="I879" s="5">
        <f>'Zarrah-Conversion'!H44</f>
        <v/>
      </c>
      <c r="J879" s="5">
        <f>'Zarrah-Conversion'!I44</f>
        <v/>
      </c>
      <c r="K879" s="6">
        <f>'Zarrah-Conversion'!J44</f>
        <v/>
      </c>
      <c r="L879" s="13">
        <f>'Zarrah-Conversion'!K44</f>
        <v/>
      </c>
      <c r="M879" s="6">
        <f>'Zarrah-Conversion'!N44</f>
        <v/>
      </c>
      <c r="N879" s="3">
        <f>'Zarrah-Conversion'!O44</f>
        <v/>
      </c>
      <c r="O879" s="3">
        <f>'Zarrah-Conversion'!P44</f>
        <v/>
      </c>
    </row>
    <row r="880" ht="18" customHeight="1" s="96">
      <c r="A880" s="93" t="inlineStr">
        <is>
          <t>Person B</t>
        </is>
      </c>
      <c r="B880" s="93">
        <f>'Zarrah-Conversion'!A45</f>
        <v/>
      </c>
      <c r="C880" s="8">
        <f>'Zarrah-Conversion'!B45</f>
        <v/>
      </c>
      <c r="D880" s="8">
        <f>'Zarrah-Conversion'!C45</f>
        <v/>
      </c>
      <c r="E880" s="8">
        <f>'Zarrah-Conversion'!D45</f>
        <v/>
      </c>
      <c r="F880" s="8">
        <f>'Zarrah-Conversion'!E45</f>
        <v/>
      </c>
      <c r="G880" s="9">
        <f>'Zarrah-Conversion'!F45</f>
        <v/>
      </c>
      <c r="H880" s="8">
        <f>'Zarrah-Conversion'!G45</f>
        <v/>
      </c>
      <c r="I880" s="10">
        <f>'Zarrah-Conversion'!H45</f>
        <v/>
      </c>
      <c r="J880" s="10">
        <f>'Zarrah-Conversion'!I45</f>
        <v/>
      </c>
      <c r="K880" s="11">
        <f>'Zarrah-Conversion'!J45</f>
        <v/>
      </c>
      <c r="L880" s="12">
        <f>'Zarrah-Conversion'!K45</f>
        <v/>
      </c>
      <c r="M880" s="11">
        <f>'Zarrah-Conversion'!N45</f>
        <v/>
      </c>
      <c r="N880" s="8">
        <f>'Zarrah-Conversion'!O45</f>
        <v/>
      </c>
      <c r="O880" s="8">
        <f>'Zarrah-Conversion'!P45</f>
        <v/>
      </c>
    </row>
    <row r="881" ht="18" customHeight="1" s="96">
      <c r="A881" s="2" t="inlineStr">
        <is>
          <t>Person B</t>
        </is>
      </c>
      <c r="B881" s="2">
        <f>'Zarrah-Conversion'!A46</f>
        <v/>
      </c>
      <c r="C881" s="3">
        <f>'Zarrah-Conversion'!B46</f>
        <v/>
      </c>
      <c r="D881" s="3">
        <f>'Zarrah-Conversion'!C46</f>
        <v/>
      </c>
      <c r="E881" s="3">
        <f>'Zarrah-Conversion'!D46</f>
        <v/>
      </c>
      <c r="F881" s="3">
        <f>'Zarrah-Conversion'!E46</f>
        <v/>
      </c>
      <c r="G881" s="4">
        <f>'Zarrah-Conversion'!F46</f>
        <v/>
      </c>
      <c r="H881" s="3">
        <f>'Zarrah-Conversion'!G46</f>
        <v/>
      </c>
      <c r="I881" s="5">
        <f>'Zarrah-Conversion'!H46</f>
        <v/>
      </c>
      <c r="J881" s="5">
        <f>'Zarrah-Conversion'!I46</f>
        <v/>
      </c>
      <c r="K881" s="6">
        <f>'Zarrah-Conversion'!J46</f>
        <v/>
      </c>
      <c r="L881" s="13">
        <f>'Zarrah-Conversion'!K46</f>
        <v/>
      </c>
      <c r="M881" s="6">
        <f>'Zarrah-Conversion'!N46</f>
        <v/>
      </c>
      <c r="N881" s="3">
        <f>'Zarrah-Conversion'!O46</f>
        <v/>
      </c>
      <c r="O881" s="3">
        <f>'Zarrah-Conversion'!P46</f>
        <v/>
      </c>
    </row>
    <row r="882" ht="18" customHeight="1" s="96">
      <c r="A882" s="93" t="inlineStr">
        <is>
          <t>Person B</t>
        </is>
      </c>
      <c r="B882" s="93">
        <f>'Zarrah-Conversion'!A47</f>
        <v/>
      </c>
      <c r="C882" s="8">
        <f>'Zarrah-Conversion'!B47</f>
        <v/>
      </c>
      <c r="D882" s="8">
        <f>'Zarrah-Conversion'!C47</f>
        <v/>
      </c>
      <c r="E882" s="8">
        <f>'Zarrah-Conversion'!D47</f>
        <v/>
      </c>
      <c r="F882" s="8">
        <f>'Zarrah-Conversion'!E47</f>
        <v/>
      </c>
      <c r="G882" s="9">
        <f>'Zarrah-Conversion'!F47</f>
        <v/>
      </c>
      <c r="H882" s="8">
        <f>'Zarrah-Conversion'!G47</f>
        <v/>
      </c>
      <c r="I882" s="10">
        <f>'Zarrah-Conversion'!H47</f>
        <v/>
      </c>
      <c r="J882" s="10">
        <f>'Zarrah-Conversion'!I47</f>
        <v/>
      </c>
      <c r="K882" s="11">
        <f>'Zarrah-Conversion'!J47</f>
        <v/>
      </c>
      <c r="L882" s="12">
        <f>'Zarrah-Conversion'!K47</f>
        <v/>
      </c>
      <c r="M882" s="11">
        <f>'Zarrah-Conversion'!N47</f>
        <v/>
      </c>
      <c r="N882" s="8">
        <f>'Zarrah-Conversion'!O47</f>
        <v/>
      </c>
      <c r="O882" s="8">
        <f>'Zarrah-Conversion'!P47</f>
        <v/>
      </c>
    </row>
    <row r="883" ht="18" customHeight="1" s="96">
      <c r="A883" s="2" t="inlineStr">
        <is>
          <t>Person B</t>
        </is>
      </c>
      <c r="B883" s="2">
        <f>'Zarrah-Conversion'!A48</f>
        <v/>
      </c>
      <c r="C883" s="3">
        <f>'Zarrah-Conversion'!B48</f>
        <v/>
      </c>
      <c r="D883" s="3">
        <f>'Zarrah-Conversion'!C48</f>
        <v/>
      </c>
      <c r="E883" s="3">
        <f>'Zarrah-Conversion'!D48</f>
        <v/>
      </c>
      <c r="F883" s="3">
        <f>'Zarrah-Conversion'!E48</f>
        <v/>
      </c>
      <c r="G883" s="4">
        <f>'Zarrah-Conversion'!F48</f>
        <v/>
      </c>
      <c r="H883" s="3">
        <f>'Zarrah-Conversion'!G48</f>
        <v/>
      </c>
      <c r="I883" s="5">
        <f>'Zarrah-Conversion'!H48</f>
        <v/>
      </c>
      <c r="J883" s="5">
        <f>'Zarrah-Conversion'!I48</f>
        <v/>
      </c>
      <c r="K883" s="6">
        <f>'Zarrah-Conversion'!J48</f>
        <v/>
      </c>
      <c r="L883" s="13">
        <f>'Zarrah-Conversion'!K48</f>
        <v/>
      </c>
      <c r="M883" s="6">
        <f>'Zarrah-Conversion'!N48</f>
        <v/>
      </c>
      <c r="N883" s="3">
        <f>'Zarrah-Conversion'!O48</f>
        <v/>
      </c>
      <c r="O883" s="3">
        <f>'Zarrah-Conversion'!P48</f>
        <v/>
      </c>
    </row>
    <row r="884" ht="18" customHeight="1" s="96">
      <c r="A884" s="93" t="inlineStr">
        <is>
          <t>Person B</t>
        </is>
      </c>
      <c r="B884" s="93">
        <f>'Zarrah-Conversion'!A49</f>
        <v/>
      </c>
      <c r="C884" s="8">
        <f>'Zarrah-Conversion'!B49</f>
        <v/>
      </c>
      <c r="D884" s="8">
        <f>'Zarrah-Conversion'!C49</f>
        <v/>
      </c>
      <c r="E884" s="8">
        <f>'Zarrah-Conversion'!D49</f>
        <v/>
      </c>
      <c r="F884" s="8">
        <f>'Zarrah-Conversion'!E49</f>
        <v/>
      </c>
      <c r="G884" s="9">
        <f>'Zarrah-Conversion'!F49</f>
        <v/>
      </c>
      <c r="H884" s="8">
        <f>'Zarrah-Conversion'!G49</f>
        <v/>
      </c>
      <c r="I884" s="10">
        <f>'Zarrah-Conversion'!H49</f>
        <v/>
      </c>
      <c r="J884" s="10">
        <f>'Zarrah-Conversion'!I49</f>
        <v/>
      </c>
      <c r="K884" s="11">
        <f>'Zarrah-Conversion'!J49</f>
        <v/>
      </c>
      <c r="L884" s="12">
        <f>'Zarrah-Conversion'!K49</f>
        <v/>
      </c>
      <c r="M884" s="11">
        <f>'Zarrah-Conversion'!N49</f>
        <v/>
      </c>
      <c r="N884" s="8">
        <f>'Zarrah-Conversion'!O49</f>
        <v/>
      </c>
      <c r="O884" s="8">
        <f>'Zarrah-Conversion'!P49</f>
        <v/>
      </c>
    </row>
    <row r="885" ht="18" customHeight="1" s="96">
      <c r="A885" s="2" t="inlineStr">
        <is>
          <t>Person B</t>
        </is>
      </c>
      <c r="B885" s="2">
        <f>'Zarrah-Conversion'!A50</f>
        <v/>
      </c>
      <c r="C885" s="3">
        <f>'Zarrah-Conversion'!B50</f>
        <v/>
      </c>
      <c r="D885" s="3">
        <f>'Zarrah-Conversion'!C50</f>
        <v/>
      </c>
      <c r="E885" s="3">
        <f>'Zarrah-Conversion'!D50</f>
        <v/>
      </c>
      <c r="F885" s="3">
        <f>'Zarrah-Conversion'!E50</f>
        <v/>
      </c>
      <c r="G885" s="4">
        <f>'Zarrah-Conversion'!F50</f>
        <v/>
      </c>
      <c r="H885" s="3">
        <f>'Zarrah-Conversion'!G50</f>
        <v/>
      </c>
      <c r="I885" s="5">
        <f>'Zarrah-Conversion'!H50</f>
        <v/>
      </c>
      <c r="J885" s="5">
        <f>'Zarrah-Conversion'!I50</f>
        <v/>
      </c>
      <c r="K885" s="6">
        <f>'Zarrah-Conversion'!J50</f>
        <v/>
      </c>
      <c r="L885" s="13">
        <f>'Zarrah-Conversion'!K50</f>
        <v/>
      </c>
      <c r="M885" s="6">
        <f>'Zarrah-Conversion'!N50</f>
        <v/>
      </c>
      <c r="N885" s="3">
        <f>'Zarrah-Conversion'!O50</f>
        <v/>
      </c>
      <c r="O885" s="3">
        <f>'Zarrah-Conversion'!P50</f>
        <v/>
      </c>
    </row>
    <row r="886" ht="18" customHeight="1" s="96">
      <c r="A886" s="93" t="inlineStr">
        <is>
          <t>Person B</t>
        </is>
      </c>
      <c r="B886" s="93">
        <f>'Zarrah-Conversion'!A51</f>
        <v/>
      </c>
      <c r="C886" s="8">
        <f>'Zarrah-Conversion'!B51</f>
        <v/>
      </c>
      <c r="D886" s="8">
        <f>'Zarrah-Conversion'!C51</f>
        <v/>
      </c>
      <c r="E886" s="8">
        <f>'Zarrah-Conversion'!D51</f>
        <v/>
      </c>
      <c r="F886" s="8">
        <f>'Zarrah-Conversion'!E51</f>
        <v/>
      </c>
      <c r="G886" s="9">
        <f>'Zarrah-Conversion'!F51</f>
        <v/>
      </c>
      <c r="H886" s="8">
        <f>'Zarrah-Conversion'!G51</f>
        <v/>
      </c>
      <c r="I886" s="10">
        <f>'Zarrah-Conversion'!H51</f>
        <v/>
      </c>
      <c r="J886" s="10">
        <f>'Zarrah-Conversion'!I51</f>
        <v/>
      </c>
      <c r="K886" s="11">
        <f>'Zarrah-Conversion'!J51</f>
        <v/>
      </c>
      <c r="L886" s="12">
        <f>'Zarrah-Conversion'!K51</f>
        <v/>
      </c>
      <c r="M886" s="11">
        <f>'Zarrah-Conversion'!N51</f>
        <v/>
      </c>
      <c r="N886" s="8">
        <f>'Zarrah-Conversion'!O51</f>
        <v/>
      </c>
      <c r="O886" s="8">
        <f>'Zarrah-Conversion'!P51</f>
        <v/>
      </c>
    </row>
    <row r="887" ht="18" customHeight="1" s="96">
      <c r="A887" s="2" t="inlineStr">
        <is>
          <t>Person B</t>
        </is>
      </c>
      <c r="B887" s="2">
        <f>'Zarrah-Conversion'!A52</f>
        <v/>
      </c>
      <c r="C887" s="3">
        <f>'Zarrah-Conversion'!B52</f>
        <v/>
      </c>
      <c r="D887" s="3">
        <f>'Zarrah-Conversion'!C52</f>
        <v/>
      </c>
      <c r="E887" s="3">
        <f>'Zarrah-Conversion'!D52</f>
        <v/>
      </c>
      <c r="F887" s="3">
        <f>'Zarrah-Conversion'!E52</f>
        <v/>
      </c>
      <c r="G887" s="4">
        <f>'Zarrah-Conversion'!F52</f>
        <v/>
      </c>
      <c r="H887" s="3">
        <f>'Zarrah-Conversion'!G52</f>
        <v/>
      </c>
      <c r="I887" s="5">
        <f>'Zarrah-Conversion'!H52</f>
        <v/>
      </c>
      <c r="J887" s="5">
        <f>'Zarrah-Conversion'!I52</f>
        <v/>
      </c>
      <c r="K887" s="6">
        <f>'Zarrah-Conversion'!J52</f>
        <v/>
      </c>
      <c r="L887" s="13">
        <f>'Zarrah-Conversion'!K52</f>
        <v/>
      </c>
      <c r="M887" s="6">
        <f>'Zarrah-Conversion'!N52</f>
        <v/>
      </c>
      <c r="N887" s="3">
        <f>'Zarrah-Conversion'!O52</f>
        <v/>
      </c>
      <c r="O887" s="3">
        <f>'Zarrah-Conversion'!P52</f>
        <v/>
      </c>
    </row>
    <row r="888" ht="18" customHeight="1" s="96">
      <c r="A888" s="93" t="inlineStr">
        <is>
          <t>Person B</t>
        </is>
      </c>
      <c r="B888" s="93">
        <f>'Zarrah-Conversion'!A53</f>
        <v/>
      </c>
      <c r="C888" s="8">
        <f>'Zarrah-Conversion'!B53</f>
        <v/>
      </c>
      <c r="D888" s="8">
        <f>'Zarrah-Conversion'!C53</f>
        <v/>
      </c>
      <c r="E888" s="8">
        <f>'Zarrah-Conversion'!D53</f>
        <v/>
      </c>
      <c r="F888" s="8">
        <f>'Zarrah-Conversion'!E53</f>
        <v/>
      </c>
      <c r="G888" s="9">
        <f>'Zarrah-Conversion'!F53</f>
        <v/>
      </c>
      <c r="H888" s="8">
        <f>'Zarrah-Conversion'!G53</f>
        <v/>
      </c>
      <c r="I888" s="10">
        <f>'Zarrah-Conversion'!H53</f>
        <v/>
      </c>
      <c r="J888" s="10">
        <f>'Zarrah-Conversion'!I53</f>
        <v/>
      </c>
      <c r="K888" s="11">
        <f>'Zarrah-Conversion'!J53</f>
        <v/>
      </c>
      <c r="L888" s="12">
        <f>'Zarrah-Conversion'!K53</f>
        <v/>
      </c>
      <c r="M888" s="11">
        <f>'Zarrah-Conversion'!N53</f>
        <v/>
      </c>
      <c r="N888" s="8">
        <f>'Zarrah-Conversion'!O53</f>
        <v/>
      </c>
      <c r="O888" s="8">
        <f>'Zarrah-Conversion'!P53</f>
        <v/>
      </c>
    </row>
    <row r="889" ht="18" customHeight="1" s="96">
      <c r="A889" s="2" t="inlineStr">
        <is>
          <t>Person B</t>
        </is>
      </c>
      <c r="B889" s="2">
        <f>'Zarrah-Conversion'!A54</f>
        <v/>
      </c>
      <c r="C889" s="3">
        <f>'Zarrah-Conversion'!B54</f>
        <v/>
      </c>
      <c r="D889" s="3">
        <f>'Zarrah-Conversion'!C54</f>
        <v/>
      </c>
      <c r="E889" s="3">
        <f>'Zarrah-Conversion'!D54</f>
        <v/>
      </c>
      <c r="F889" s="3">
        <f>'Zarrah-Conversion'!E54</f>
        <v/>
      </c>
      <c r="G889" s="4">
        <f>'Zarrah-Conversion'!F54</f>
        <v/>
      </c>
      <c r="H889" s="3">
        <f>'Zarrah-Conversion'!G54</f>
        <v/>
      </c>
      <c r="I889" s="5">
        <f>'Zarrah-Conversion'!H54</f>
        <v/>
      </c>
      <c r="J889" s="5">
        <f>'Zarrah-Conversion'!I54</f>
        <v/>
      </c>
      <c r="K889" s="6">
        <f>'Zarrah-Conversion'!J54</f>
        <v/>
      </c>
      <c r="L889" s="13">
        <f>'Zarrah-Conversion'!K54</f>
        <v/>
      </c>
      <c r="M889" s="6">
        <f>'Zarrah-Conversion'!N54</f>
        <v/>
      </c>
      <c r="N889" s="3">
        <f>'Zarrah-Conversion'!O54</f>
        <v/>
      </c>
      <c r="O889" s="3">
        <f>'Zarrah-Conversion'!P54</f>
        <v/>
      </c>
    </row>
    <row r="890" ht="18" customHeight="1" s="96">
      <c r="A890" s="93" t="inlineStr">
        <is>
          <t>Person B</t>
        </is>
      </c>
      <c r="B890" s="93">
        <f>'Zarrah-Conversion'!A55</f>
        <v/>
      </c>
      <c r="C890" s="8">
        <f>'Zarrah-Conversion'!B55</f>
        <v/>
      </c>
      <c r="D890" s="8">
        <f>'Zarrah-Conversion'!C55</f>
        <v/>
      </c>
      <c r="E890" s="8">
        <f>'Zarrah-Conversion'!D55</f>
        <v/>
      </c>
      <c r="F890" s="8">
        <f>'Zarrah-Conversion'!E55</f>
        <v/>
      </c>
      <c r="G890" s="9">
        <f>'Zarrah-Conversion'!F55</f>
        <v/>
      </c>
      <c r="H890" s="8">
        <f>'Zarrah-Conversion'!G55</f>
        <v/>
      </c>
      <c r="I890" s="10">
        <f>'Zarrah-Conversion'!H55</f>
        <v/>
      </c>
      <c r="J890" s="10">
        <f>'Zarrah-Conversion'!I55</f>
        <v/>
      </c>
      <c r="K890" s="11">
        <f>'Zarrah-Conversion'!J55</f>
        <v/>
      </c>
      <c r="L890" s="12">
        <f>'Zarrah-Conversion'!K55</f>
        <v/>
      </c>
      <c r="M890" s="11">
        <f>'Zarrah-Conversion'!N55</f>
        <v/>
      </c>
      <c r="N890" s="8">
        <f>'Zarrah-Conversion'!O55</f>
        <v/>
      </c>
      <c r="O890" s="8">
        <f>'Zarrah-Conversion'!P55</f>
        <v/>
      </c>
    </row>
    <row r="891" ht="18" customHeight="1" s="96">
      <c r="A891" s="2" t="inlineStr">
        <is>
          <t>Person B</t>
        </is>
      </c>
      <c r="B891" s="2">
        <f>'Zarrah-Conversion'!A56</f>
        <v/>
      </c>
      <c r="C891" s="3">
        <f>'Zarrah-Conversion'!B56</f>
        <v/>
      </c>
      <c r="D891" s="3">
        <f>'Zarrah-Conversion'!C56</f>
        <v/>
      </c>
      <c r="E891" s="3">
        <f>'Zarrah-Conversion'!D56</f>
        <v/>
      </c>
      <c r="F891" s="3">
        <f>'Zarrah-Conversion'!E56</f>
        <v/>
      </c>
      <c r="G891" s="4">
        <f>'Zarrah-Conversion'!F56</f>
        <v/>
      </c>
      <c r="H891" s="3">
        <f>'Zarrah-Conversion'!G56</f>
        <v/>
      </c>
      <c r="I891" s="5">
        <f>'Zarrah-Conversion'!H56</f>
        <v/>
      </c>
      <c r="J891" s="5">
        <f>'Zarrah-Conversion'!I56</f>
        <v/>
      </c>
      <c r="K891" s="6">
        <f>'Zarrah-Conversion'!J56</f>
        <v/>
      </c>
      <c r="L891" s="13">
        <f>'Zarrah-Conversion'!K56</f>
        <v/>
      </c>
      <c r="M891" s="6">
        <f>'Zarrah-Conversion'!N56</f>
        <v/>
      </c>
      <c r="N891" s="3">
        <f>'Zarrah-Conversion'!O56</f>
        <v/>
      </c>
      <c r="O891" s="3">
        <f>'Zarrah-Conversion'!P56</f>
        <v/>
      </c>
    </row>
    <row r="892" ht="18" customHeight="1" s="96">
      <c r="A892" s="93" t="inlineStr">
        <is>
          <t>Person B</t>
        </is>
      </c>
      <c r="B892" s="93">
        <f>'Zarrah-Conversion'!A57</f>
        <v/>
      </c>
      <c r="C892" s="8">
        <f>'Zarrah-Conversion'!B57</f>
        <v/>
      </c>
      <c r="D892" s="8">
        <f>'Zarrah-Conversion'!C57</f>
        <v/>
      </c>
      <c r="E892" s="8">
        <f>'Zarrah-Conversion'!D57</f>
        <v/>
      </c>
      <c r="F892" s="8">
        <f>'Zarrah-Conversion'!E57</f>
        <v/>
      </c>
      <c r="G892" s="9">
        <f>'Zarrah-Conversion'!F57</f>
        <v/>
      </c>
      <c r="H892" s="8">
        <f>'Zarrah-Conversion'!G57</f>
        <v/>
      </c>
      <c r="I892" s="10">
        <f>'Zarrah-Conversion'!H57</f>
        <v/>
      </c>
      <c r="J892" s="10">
        <f>'Zarrah-Conversion'!I57</f>
        <v/>
      </c>
      <c r="K892" s="11">
        <f>'Zarrah-Conversion'!J57</f>
        <v/>
      </c>
      <c r="L892" s="12">
        <f>'Zarrah-Conversion'!K57</f>
        <v/>
      </c>
      <c r="M892" s="11">
        <f>'Zarrah-Conversion'!N57</f>
        <v/>
      </c>
      <c r="N892" s="8">
        <f>'Zarrah-Conversion'!O57</f>
        <v/>
      </c>
      <c r="O892" s="8">
        <f>'Zarrah-Conversion'!P57</f>
        <v/>
      </c>
    </row>
    <row r="893" ht="18" customHeight="1" s="96">
      <c r="A893" s="2" t="inlineStr">
        <is>
          <t>Person B</t>
        </is>
      </c>
      <c r="B893" s="2">
        <f>'Zarrah-Conversion'!A58</f>
        <v/>
      </c>
      <c r="C893" s="3">
        <f>'Zarrah-Conversion'!B58</f>
        <v/>
      </c>
      <c r="D893" s="3">
        <f>'Zarrah-Conversion'!C58</f>
        <v/>
      </c>
      <c r="E893" s="3">
        <f>'Zarrah-Conversion'!D58</f>
        <v/>
      </c>
      <c r="F893" s="3">
        <f>'Zarrah-Conversion'!E58</f>
        <v/>
      </c>
      <c r="G893" s="4">
        <f>'Zarrah-Conversion'!F58</f>
        <v/>
      </c>
      <c r="H893" s="3">
        <f>'Zarrah-Conversion'!G58</f>
        <v/>
      </c>
      <c r="I893" s="5">
        <f>'Zarrah-Conversion'!H58</f>
        <v/>
      </c>
      <c r="J893" s="5">
        <f>'Zarrah-Conversion'!I58</f>
        <v/>
      </c>
      <c r="K893" s="6">
        <f>'Zarrah-Conversion'!J58</f>
        <v/>
      </c>
      <c r="L893" s="13">
        <f>'Zarrah-Conversion'!K58</f>
        <v/>
      </c>
      <c r="M893" s="6">
        <f>'Zarrah-Conversion'!N58</f>
        <v/>
      </c>
      <c r="N893" s="3">
        <f>'Zarrah-Conversion'!O58</f>
        <v/>
      </c>
      <c r="O893" s="3">
        <f>'Zarrah-Conversion'!P58</f>
        <v/>
      </c>
    </row>
    <row r="894" ht="18" customHeight="1" s="96">
      <c r="A894" s="93" t="inlineStr">
        <is>
          <t>Person B</t>
        </is>
      </c>
      <c r="B894" s="93">
        <f>'Zarrah-Conversion'!A59</f>
        <v/>
      </c>
      <c r="C894" s="8">
        <f>'Zarrah-Conversion'!B59</f>
        <v/>
      </c>
      <c r="D894" s="8">
        <f>'Zarrah-Conversion'!C59</f>
        <v/>
      </c>
      <c r="E894" s="8">
        <f>'Zarrah-Conversion'!D59</f>
        <v/>
      </c>
      <c r="F894" s="8">
        <f>'Zarrah-Conversion'!E59</f>
        <v/>
      </c>
      <c r="G894" s="9">
        <f>'Zarrah-Conversion'!F59</f>
        <v/>
      </c>
      <c r="H894" s="8">
        <f>'Zarrah-Conversion'!G59</f>
        <v/>
      </c>
      <c r="I894" s="10">
        <f>'Zarrah-Conversion'!H59</f>
        <v/>
      </c>
      <c r="J894" s="10">
        <f>'Zarrah-Conversion'!I59</f>
        <v/>
      </c>
      <c r="K894" s="11">
        <f>'Zarrah-Conversion'!J59</f>
        <v/>
      </c>
      <c r="L894" s="12">
        <f>'Zarrah-Conversion'!K59</f>
        <v/>
      </c>
      <c r="M894" s="11">
        <f>'Zarrah-Conversion'!N59</f>
        <v/>
      </c>
      <c r="N894" s="8">
        <f>'Zarrah-Conversion'!O59</f>
        <v/>
      </c>
      <c r="O894" s="8">
        <f>'Zarrah-Conversion'!P59</f>
        <v/>
      </c>
    </row>
    <row r="895" ht="18" customHeight="1" s="96">
      <c r="A895" s="2" t="inlineStr">
        <is>
          <t>Person B</t>
        </is>
      </c>
      <c r="B895" s="2">
        <f>'Zarrah-Conversion'!A60</f>
        <v/>
      </c>
      <c r="C895" s="3">
        <f>'Zarrah-Conversion'!B60</f>
        <v/>
      </c>
      <c r="D895" s="3">
        <f>'Zarrah-Conversion'!C60</f>
        <v/>
      </c>
      <c r="E895" s="3">
        <f>'Zarrah-Conversion'!D60</f>
        <v/>
      </c>
      <c r="F895" s="3">
        <f>'Zarrah-Conversion'!E60</f>
        <v/>
      </c>
      <c r="G895" s="4">
        <f>'Zarrah-Conversion'!F60</f>
        <v/>
      </c>
      <c r="H895" s="3">
        <f>'Zarrah-Conversion'!G60</f>
        <v/>
      </c>
      <c r="I895" s="5">
        <f>'Zarrah-Conversion'!H60</f>
        <v/>
      </c>
      <c r="J895" s="5">
        <f>'Zarrah-Conversion'!I60</f>
        <v/>
      </c>
      <c r="K895" s="6">
        <f>'Zarrah-Conversion'!J60</f>
        <v/>
      </c>
      <c r="L895" s="13">
        <f>'Zarrah-Conversion'!K60</f>
        <v/>
      </c>
      <c r="M895" s="6">
        <f>'Zarrah-Conversion'!N60</f>
        <v/>
      </c>
      <c r="N895" s="3">
        <f>'Zarrah-Conversion'!O60</f>
        <v/>
      </c>
      <c r="O895" s="3">
        <f>'Zarrah-Conversion'!P60</f>
        <v/>
      </c>
    </row>
    <row r="896" ht="18" customHeight="1" s="96">
      <c r="A896" s="93" t="inlineStr">
        <is>
          <t>Person B</t>
        </is>
      </c>
      <c r="B896" s="93">
        <f>'Zarrah-Conversion'!A61</f>
        <v/>
      </c>
      <c r="C896" s="8">
        <f>'Zarrah-Conversion'!B61</f>
        <v/>
      </c>
      <c r="D896" s="8">
        <f>'Zarrah-Conversion'!C61</f>
        <v/>
      </c>
      <c r="E896" s="8">
        <f>'Zarrah-Conversion'!D61</f>
        <v/>
      </c>
      <c r="F896" s="8">
        <f>'Zarrah-Conversion'!E61</f>
        <v/>
      </c>
      <c r="G896" s="9">
        <f>'Zarrah-Conversion'!F61</f>
        <v/>
      </c>
      <c r="H896" s="8">
        <f>'Zarrah-Conversion'!G61</f>
        <v/>
      </c>
      <c r="I896" s="10">
        <f>'Zarrah-Conversion'!H61</f>
        <v/>
      </c>
      <c r="J896" s="10">
        <f>'Zarrah-Conversion'!I61</f>
        <v/>
      </c>
      <c r="K896" s="11">
        <f>'Zarrah-Conversion'!J61</f>
        <v/>
      </c>
      <c r="L896" s="12">
        <f>'Zarrah-Conversion'!K61</f>
        <v/>
      </c>
      <c r="M896" s="11">
        <f>'Zarrah-Conversion'!N61</f>
        <v/>
      </c>
      <c r="N896" s="8">
        <f>'Zarrah-Conversion'!O61</f>
        <v/>
      </c>
      <c r="O896" s="8">
        <f>'Zarrah-Conversion'!P61</f>
        <v/>
      </c>
    </row>
    <row r="897" ht="18" customHeight="1" s="96">
      <c r="A897" s="2" t="inlineStr">
        <is>
          <t>Person B</t>
        </is>
      </c>
      <c r="B897" s="2">
        <f>'Zarrah-Conversion'!A62</f>
        <v/>
      </c>
      <c r="C897" s="3">
        <f>'Zarrah-Conversion'!B62</f>
        <v/>
      </c>
      <c r="D897" s="3">
        <f>'Zarrah-Conversion'!C62</f>
        <v/>
      </c>
      <c r="E897" s="3">
        <f>'Zarrah-Conversion'!D62</f>
        <v/>
      </c>
      <c r="F897" s="3">
        <f>'Zarrah-Conversion'!E62</f>
        <v/>
      </c>
      <c r="G897" s="4">
        <f>'Zarrah-Conversion'!F62</f>
        <v/>
      </c>
      <c r="H897" s="3">
        <f>'Zarrah-Conversion'!G62</f>
        <v/>
      </c>
      <c r="I897" s="5">
        <f>'Zarrah-Conversion'!H62</f>
        <v/>
      </c>
      <c r="J897" s="5">
        <f>'Zarrah-Conversion'!I62</f>
        <v/>
      </c>
      <c r="K897" s="6">
        <f>'Zarrah-Conversion'!J62</f>
        <v/>
      </c>
      <c r="L897" s="13">
        <f>'Zarrah-Conversion'!K62</f>
        <v/>
      </c>
      <c r="M897" s="6">
        <f>'Zarrah-Conversion'!N62</f>
        <v/>
      </c>
      <c r="N897" s="3">
        <f>'Zarrah-Conversion'!O62</f>
        <v/>
      </c>
      <c r="O897" s="3">
        <f>'Zarrah-Conversion'!P62</f>
        <v/>
      </c>
    </row>
    <row r="898" ht="18" customHeight="1" s="96">
      <c r="A898" s="93" t="inlineStr">
        <is>
          <t>Person B</t>
        </is>
      </c>
      <c r="B898" s="93">
        <f>'Zarrah-Conversion'!A63</f>
        <v/>
      </c>
      <c r="C898" s="8">
        <f>'Zarrah-Conversion'!B63</f>
        <v/>
      </c>
      <c r="D898" s="8">
        <f>'Zarrah-Conversion'!C63</f>
        <v/>
      </c>
      <c r="E898" s="8">
        <f>'Zarrah-Conversion'!D63</f>
        <v/>
      </c>
      <c r="F898" s="8">
        <f>'Zarrah-Conversion'!E63</f>
        <v/>
      </c>
      <c r="G898" s="9">
        <f>'Zarrah-Conversion'!F63</f>
        <v/>
      </c>
      <c r="H898" s="8">
        <f>'Zarrah-Conversion'!G63</f>
        <v/>
      </c>
      <c r="I898" s="10">
        <f>'Zarrah-Conversion'!H63</f>
        <v/>
      </c>
      <c r="J898" s="10">
        <f>'Zarrah-Conversion'!I63</f>
        <v/>
      </c>
      <c r="K898" s="11">
        <f>'Zarrah-Conversion'!J63</f>
        <v/>
      </c>
      <c r="L898" s="12">
        <f>'Zarrah-Conversion'!K63</f>
        <v/>
      </c>
      <c r="M898" s="11">
        <f>'Zarrah-Conversion'!N63</f>
        <v/>
      </c>
      <c r="N898" s="8">
        <f>'Zarrah-Conversion'!O63</f>
        <v/>
      </c>
      <c r="O898" s="8">
        <f>'Zarrah-Conversion'!P63</f>
        <v/>
      </c>
    </row>
    <row r="899" ht="18" customHeight="1" s="96">
      <c r="A899" s="2" t="inlineStr">
        <is>
          <t>Person B</t>
        </is>
      </c>
      <c r="B899" s="2">
        <f>'Zarrah-Conversion'!A64</f>
        <v/>
      </c>
      <c r="C899" s="3">
        <f>'Zarrah-Conversion'!B64</f>
        <v/>
      </c>
      <c r="D899" s="3">
        <f>'Zarrah-Conversion'!C64</f>
        <v/>
      </c>
      <c r="E899" s="3">
        <f>'Zarrah-Conversion'!D64</f>
        <v/>
      </c>
      <c r="F899" s="3">
        <f>'Zarrah-Conversion'!E64</f>
        <v/>
      </c>
      <c r="G899" s="4">
        <f>'Zarrah-Conversion'!F64</f>
        <v/>
      </c>
      <c r="H899" s="3">
        <f>'Zarrah-Conversion'!G64</f>
        <v/>
      </c>
      <c r="I899" s="5">
        <f>'Zarrah-Conversion'!H64</f>
        <v/>
      </c>
      <c r="J899" s="5">
        <f>'Zarrah-Conversion'!I64</f>
        <v/>
      </c>
      <c r="K899" s="6">
        <f>'Zarrah-Conversion'!J64</f>
        <v/>
      </c>
      <c r="L899" s="13">
        <f>'Zarrah-Conversion'!K64</f>
        <v/>
      </c>
      <c r="M899" s="6">
        <f>'Zarrah-Conversion'!N64</f>
        <v/>
      </c>
      <c r="N899" s="3">
        <f>'Zarrah-Conversion'!O64</f>
        <v/>
      </c>
      <c r="O899" s="3">
        <f>'Zarrah-Conversion'!P64</f>
        <v/>
      </c>
    </row>
    <row r="900" ht="18" customHeight="1" s="96">
      <c r="A900" s="93" t="inlineStr">
        <is>
          <t>Person B</t>
        </is>
      </c>
      <c r="B900" s="93">
        <f>'Zarrah-Conversion'!A65</f>
        <v/>
      </c>
      <c r="C900" s="8">
        <f>'Zarrah-Conversion'!B65</f>
        <v/>
      </c>
      <c r="D900" s="8">
        <f>'Zarrah-Conversion'!C65</f>
        <v/>
      </c>
      <c r="E900" s="8">
        <f>'Zarrah-Conversion'!D65</f>
        <v/>
      </c>
      <c r="F900" s="8">
        <f>'Zarrah-Conversion'!E65</f>
        <v/>
      </c>
      <c r="G900" s="9">
        <f>'Zarrah-Conversion'!F65</f>
        <v/>
      </c>
      <c r="H900" s="8">
        <f>'Zarrah-Conversion'!G65</f>
        <v/>
      </c>
      <c r="I900" s="10">
        <f>'Zarrah-Conversion'!H65</f>
        <v/>
      </c>
      <c r="J900" s="10">
        <f>'Zarrah-Conversion'!I65</f>
        <v/>
      </c>
      <c r="K900" s="11">
        <f>'Zarrah-Conversion'!J65</f>
        <v/>
      </c>
      <c r="L900" s="12">
        <f>'Zarrah-Conversion'!K65</f>
        <v/>
      </c>
      <c r="M900" s="11">
        <f>'Zarrah-Conversion'!N65</f>
        <v/>
      </c>
      <c r="N900" s="8">
        <f>'Zarrah-Conversion'!O65</f>
        <v/>
      </c>
      <c r="O900" s="8">
        <f>'Zarrah-Conversion'!P65</f>
        <v/>
      </c>
    </row>
    <row r="901" ht="18" customHeight="1" s="96">
      <c r="A901" s="2" t="inlineStr">
        <is>
          <t>Person B</t>
        </is>
      </c>
      <c r="B901" s="2">
        <f>'Zarrah-Conversion'!A66</f>
        <v/>
      </c>
      <c r="C901" s="3">
        <f>'Zarrah-Conversion'!B66</f>
        <v/>
      </c>
      <c r="D901" s="3">
        <f>'Zarrah-Conversion'!C66</f>
        <v/>
      </c>
      <c r="E901" s="3">
        <f>'Zarrah-Conversion'!D66</f>
        <v/>
      </c>
      <c r="F901" s="3">
        <f>'Zarrah-Conversion'!E66</f>
        <v/>
      </c>
      <c r="G901" s="4">
        <f>'Zarrah-Conversion'!F66</f>
        <v/>
      </c>
      <c r="H901" s="3">
        <f>'Zarrah-Conversion'!G66</f>
        <v/>
      </c>
      <c r="I901" s="5">
        <f>'Zarrah-Conversion'!H66</f>
        <v/>
      </c>
      <c r="J901" s="5">
        <f>'Zarrah-Conversion'!I66</f>
        <v/>
      </c>
      <c r="K901" s="6">
        <f>'Zarrah-Conversion'!J66</f>
        <v/>
      </c>
      <c r="L901" s="13">
        <f>'Zarrah-Conversion'!K66</f>
        <v/>
      </c>
      <c r="M901" s="6">
        <f>'Zarrah-Conversion'!N66</f>
        <v/>
      </c>
      <c r="N901" s="3">
        <f>'Zarrah-Conversion'!O66</f>
        <v/>
      </c>
      <c r="O901" s="3">
        <f>'Zarrah-Conversion'!P66</f>
        <v/>
      </c>
    </row>
    <row r="902" ht="18" customHeight="1" s="96">
      <c r="A902" s="93" t="inlineStr">
        <is>
          <t>Person B</t>
        </is>
      </c>
      <c r="B902" s="93">
        <f>'Zarrah-Conversion'!A67</f>
        <v/>
      </c>
      <c r="C902" s="8">
        <f>'Zarrah-Conversion'!B67</f>
        <v/>
      </c>
      <c r="D902" s="8">
        <f>'Zarrah-Conversion'!C67</f>
        <v/>
      </c>
      <c r="E902" s="8">
        <f>'Zarrah-Conversion'!D67</f>
        <v/>
      </c>
      <c r="F902" s="8">
        <f>'Zarrah-Conversion'!E67</f>
        <v/>
      </c>
      <c r="G902" s="9">
        <f>'Zarrah-Conversion'!F67</f>
        <v/>
      </c>
      <c r="H902" s="8">
        <f>'Zarrah-Conversion'!G67</f>
        <v/>
      </c>
      <c r="I902" s="10">
        <f>'Zarrah-Conversion'!H67</f>
        <v/>
      </c>
      <c r="J902" s="10">
        <f>'Zarrah-Conversion'!I67</f>
        <v/>
      </c>
      <c r="K902" s="11">
        <f>'Zarrah-Conversion'!J67</f>
        <v/>
      </c>
      <c r="L902" s="12">
        <f>'Zarrah-Conversion'!K67</f>
        <v/>
      </c>
      <c r="M902" s="11">
        <f>'Zarrah-Conversion'!N67</f>
        <v/>
      </c>
      <c r="N902" s="8">
        <f>'Zarrah-Conversion'!O67</f>
        <v/>
      </c>
      <c r="O902" s="8">
        <f>'Zarrah-Conversion'!P67</f>
        <v/>
      </c>
    </row>
    <row r="903" ht="18" customHeight="1" s="96">
      <c r="A903" s="2" t="inlineStr">
        <is>
          <t>Person B</t>
        </is>
      </c>
      <c r="B903" s="2">
        <f>'Zarrah-Conversion'!A68</f>
        <v/>
      </c>
      <c r="C903" s="3">
        <f>'Zarrah-Conversion'!B68</f>
        <v/>
      </c>
      <c r="D903" s="3">
        <f>'Zarrah-Conversion'!C68</f>
        <v/>
      </c>
      <c r="E903" s="3">
        <f>'Zarrah-Conversion'!D68</f>
        <v/>
      </c>
      <c r="F903" s="3">
        <f>'Zarrah-Conversion'!E68</f>
        <v/>
      </c>
      <c r="G903" s="4">
        <f>'Zarrah-Conversion'!F68</f>
        <v/>
      </c>
      <c r="H903" s="3">
        <f>'Zarrah-Conversion'!G68</f>
        <v/>
      </c>
      <c r="I903" s="5">
        <f>'Zarrah-Conversion'!H68</f>
        <v/>
      </c>
      <c r="J903" s="5">
        <f>'Zarrah-Conversion'!I68</f>
        <v/>
      </c>
      <c r="K903" s="6">
        <f>'Zarrah-Conversion'!J68</f>
        <v/>
      </c>
      <c r="L903" s="13">
        <f>'Zarrah-Conversion'!K68</f>
        <v/>
      </c>
      <c r="M903" s="6">
        <f>'Zarrah-Conversion'!N68</f>
        <v/>
      </c>
      <c r="N903" s="3">
        <f>'Zarrah-Conversion'!O68</f>
        <v/>
      </c>
      <c r="O903" s="3">
        <f>'Zarrah-Conversion'!P68</f>
        <v/>
      </c>
    </row>
    <row r="904" ht="18" customHeight="1" s="96">
      <c r="A904" s="93" t="inlineStr">
        <is>
          <t>Person B</t>
        </is>
      </c>
      <c r="B904" s="93">
        <f>'Zarrah-Conversion'!A69</f>
        <v/>
      </c>
      <c r="C904" s="8">
        <f>'Zarrah-Conversion'!B69</f>
        <v/>
      </c>
      <c r="D904" s="8">
        <f>'Zarrah-Conversion'!C69</f>
        <v/>
      </c>
      <c r="E904" s="8">
        <f>'Zarrah-Conversion'!D69</f>
        <v/>
      </c>
      <c r="F904" s="8">
        <f>'Zarrah-Conversion'!E69</f>
        <v/>
      </c>
      <c r="G904" s="9">
        <f>'Zarrah-Conversion'!F69</f>
        <v/>
      </c>
      <c r="H904" s="8">
        <f>'Zarrah-Conversion'!G69</f>
        <v/>
      </c>
      <c r="I904" s="10">
        <f>'Zarrah-Conversion'!H69</f>
        <v/>
      </c>
      <c r="J904" s="10">
        <f>'Zarrah-Conversion'!I69</f>
        <v/>
      </c>
      <c r="K904" s="11">
        <f>'Zarrah-Conversion'!J69</f>
        <v/>
      </c>
      <c r="L904" s="12">
        <f>'Zarrah-Conversion'!K69</f>
        <v/>
      </c>
      <c r="M904" s="11">
        <f>'Zarrah-Conversion'!N69</f>
        <v/>
      </c>
      <c r="N904" s="8">
        <f>'Zarrah-Conversion'!O69</f>
        <v/>
      </c>
      <c r="O904" s="8">
        <f>'Zarrah-Conversion'!P69</f>
        <v/>
      </c>
    </row>
    <row r="905" ht="18" customHeight="1" s="96">
      <c r="A905" s="2" t="inlineStr">
        <is>
          <t>Person B</t>
        </is>
      </c>
      <c r="B905" s="2">
        <f>'Zarrah-Conversion'!A70</f>
        <v/>
      </c>
      <c r="C905" s="3">
        <f>'Zarrah-Conversion'!B70</f>
        <v/>
      </c>
      <c r="D905" s="3">
        <f>'Zarrah-Conversion'!C70</f>
        <v/>
      </c>
      <c r="E905" s="3">
        <f>'Zarrah-Conversion'!D70</f>
        <v/>
      </c>
      <c r="F905" s="3">
        <f>'Zarrah-Conversion'!E70</f>
        <v/>
      </c>
      <c r="G905" s="4">
        <f>'Zarrah-Conversion'!F70</f>
        <v/>
      </c>
      <c r="H905" s="3">
        <f>'Zarrah-Conversion'!G70</f>
        <v/>
      </c>
      <c r="I905" s="5">
        <f>'Zarrah-Conversion'!H70</f>
        <v/>
      </c>
      <c r="J905" s="5">
        <f>'Zarrah-Conversion'!I70</f>
        <v/>
      </c>
      <c r="K905" s="6">
        <f>'Zarrah-Conversion'!J70</f>
        <v/>
      </c>
      <c r="L905" s="13">
        <f>'Zarrah-Conversion'!K70</f>
        <v/>
      </c>
      <c r="M905" s="6">
        <f>'Zarrah-Conversion'!N70</f>
        <v/>
      </c>
      <c r="N905" s="3">
        <f>'Zarrah-Conversion'!O70</f>
        <v/>
      </c>
      <c r="O905" s="3">
        <f>'Zarrah-Conversion'!P70</f>
        <v/>
      </c>
    </row>
    <row r="906" ht="18" customHeight="1" s="96">
      <c r="A906" s="93" t="inlineStr">
        <is>
          <t>Person B</t>
        </is>
      </c>
      <c r="B906" s="93">
        <f>'Zarrah-Conversion'!A71</f>
        <v/>
      </c>
      <c r="C906" s="8">
        <f>'Zarrah-Conversion'!B71</f>
        <v/>
      </c>
      <c r="D906" s="8">
        <f>'Zarrah-Conversion'!C71</f>
        <v/>
      </c>
      <c r="E906" s="8">
        <f>'Zarrah-Conversion'!D71</f>
        <v/>
      </c>
      <c r="F906" s="8">
        <f>'Zarrah-Conversion'!E71</f>
        <v/>
      </c>
      <c r="G906" s="9">
        <f>'Zarrah-Conversion'!F71</f>
        <v/>
      </c>
      <c r="H906" s="8">
        <f>'Zarrah-Conversion'!G71</f>
        <v/>
      </c>
      <c r="I906" s="10">
        <f>'Zarrah-Conversion'!H71</f>
        <v/>
      </c>
      <c r="J906" s="10">
        <f>'Zarrah-Conversion'!I71</f>
        <v/>
      </c>
      <c r="K906" s="11">
        <f>'Zarrah-Conversion'!J71</f>
        <v/>
      </c>
      <c r="L906" s="12">
        <f>'Zarrah-Conversion'!K71</f>
        <v/>
      </c>
      <c r="M906" s="11">
        <f>'Zarrah-Conversion'!N71</f>
        <v/>
      </c>
      <c r="N906" s="8">
        <f>'Zarrah-Conversion'!O71</f>
        <v/>
      </c>
      <c r="O906" s="8">
        <f>'Zarrah-Conversion'!P71</f>
        <v/>
      </c>
    </row>
    <row r="907" ht="18" customHeight="1" s="96">
      <c r="A907" s="2" t="inlineStr">
        <is>
          <t>Person B</t>
        </is>
      </c>
      <c r="B907" s="2">
        <f>'Zarrah-Conversion'!A72</f>
        <v/>
      </c>
      <c r="C907" s="3">
        <f>'Zarrah-Conversion'!B72</f>
        <v/>
      </c>
      <c r="D907" s="3">
        <f>'Zarrah-Conversion'!C72</f>
        <v/>
      </c>
      <c r="E907" s="3">
        <f>'Zarrah-Conversion'!D72</f>
        <v/>
      </c>
      <c r="F907" s="3">
        <f>'Zarrah-Conversion'!E72</f>
        <v/>
      </c>
      <c r="G907" s="4">
        <f>'Zarrah-Conversion'!F72</f>
        <v/>
      </c>
      <c r="H907" s="3">
        <f>'Zarrah-Conversion'!G72</f>
        <v/>
      </c>
      <c r="I907" s="5">
        <f>'Zarrah-Conversion'!H72</f>
        <v/>
      </c>
      <c r="J907" s="5">
        <f>'Zarrah-Conversion'!I72</f>
        <v/>
      </c>
      <c r="K907" s="6">
        <f>'Zarrah-Conversion'!J72</f>
        <v/>
      </c>
      <c r="L907" s="13">
        <f>'Zarrah-Conversion'!K72</f>
        <v/>
      </c>
      <c r="M907" s="6">
        <f>'Zarrah-Conversion'!N72</f>
        <v/>
      </c>
      <c r="N907" s="3">
        <f>'Zarrah-Conversion'!O72</f>
        <v/>
      </c>
      <c r="O907" s="3">
        <f>'Zarrah-Conversion'!P72</f>
        <v/>
      </c>
    </row>
    <row r="908" ht="18" customHeight="1" s="96">
      <c r="A908" s="93" t="inlineStr">
        <is>
          <t>Person B</t>
        </is>
      </c>
      <c r="B908" s="93">
        <f>'Zarrah-Conversion'!A73</f>
        <v/>
      </c>
      <c r="C908" s="8">
        <f>'Zarrah-Conversion'!B73</f>
        <v/>
      </c>
      <c r="D908" s="8">
        <f>'Zarrah-Conversion'!C73</f>
        <v/>
      </c>
      <c r="E908" s="8">
        <f>'Zarrah-Conversion'!D73</f>
        <v/>
      </c>
      <c r="F908" s="8">
        <f>'Zarrah-Conversion'!E73</f>
        <v/>
      </c>
      <c r="G908" s="9">
        <f>'Zarrah-Conversion'!F73</f>
        <v/>
      </c>
      <c r="H908" s="8">
        <f>'Zarrah-Conversion'!G73</f>
        <v/>
      </c>
      <c r="I908" s="10">
        <f>'Zarrah-Conversion'!H73</f>
        <v/>
      </c>
      <c r="J908" s="10">
        <f>'Zarrah-Conversion'!I73</f>
        <v/>
      </c>
      <c r="K908" s="11">
        <f>'Zarrah-Conversion'!J73</f>
        <v/>
      </c>
      <c r="L908" s="12">
        <f>'Zarrah-Conversion'!K73</f>
        <v/>
      </c>
      <c r="M908" s="11">
        <f>'Zarrah-Conversion'!N73</f>
        <v/>
      </c>
      <c r="N908" s="8">
        <f>'Zarrah-Conversion'!O73</f>
        <v/>
      </c>
      <c r="O908" s="8">
        <f>'Zarrah-Conversion'!P73</f>
        <v/>
      </c>
    </row>
    <row r="909" ht="18" customHeight="1" s="96">
      <c r="A909" s="2" t="inlineStr">
        <is>
          <t>Person B</t>
        </is>
      </c>
      <c r="B909" s="2">
        <f>'Zarrah-Conversion'!A74</f>
        <v/>
      </c>
      <c r="C909" s="3">
        <f>'Zarrah-Conversion'!B74</f>
        <v/>
      </c>
      <c r="D909" s="3">
        <f>'Zarrah-Conversion'!C74</f>
        <v/>
      </c>
      <c r="E909" s="3">
        <f>'Zarrah-Conversion'!D74</f>
        <v/>
      </c>
      <c r="F909" s="3">
        <f>'Zarrah-Conversion'!E74</f>
        <v/>
      </c>
      <c r="G909" s="4">
        <f>'Zarrah-Conversion'!F74</f>
        <v/>
      </c>
      <c r="H909" s="3">
        <f>'Zarrah-Conversion'!G74</f>
        <v/>
      </c>
      <c r="I909" s="5">
        <f>'Zarrah-Conversion'!H74</f>
        <v/>
      </c>
      <c r="J909" s="5">
        <f>'Zarrah-Conversion'!I74</f>
        <v/>
      </c>
      <c r="K909" s="6">
        <f>'Zarrah-Conversion'!J74</f>
        <v/>
      </c>
      <c r="L909" s="13">
        <f>'Zarrah-Conversion'!K74</f>
        <v/>
      </c>
      <c r="M909" s="6">
        <f>'Zarrah-Conversion'!N74</f>
        <v/>
      </c>
      <c r="N909" s="3">
        <f>'Zarrah-Conversion'!O74</f>
        <v/>
      </c>
      <c r="O909" s="3">
        <f>'Zarrah-Conversion'!P74</f>
        <v/>
      </c>
    </row>
    <row r="910" ht="18" customHeight="1" s="96">
      <c r="A910" s="93" t="inlineStr">
        <is>
          <t>Person B</t>
        </is>
      </c>
      <c r="B910" s="93">
        <f>'Zarrah-Conversion'!A75</f>
        <v/>
      </c>
      <c r="C910" s="8">
        <f>'Zarrah-Conversion'!B75</f>
        <v/>
      </c>
      <c r="D910" s="8">
        <f>'Zarrah-Conversion'!C75</f>
        <v/>
      </c>
      <c r="E910" s="8">
        <f>'Zarrah-Conversion'!D75</f>
        <v/>
      </c>
      <c r="F910" s="8">
        <f>'Zarrah-Conversion'!E75</f>
        <v/>
      </c>
      <c r="G910" s="9">
        <f>'Zarrah-Conversion'!F75</f>
        <v/>
      </c>
      <c r="H910" s="8">
        <f>'Zarrah-Conversion'!G75</f>
        <v/>
      </c>
      <c r="I910" s="10">
        <f>'Zarrah-Conversion'!H75</f>
        <v/>
      </c>
      <c r="J910" s="10">
        <f>'Zarrah-Conversion'!I75</f>
        <v/>
      </c>
      <c r="K910" s="11">
        <f>'Zarrah-Conversion'!J75</f>
        <v/>
      </c>
      <c r="L910" s="12">
        <f>'Zarrah-Conversion'!K75</f>
        <v/>
      </c>
      <c r="M910" s="11">
        <f>'Zarrah-Conversion'!N75</f>
        <v/>
      </c>
      <c r="N910" s="8">
        <f>'Zarrah-Conversion'!O75</f>
        <v/>
      </c>
      <c r="O910" s="8">
        <f>'Zarrah-Conversion'!P75</f>
        <v/>
      </c>
    </row>
    <row r="911" ht="18" customHeight="1" s="96">
      <c r="A911" s="2" t="inlineStr">
        <is>
          <t>Person B</t>
        </is>
      </c>
      <c r="B911" s="2">
        <f>'Zarrah-Conversion'!A76</f>
        <v/>
      </c>
      <c r="C911" s="3">
        <f>'Zarrah-Conversion'!B76</f>
        <v/>
      </c>
      <c r="D911" s="3">
        <f>'Zarrah-Conversion'!C76</f>
        <v/>
      </c>
      <c r="E911" s="3">
        <f>'Zarrah-Conversion'!D76</f>
        <v/>
      </c>
      <c r="F911" s="3">
        <f>'Zarrah-Conversion'!E76</f>
        <v/>
      </c>
      <c r="G911" s="4">
        <f>'Zarrah-Conversion'!F76</f>
        <v/>
      </c>
      <c r="H911" s="3">
        <f>'Zarrah-Conversion'!G76</f>
        <v/>
      </c>
      <c r="I911" s="5">
        <f>'Zarrah-Conversion'!H76</f>
        <v/>
      </c>
      <c r="J911" s="5">
        <f>'Zarrah-Conversion'!I76</f>
        <v/>
      </c>
      <c r="K911" s="6">
        <f>'Zarrah-Conversion'!J76</f>
        <v/>
      </c>
      <c r="L911" s="13">
        <f>'Zarrah-Conversion'!K76</f>
        <v/>
      </c>
      <c r="M911" s="6">
        <f>'Zarrah-Conversion'!N76</f>
        <v/>
      </c>
      <c r="N911" s="3">
        <f>'Zarrah-Conversion'!O76</f>
        <v/>
      </c>
      <c r="O911" s="3">
        <f>'Zarrah-Conversion'!P76</f>
        <v/>
      </c>
    </row>
    <row r="912" ht="18" customHeight="1" s="96">
      <c r="A912" s="93" t="inlineStr">
        <is>
          <t>Person B</t>
        </is>
      </c>
      <c r="B912" s="93">
        <f>'Zarrah-Conversion'!A77</f>
        <v/>
      </c>
      <c r="C912" s="8">
        <f>'Zarrah-Conversion'!B77</f>
        <v/>
      </c>
      <c r="D912" s="8">
        <f>'Zarrah-Conversion'!C77</f>
        <v/>
      </c>
      <c r="E912" s="8">
        <f>'Zarrah-Conversion'!D77</f>
        <v/>
      </c>
      <c r="F912" s="8">
        <f>'Zarrah-Conversion'!E77</f>
        <v/>
      </c>
      <c r="G912" s="9">
        <f>'Zarrah-Conversion'!F77</f>
        <v/>
      </c>
      <c r="H912" s="8">
        <f>'Zarrah-Conversion'!G77</f>
        <v/>
      </c>
      <c r="I912" s="10">
        <f>'Zarrah-Conversion'!H77</f>
        <v/>
      </c>
      <c r="J912" s="10">
        <f>'Zarrah-Conversion'!I77</f>
        <v/>
      </c>
      <c r="K912" s="11">
        <f>'Zarrah-Conversion'!J77</f>
        <v/>
      </c>
      <c r="L912" s="12">
        <f>'Zarrah-Conversion'!K77</f>
        <v/>
      </c>
      <c r="M912" s="11">
        <f>'Zarrah-Conversion'!N77</f>
        <v/>
      </c>
      <c r="N912" s="8">
        <f>'Zarrah-Conversion'!O77</f>
        <v/>
      </c>
      <c r="O912" s="8">
        <f>'Zarrah-Conversion'!P77</f>
        <v/>
      </c>
    </row>
    <row r="913" ht="18" customHeight="1" s="96">
      <c r="A913" s="2" t="inlineStr">
        <is>
          <t>Person B</t>
        </is>
      </c>
      <c r="B913" s="2">
        <f>'Zarrah-Conversion'!A78</f>
        <v/>
      </c>
      <c r="C913" s="3">
        <f>'Zarrah-Conversion'!B78</f>
        <v/>
      </c>
      <c r="D913" s="3">
        <f>'Zarrah-Conversion'!C78</f>
        <v/>
      </c>
      <c r="E913" s="3">
        <f>'Zarrah-Conversion'!D78</f>
        <v/>
      </c>
      <c r="F913" s="3">
        <f>'Zarrah-Conversion'!E78</f>
        <v/>
      </c>
      <c r="G913" s="4">
        <f>'Zarrah-Conversion'!F78</f>
        <v/>
      </c>
      <c r="H913" s="3">
        <f>'Zarrah-Conversion'!G78</f>
        <v/>
      </c>
      <c r="I913" s="5">
        <f>'Zarrah-Conversion'!H78</f>
        <v/>
      </c>
      <c r="J913" s="5">
        <f>'Zarrah-Conversion'!I78</f>
        <v/>
      </c>
      <c r="K913" s="6">
        <f>'Zarrah-Conversion'!J78</f>
        <v/>
      </c>
      <c r="L913" s="13">
        <f>'Zarrah-Conversion'!K78</f>
        <v/>
      </c>
      <c r="M913" s="6">
        <f>'Zarrah-Conversion'!N78</f>
        <v/>
      </c>
      <c r="N913" s="3">
        <f>'Zarrah-Conversion'!O78</f>
        <v/>
      </c>
      <c r="O913" s="3">
        <f>'Zarrah-Conversion'!P78</f>
        <v/>
      </c>
    </row>
    <row r="914" ht="18" customHeight="1" s="96">
      <c r="A914" s="93" t="inlineStr">
        <is>
          <t>Person B</t>
        </is>
      </c>
      <c r="B914" s="93">
        <f>'Zarrah-Conversion'!A79</f>
        <v/>
      </c>
      <c r="C914" s="8">
        <f>'Zarrah-Conversion'!B79</f>
        <v/>
      </c>
      <c r="D914" s="8">
        <f>'Zarrah-Conversion'!C79</f>
        <v/>
      </c>
      <c r="E914" s="8">
        <f>'Zarrah-Conversion'!D79</f>
        <v/>
      </c>
      <c r="F914" s="8">
        <f>'Zarrah-Conversion'!E79</f>
        <v/>
      </c>
      <c r="G914" s="9">
        <f>'Zarrah-Conversion'!F79</f>
        <v/>
      </c>
      <c r="H914" s="8">
        <f>'Zarrah-Conversion'!G79</f>
        <v/>
      </c>
      <c r="I914" s="10">
        <f>'Zarrah-Conversion'!H79</f>
        <v/>
      </c>
      <c r="J914" s="10">
        <f>'Zarrah-Conversion'!I79</f>
        <v/>
      </c>
      <c r="K914" s="11">
        <f>'Zarrah-Conversion'!J79</f>
        <v/>
      </c>
      <c r="L914" s="12">
        <f>'Zarrah-Conversion'!K79</f>
        <v/>
      </c>
      <c r="M914" s="11">
        <f>'Zarrah-Conversion'!N79</f>
        <v/>
      </c>
      <c r="N914" s="8">
        <f>'Zarrah-Conversion'!O79</f>
        <v/>
      </c>
      <c r="O914" s="8">
        <f>'Zarrah-Conversion'!P79</f>
        <v/>
      </c>
    </row>
    <row r="915" ht="18" customHeight="1" s="96">
      <c r="A915" s="2" t="inlineStr">
        <is>
          <t>Person B</t>
        </is>
      </c>
      <c r="B915" s="2">
        <f>'Zarrah-Conversion'!A80</f>
        <v/>
      </c>
      <c r="C915" s="3">
        <f>'Zarrah-Conversion'!B80</f>
        <v/>
      </c>
      <c r="D915" s="3">
        <f>'Zarrah-Conversion'!C80</f>
        <v/>
      </c>
      <c r="E915" s="3">
        <f>'Zarrah-Conversion'!D80</f>
        <v/>
      </c>
      <c r="F915" s="3">
        <f>'Zarrah-Conversion'!E80</f>
        <v/>
      </c>
      <c r="G915" s="4">
        <f>'Zarrah-Conversion'!F80</f>
        <v/>
      </c>
      <c r="H915" s="3">
        <f>'Zarrah-Conversion'!G80</f>
        <v/>
      </c>
      <c r="I915" s="5">
        <f>'Zarrah-Conversion'!H80</f>
        <v/>
      </c>
      <c r="J915" s="5">
        <f>'Zarrah-Conversion'!I80</f>
        <v/>
      </c>
      <c r="K915" s="6">
        <f>'Zarrah-Conversion'!J80</f>
        <v/>
      </c>
      <c r="L915" s="13">
        <f>'Zarrah-Conversion'!K80</f>
        <v/>
      </c>
      <c r="M915" s="6">
        <f>'Zarrah-Conversion'!N80</f>
        <v/>
      </c>
      <c r="N915" s="3">
        <f>'Zarrah-Conversion'!O80</f>
        <v/>
      </c>
      <c r="O915" s="3">
        <f>'Zarrah-Conversion'!P80</f>
        <v/>
      </c>
    </row>
    <row r="916" ht="18" customHeight="1" s="96">
      <c r="A916" s="93" t="inlineStr">
        <is>
          <t>Person B</t>
        </is>
      </c>
      <c r="B916" s="93">
        <f>'Zarrah-Conversion'!A81</f>
        <v/>
      </c>
      <c r="C916" s="8">
        <f>'Zarrah-Conversion'!B81</f>
        <v/>
      </c>
      <c r="D916" s="8">
        <f>'Zarrah-Conversion'!C81</f>
        <v/>
      </c>
      <c r="E916" s="8">
        <f>'Zarrah-Conversion'!D81</f>
        <v/>
      </c>
      <c r="F916" s="8">
        <f>'Zarrah-Conversion'!E81</f>
        <v/>
      </c>
      <c r="G916" s="9">
        <f>'Zarrah-Conversion'!F81</f>
        <v/>
      </c>
      <c r="H916" s="8">
        <f>'Zarrah-Conversion'!G81</f>
        <v/>
      </c>
      <c r="I916" s="10">
        <f>'Zarrah-Conversion'!H81</f>
        <v/>
      </c>
      <c r="J916" s="10">
        <f>'Zarrah-Conversion'!I81</f>
        <v/>
      </c>
      <c r="K916" s="11">
        <f>'Zarrah-Conversion'!J81</f>
        <v/>
      </c>
      <c r="L916" s="12">
        <f>'Zarrah-Conversion'!K81</f>
        <v/>
      </c>
      <c r="M916" s="11">
        <f>'Zarrah-Conversion'!N81</f>
        <v/>
      </c>
      <c r="N916" s="8">
        <f>'Zarrah-Conversion'!O81</f>
        <v/>
      </c>
      <c r="O916" s="8">
        <f>'Zarrah-Conversion'!P81</f>
        <v/>
      </c>
    </row>
    <row r="917" ht="18" customHeight="1" s="96">
      <c r="A917" s="2" t="inlineStr">
        <is>
          <t>Person B</t>
        </is>
      </c>
      <c r="B917" s="2">
        <f>'Zarrah-Conversion'!A82</f>
        <v/>
      </c>
      <c r="C917" s="3">
        <f>'Zarrah-Conversion'!B82</f>
        <v/>
      </c>
      <c r="D917" s="3">
        <f>'Zarrah-Conversion'!C82</f>
        <v/>
      </c>
      <c r="E917" s="3">
        <f>'Zarrah-Conversion'!D82</f>
        <v/>
      </c>
      <c r="F917" s="3">
        <f>'Zarrah-Conversion'!E82</f>
        <v/>
      </c>
      <c r="G917" s="4">
        <f>'Zarrah-Conversion'!F82</f>
        <v/>
      </c>
      <c r="H917" s="3">
        <f>'Zarrah-Conversion'!G82</f>
        <v/>
      </c>
      <c r="I917" s="5">
        <f>'Zarrah-Conversion'!H82</f>
        <v/>
      </c>
      <c r="J917" s="5">
        <f>'Zarrah-Conversion'!I82</f>
        <v/>
      </c>
      <c r="K917" s="6">
        <f>'Zarrah-Conversion'!J82</f>
        <v/>
      </c>
      <c r="L917" s="13">
        <f>'Zarrah-Conversion'!K82</f>
        <v/>
      </c>
      <c r="M917" s="6">
        <f>'Zarrah-Conversion'!N82</f>
        <v/>
      </c>
      <c r="N917" s="3">
        <f>'Zarrah-Conversion'!O82</f>
        <v/>
      </c>
      <c r="O917" s="3">
        <f>'Zarrah-Conversion'!P82</f>
        <v/>
      </c>
    </row>
    <row r="918" ht="18" customHeight="1" s="96">
      <c r="A918" s="93" t="inlineStr">
        <is>
          <t>Person B</t>
        </is>
      </c>
      <c r="B918" s="93">
        <f>'Zarrah-Conversion'!A83</f>
        <v/>
      </c>
      <c r="C918" s="8">
        <f>'Zarrah-Conversion'!B83</f>
        <v/>
      </c>
      <c r="D918" s="8">
        <f>'Zarrah-Conversion'!C83</f>
        <v/>
      </c>
      <c r="E918" s="8">
        <f>'Zarrah-Conversion'!D83</f>
        <v/>
      </c>
      <c r="F918" s="8">
        <f>'Zarrah-Conversion'!E83</f>
        <v/>
      </c>
      <c r="G918" s="9">
        <f>'Zarrah-Conversion'!F83</f>
        <v/>
      </c>
      <c r="H918" s="8">
        <f>'Zarrah-Conversion'!G83</f>
        <v/>
      </c>
      <c r="I918" s="10">
        <f>'Zarrah-Conversion'!H83</f>
        <v/>
      </c>
      <c r="J918" s="10">
        <f>'Zarrah-Conversion'!I83</f>
        <v/>
      </c>
      <c r="K918" s="11">
        <f>'Zarrah-Conversion'!J83</f>
        <v/>
      </c>
      <c r="L918" s="12">
        <f>'Zarrah-Conversion'!K83</f>
        <v/>
      </c>
      <c r="M918" s="11">
        <f>'Zarrah-Conversion'!N83</f>
        <v/>
      </c>
      <c r="N918" s="8">
        <f>'Zarrah-Conversion'!O83</f>
        <v/>
      </c>
      <c r="O918" s="8">
        <f>'Zarrah-Conversion'!P83</f>
        <v/>
      </c>
    </row>
    <row r="919" ht="18" customHeight="1" s="96">
      <c r="A919" s="2" t="inlineStr">
        <is>
          <t>Person B</t>
        </is>
      </c>
      <c r="B919" s="2">
        <f>'Zarrah-Conversion'!A84</f>
        <v/>
      </c>
      <c r="C919" s="3">
        <f>'Zarrah-Conversion'!B84</f>
        <v/>
      </c>
      <c r="D919" s="3">
        <f>'Zarrah-Conversion'!C84</f>
        <v/>
      </c>
      <c r="E919" s="3">
        <f>'Zarrah-Conversion'!D84</f>
        <v/>
      </c>
      <c r="F919" s="3">
        <f>'Zarrah-Conversion'!E84</f>
        <v/>
      </c>
      <c r="G919" s="4">
        <f>'Zarrah-Conversion'!F84</f>
        <v/>
      </c>
      <c r="H919" s="3">
        <f>'Zarrah-Conversion'!G84</f>
        <v/>
      </c>
      <c r="I919" s="5">
        <f>'Zarrah-Conversion'!H84</f>
        <v/>
      </c>
      <c r="J919" s="5">
        <f>'Zarrah-Conversion'!I84</f>
        <v/>
      </c>
      <c r="K919" s="6">
        <f>'Zarrah-Conversion'!J84</f>
        <v/>
      </c>
      <c r="L919" s="13">
        <f>'Zarrah-Conversion'!K84</f>
        <v/>
      </c>
      <c r="M919" s="6">
        <f>'Zarrah-Conversion'!N84</f>
        <v/>
      </c>
      <c r="N919" s="3">
        <f>'Zarrah-Conversion'!O84</f>
        <v/>
      </c>
      <c r="O919" s="3">
        <f>'Zarrah-Conversion'!P84</f>
        <v/>
      </c>
    </row>
    <row r="920" ht="18" customHeight="1" s="96">
      <c r="A920" s="93" t="inlineStr">
        <is>
          <t>Person B</t>
        </is>
      </c>
      <c r="B920" s="93">
        <f>'Zarrah-Conversion'!A85</f>
        <v/>
      </c>
      <c r="C920" s="8">
        <f>'Zarrah-Conversion'!B85</f>
        <v/>
      </c>
      <c r="D920" s="8">
        <f>'Zarrah-Conversion'!C85</f>
        <v/>
      </c>
      <c r="E920" s="8">
        <f>'Zarrah-Conversion'!D85</f>
        <v/>
      </c>
      <c r="F920" s="8">
        <f>'Zarrah-Conversion'!E85</f>
        <v/>
      </c>
      <c r="G920" s="9">
        <f>'Zarrah-Conversion'!F85</f>
        <v/>
      </c>
      <c r="H920" s="8">
        <f>'Zarrah-Conversion'!G85</f>
        <v/>
      </c>
      <c r="I920" s="10">
        <f>'Zarrah-Conversion'!H85</f>
        <v/>
      </c>
      <c r="J920" s="10">
        <f>'Zarrah-Conversion'!I85</f>
        <v/>
      </c>
      <c r="K920" s="11">
        <f>'Zarrah-Conversion'!J85</f>
        <v/>
      </c>
      <c r="L920" s="12">
        <f>'Zarrah-Conversion'!K85</f>
        <v/>
      </c>
      <c r="M920" s="11">
        <f>'Zarrah-Conversion'!N85</f>
        <v/>
      </c>
      <c r="N920" s="8">
        <f>'Zarrah-Conversion'!O85</f>
        <v/>
      </c>
      <c r="O920" s="8">
        <f>'Zarrah-Conversion'!P85</f>
        <v/>
      </c>
    </row>
    <row r="921" ht="18" customHeight="1" s="96">
      <c r="A921" s="2" t="inlineStr">
        <is>
          <t>Person B</t>
        </is>
      </c>
      <c r="B921" s="2">
        <f>'Zarrah-Conversion'!A86</f>
        <v/>
      </c>
      <c r="C921" s="3">
        <f>'Zarrah-Conversion'!B86</f>
        <v/>
      </c>
      <c r="D921" s="3">
        <f>'Zarrah-Conversion'!C86</f>
        <v/>
      </c>
      <c r="E921" s="3">
        <f>'Zarrah-Conversion'!D86</f>
        <v/>
      </c>
      <c r="F921" s="3">
        <f>'Zarrah-Conversion'!E86</f>
        <v/>
      </c>
      <c r="G921" s="4">
        <f>'Zarrah-Conversion'!F86</f>
        <v/>
      </c>
      <c r="H921" s="3">
        <f>'Zarrah-Conversion'!G86</f>
        <v/>
      </c>
      <c r="I921" s="5">
        <f>'Zarrah-Conversion'!H86</f>
        <v/>
      </c>
      <c r="J921" s="5">
        <f>'Zarrah-Conversion'!I86</f>
        <v/>
      </c>
      <c r="K921" s="6">
        <f>'Zarrah-Conversion'!J86</f>
        <v/>
      </c>
      <c r="L921" s="13">
        <f>'Zarrah-Conversion'!K86</f>
        <v/>
      </c>
      <c r="M921" s="6">
        <f>'Zarrah-Conversion'!N86</f>
        <v/>
      </c>
      <c r="N921" s="3">
        <f>'Zarrah-Conversion'!O86</f>
        <v/>
      </c>
      <c r="O921" s="3">
        <f>'Zarrah-Conversion'!P86</f>
        <v/>
      </c>
    </row>
    <row r="922" ht="18" customHeight="1" s="96">
      <c r="A922" s="93" t="inlineStr">
        <is>
          <t>Person B</t>
        </is>
      </c>
      <c r="B922" s="93">
        <f>'Zarrah-Conversion'!A87</f>
        <v/>
      </c>
      <c r="C922" s="8">
        <f>'Zarrah-Conversion'!B87</f>
        <v/>
      </c>
      <c r="D922" s="8">
        <f>'Zarrah-Conversion'!C87</f>
        <v/>
      </c>
      <c r="E922" s="8">
        <f>'Zarrah-Conversion'!D87</f>
        <v/>
      </c>
      <c r="F922" s="8">
        <f>'Zarrah-Conversion'!E87</f>
        <v/>
      </c>
      <c r="G922" s="9">
        <f>'Zarrah-Conversion'!F87</f>
        <v/>
      </c>
      <c r="H922" s="8">
        <f>'Zarrah-Conversion'!G87</f>
        <v/>
      </c>
      <c r="I922" s="10">
        <f>'Zarrah-Conversion'!H87</f>
        <v/>
      </c>
      <c r="J922" s="10">
        <f>'Zarrah-Conversion'!I87</f>
        <v/>
      </c>
      <c r="K922" s="11">
        <f>'Zarrah-Conversion'!J87</f>
        <v/>
      </c>
      <c r="L922" s="12">
        <f>'Zarrah-Conversion'!K87</f>
        <v/>
      </c>
      <c r="M922" s="11">
        <f>'Zarrah-Conversion'!N87</f>
        <v/>
      </c>
      <c r="N922" s="8">
        <f>'Zarrah-Conversion'!O87</f>
        <v/>
      </c>
      <c r="O922" s="8">
        <f>'Zarrah-Conversion'!P87</f>
        <v/>
      </c>
    </row>
    <row r="923" ht="18" customHeight="1" s="96">
      <c r="A923" s="2" t="inlineStr">
        <is>
          <t>Person B</t>
        </is>
      </c>
      <c r="B923" s="2">
        <f>'Zarrah-Conversion'!A88</f>
        <v/>
      </c>
      <c r="C923" s="3">
        <f>'Zarrah-Conversion'!B88</f>
        <v/>
      </c>
      <c r="D923" s="3">
        <f>'Zarrah-Conversion'!C88</f>
        <v/>
      </c>
      <c r="E923" s="3">
        <f>'Zarrah-Conversion'!D88</f>
        <v/>
      </c>
      <c r="F923" s="3">
        <f>'Zarrah-Conversion'!E88</f>
        <v/>
      </c>
      <c r="G923" s="4">
        <f>'Zarrah-Conversion'!F88</f>
        <v/>
      </c>
      <c r="H923" s="3">
        <f>'Zarrah-Conversion'!G88</f>
        <v/>
      </c>
      <c r="I923" s="5">
        <f>'Zarrah-Conversion'!H88</f>
        <v/>
      </c>
      <c r="J923" s="5">
        <f>'Zarrah-Conversion'!I88</f>
        <v/>
      </c>
      <c r="K923" s="6">
        <f>'Zarrah-Conversion'!J88</f>
        <v/>
      </c>
      <c r="L923" s="13">
        <f>'Zarrah-Conversion'!K88</f>
        <v/>
      </c>
      <c r="M923" s="6">
        <f>'Zarrah-Conversion'!N88</f>
        <v/>
      </c>
      <c r="N923" s="3">
        <f>'Zarrah-Conversion'!O88</f>
        <v/>
      </c>
      <c r="O923" s="3">
        <f>'Zarrah-Conversion'!P88</f>
        <v/>
      </c>
    </row>
    <row r="924" ht="18" customHeight="1" s="96">
      <c r="A924" s="93" t="inlineStr">
        <is>
          <t>Person B</t>
        </is>
      </c>
      <c r="B924" s="93">
        <f>'Zarrah-Conversion'!A89</f>
        <v/>
      </c>
      <c r="C924" s="8">
        <f>'Zarrah-Conversion'!B89</f>
        <v/>
      </c>
      <c r="D924" s="8">
        <f>'Zarrah-Conversion'!C89</f>
        <v/>
      </c>
      <c r="E924" s="8">
        <f>'Zarrah-Conversion'!D89</f>
        <v/>
      </c>
      <c r="F924" s="8">
        <f>'Zarrah-Conversion'!E89</f>
        <v/>
      </c>
      <c r="G924" s="9">
        <f>'Zarrah-Conversion'!F89</f>
        <v/>
      </c>
      <c r="H924" s="8">
        <f>'Zarrah-Conversion'!G89</f>
        <v/>
      </c>
      <c r="I924" s="10">
        <f>'Zarrah-Conversion'!H89</f>
        <v/>
      </c>
      <c r="J924" s="10">
        <f>'Zarrah-Conversion'!I89</f>
        <v/>
      </c>
      <c r="K924" s="11">
        <f>'Zarrah-Conversion'!J89</f>
        <v/>
      </c>
      <c r="L924" s="12">
        <f>'Zarrah-Conversion'!K89</f>
        <v/>
      </c>
      <c r="M924" s="11">
        <f>'Zarrah-Conversion'!N89</f>
        <v/>
      </c>
      <c r="N924" s="8">
        <f>'Zarrah-Conversion'!O89</f>
        <v/>
      </c>
      <c r="O924" s="8">
        <f>'Zarrah-Conversion'!P89</f>
        <v/>
      </c>
    </row>
    <row r="925" ht="18" customHeight="1" s="96">
      <c r="A925" s="2" t="inlineStr">
        <is>
          <t>Person B</t>
        </is>
      </c>
      <c r="B925" s="2">
        <f>'Zarrah-Conversion'!A90</f>
        <v/>
      </c>
      <c r="C925" s="3">
        <f>'Zarrah-Conversion'!B90</f>
        <v/>
      </c>
      <c r="D925" s="3">
        <f>'Zarrah-Conversion'!C90</f>
        <v/>
      </c>
      <c r="E925" s="3">
        <f>'Zarrah-Conversion'!D90</f>
        <v/>
      </c>
      <c r="F925" s="3">
        <f>'Zarrah-Conversion'!E90</f>
        <v/>
      </c>
      <c r="G925" s="4">
        <f>'Zarrah-Conversion'!F90</f>
        <v/>
      </c>
      <c r="H925" s="3">
        <f>'Zarrah-Conversion'!G90</f>
        <v/>
      </c>
      <c r="I925" s="5">
        <f>'Zarrah-Conversion'!H90</f>
        <v/>
      </c>
      <c r="J925" s="5">
        <f>'Zarrah-Conversion'!I90</f>
        <v/>
      </c>
      <c r="K925" s="6">
        <f>'Zarrah-Conversion'!J90</f>
        <v/>
      </c>
      <c r="L925" s="13">
        <f>'Zarrah-Conversion'!K90</f>
        <v/>
      </c>
      <c r="M925" s="6">
        <f>'Zarrah-Conversion'!N90</f>
        <v/>
      </c>
      <c r="N925" s="3">
        <f>'Zarrah-Conversion'!O90</f>
        <v/>
      </c>
      <c r="O925" s="3">
        <f>'Zarrah-Conversion'!P90</f>
        <v/>
      </c>
    </row>
    <row r="926" ht="18" customHeight="1" s="96">
      <c r="A926" s="93" t="inlineStr">
        <is>
          <t>Person B</t>
        </is>
      </c>
      <c r="B926" s="93">
        <f>'Zarrah-Conversion'!A91</f>
        <v/>
      </c>
      <c r="C926" s="8">
        <f>'Zarrah-Conversion'!B91</f>
        <v/>
      </c>
      <c r="D926" s="8">
        <f>'Zarrah-Conversion'!C91</f>
        <v/>
      </c>
      <c r="E926" s="8">
        <f>'Zarrah-Conversion'!D91</f>
        <v/>
      </c>
      <c r="F926" s="8">
        <f>'Zarrah-Conversion'!E91</f>
        <v/>
      </c>
      <c r="G926" s="9">
        <f>'Zarrah-Conversion'!F91</f>
        <v/>
      </c>
      <c r="H926" s="8">
        <f>'Zarrah-Conversion'!G91</f>
        <v/>
      </c>
      <c r="I926" s="10">
        <f>'Zarrah-Conversion'!H91</f>
        <v/>
      </c>
      <c r="J926" s="10">
        <f>'Zarrah-Conversion'!I91</f>
        <v/>
      </c>
      <c r="K926" s="11">
        <f>'Zarrah-Conversion'!J91</f>
        <v/>
      </c>
      <c r="L926" s="12">
        <f>'Zarrah-Conversion'!K91</f>
        <v/>
      </c>
      <c r="M926" s="11">
        <f>'Zarrah-Conversion'!N91</f>
        <v/>
      </c>
      <c r="N926" s="8">
        <f>'Zarrah-Conversion'!O91</f>
        <v/>
      </c>
      <c r="O926" s="8">
        <f>'Zarrah-Conversion'!P91</f>
        <v/>
      </c>
    </row>
    <row r="927" ht="18" customHeight="1" s="96">
      <c r="A927" s="2" t="inlineStr">
        <is>
          <t>Person B</t>
        </is>
      </c>
      <c r="B927" s="2">
        <f>'Zarrah-Conversion'!A92</f>
        <v/>
      </c>
      <c r="C927" s="3">
        <f>'Zarrah-Conversion'!B92</f>
        <v/>
      </c>
      <c r="D927" s="3">
        <f>'Zarrah-Conversion'!C92</f>
        <v/>
      </c>
      <c r="E927" s="3">
        <f>'Zarrah-Conversion'!D92</f>
        <v/>
      </c>
      <c r="F927" s="3">
        <f>'Zarrah-Conversion'!E92</f>
        <v/>
      </c>
      <c r="G927" s="4">
        <f>'Zarrah-Conversion'!F92</f>
        <v/>
      </c>
      <c r="H927" s="3">
        <f>'Zarrah-Conversion'!G92</f>
        <v/>
      </c>
      <c r="I927" s="5">
        <f>'Zarrah-Conversion'!H92</f>
        <v/>
      </c>
      <c r="J927" s="5">
        <f>'Zarrah-Conversion'!I92</f>
        <v/>
      </c>
      <c r="K927" s="6">
        <f>'Zarrah-Conversion'!J92</f>
        <v/>
      </c>
      <c r="L927" s="13">
        <f>'Zarrah-Conversion'!K92</f>
        <v/>
      </c>
      <c r="M927" s="6">
        <f>'Zarrah-Conversion'!N92</f>
        <v/>
      </c>
      <c r="N927" s="3">
        <f>'Zarrah-Conversion'!O92</f>
        <v/>
      </c>
      <c r="O927" s="3">
        <f>'Zarrah-Conversion'!P92</f>
        <v/>
      </c>
    </row>
    <row r="928" ht="18" customHeight="1" s="96">
      <c r="A928" s="93" t="inlineStr">
        <is>
          <t>Person B</t>
        </is>
      </c>
      <c r="B928" s="93">
        <f>'Zarrah-Conversion'!A93</f>
        <v/>
      </c>
      <c r="C928" s="8">
        <f>'Zarrah-Conversion'!B93</f>
        <v/>
      </c>
      <c r="D928" s="8">
        <f>'Zarrah-Conversion'!C93</f>
        <v/>
      </c>
      <c r="E928" s="8">
        <f>'Zarrah-Conversion'!D93</f>
        <v/>
      </c>
      <c r="F928" s="8">
        <f>'Zarrah-Conversion'!E93</f>
        <v/>
      </c>
      <c r="G928" s="9">
        <f>'Zarrah-Conversion'!F93</f>
        <v/>
      </c>
      <c r="H928" s="8">
        <f>'Zarrah-Conversion'!G93</f>
        <v/>
      </c>
      <c r="I928" s="10">
        <f>'Zarrah-Conversion'!H93</f>
        <v/>
      </c>
      <c r="J928" s="10">
        <f>'Zarrah-Conversion'!I93</f>
        <v/>
      </c>
      <c r="K928" s="11">
        <f>'Zarrah-Conversion'!J93</f>
        <v/>
      </c>
      <c r="L928" s="12">
        <f>'Zarrah-Conversion'!K93</f>
        <v/>
      </c>
      <c r="M928" s="11">
        <f>'Zarrah-Conversion'!N93</f>
        <v/>
      </c>
      <c r="N928" s="8">
        <f>'Zarrah-Conversion'!O93</f>
        <v/>
      </c>
      <c r="O928" s="8">
        <f>'Zarrah-Conversion'!P93</f>
        <v/>
      </c>
    </row>
    <row r="929" ht="18" customHeight="1" s="96">
      <c r="A929" s="2" t="inlineStr">
        <is>
          <t>Person B</t>
        </is>
      </c>
      <c r="B929" s="2">
        <f>'Zarrah-Conversion'!A94</f>
        <v/>
      </c>
      <c r="C929" s="3">
        <f>'Zarrah-Conversion'!B94</f>
        <v/>
      </c>
      <c r="D929" s="3">
        <f>'Zarrah-Conversion'!C94</f>
        <v/>
      </c>
      <c r="E929" s="3">
        <f>'Zarrah-Conversion'!D94</f>
        <v/>
      </c>
      <c r="F929" s="3">
        <f>'Zarrah-Conversion'!E94</f>
        <v/>
      </c>
      <c r="G929" s="4">
        <f>'Zarrah-Conversion'!F94</f>
        <v/>
      </c>
      <c r="H929" s="3">
        <f>'Zarrah-Conversion'!G94</f>
        <v/>
      </c>
      <c r="I929" s="5">
        <f>'Zarrah-Conversion'!H94</f>
        <v/>
      </c>
      <c r="J929" s="5">
        <f>'Zarrah-Conversion'!I94</f>
        <v/>
      </c>
      <c r="K929" s="6">
        <f>'Zarrah-Conversion'!J94</f>
        <v/>
      </c>
      <c r="L929" s="13">
        <f>'Zarrah-Conversion'!K94</f>
        <v/>
      </c>
      <c r="M929" s="6">
        <f>'Zarrah-Conversion'!N94</f>
        <v/>
      </c>
      <c r="N929" s="3">
        <f>'Zarrah-Conversion'!O94</f>
        <v/>
      </c>
      <c r="O929" s="3">
        <f>'Zarrah-Conversion'!P94</f>
        <v/>
      </c>
    </row>
    <row r="930" ht="18" customHeight="1" s="96">
      <c r="A930" s="93" t="inlineStr">
        <is>
          <t>Person B</t>
        </is>
      </c>
      <c r="B930" s="93">
        <f>'Zarrah-Conversion'!A95</f>
        <v/>
      </c>
      <c r="C930" s="8">
        <f>'Zarrah-Conversion'!B95</f>
        <v/>
      </c>
      <c r="D930" s="8">
        <f>'Zarrah-Conversion'!C95</f>
        <v/>
      </c>
      <c r="E930" s="8">
        <f>'Zarrah-Conversion'!D95</f>
        <v/>
      </c>
      <c r="F930" s="8">
        <f>'Zarrah-Conversion'!E95</f>
        <v/>
      </c>
      <c r="G930" s="9">
        <f>'Zarrah-Conversion'!F95</f>
        <v/>
      </c>
      <c r="H930" s="8">
        <f>'Zarrah-Conversion'!G95</f>
        <v/>
      </c>
      <c r="I930" s="10">
        <f>'Zarrah-Conversion'!H95</f>
        <v/>
      </c>
      <c r="J930" s="10">
        <f>'Zarrah-Conversion'!I95</f>
        <v/>
      </c>
      <c r="K930" s="11">
        <f>'Zarrah-Conversion'!J95</f>
        <v/>
      </c>
      <c r="L930" s="12">
        <f>'Zarrah-Conversion'!K95</f>
        <v/>
      </c>
      <c r="M930" s="11">
        <f>'Zarrah-Conversion'!N95</f>
        <v/>
      </c>
      <c r="N930" s="8">
        <f>'Zarrah-Conversion'!O95</f>
        <v/>
      </c>
      <c r="O930" s="8">
        <f>'Zarrah-Conversion'!P95</f>
        <v/>
      </c>
    </row>
    <row r="931" ht="18" customHeight="1" s="96">
      <c r="A931" s="2" t="inlineStr">
        <is>
          <t>Person B</t>
        </is>
      </c>
      <c r="B931" s="2">
        <f>'Zarrah-Conversion'!A96</f>
        <v/>
      </c>
      <c r="C931" s="3">
        <f>'Zarrah-Conversion'!B96</f>
        <v/>
      </c>
      <c r="D931" s="3">
        <f>'Zarrah-Conversion'!C96</f>
        <v/>
      </c>
      <c r="E931" s="3">
        <f>'Zarrah-Conversion'!D96</f>
        <v/>
      </c>
      <c r="F931" s="3">
        <f>'Zarrah-Conversion'!E96</f>
        <v/>
      </c>
      <c r="G931" s="4">
        <f>'Zarrah-Conversion'!F96</f>
        <v/>
      </c>
      <c r="H931" s="3">
        <f>'Zarrah-Conversion'!G96</f>
        <v/>
      </c>
      <c r="I931" s="5">
        <f>'Zarrah-Conversion'!H96</f>
        <v/>
      </c>
      <c r="J931" s="5">
        <f>'Zarrah-Conversion'!I96</f>
        <v/>
      </c>
      <c r="K931" s="6">
        <f>'Zarrah-Conversion'!J96</f>
        <v/>
      </c>
      <c r="L931" s="13">
        <f>'Zarrah-Conversion'!K96</f>
        <v/>
      </c>
      <c r="M931" s="6">
        <f>'Zarrah-Conversion'!N96</f>
        <v/>
      </c>
      <c r="N931" s="3">
        <f>'Zarrah-Conversion'!O96</f>
        <v/>
      </c>
      <c r="O931" s="3">
        <f>'Zarrah-Conversion'!P96</f>
        <v/>
      </c>
    </row>
    <row r="932" ht="18" customHeight="1" s="96">
      <c r="A932" s="93" t="inlineStr">
        <is>
          <t>Person B</t>
        </is>
      </c>
      <c r="B932" s="93">
        <f>'Zarrah-Conversion'!A97</f>
        <v/>
      </c>
      <c r="C932" s="8">
        <f>'Zarrah-Conversion'!B97</f>
        <v/>
      </c>
      <c r="D932" s="8">
        <f>'Zarrah-Conversion'!C97</f>
        <v/>
      </c>
      <c r="E932" s="8">
        <f>'Zarrah-Conversion'!D97</f>
        <v/>
      </c>
      <c r="F932" s="8">
        <f>'Zarrah-Conversion'!E97</f>
        <v/>
      </c>
      <c r="G932" s="9">
        <f>'Zarrah-Conversion'!F97</f>
        <v/>
      </c>
      <c r="H932" s="8">
        <f>'Zarrah-Conversion'!G97</f>
        <v/>
      </c>
      <c r="I932" s="10">
        <f>'Zarrah-Conversion'!H97</f>
        <v/>
      </c>
      <c r="J932" s="10">
        <f>'Zarrah-Conversion'!I97</f>
        <v/>
      </c>
      <c r="K932" s="11">
        <f>'Zarrah-Conversion'!J97</f>
        <v/>
      </c>
      <c r="L932" s="12">
        <f>'Zarrah-Conversion'!K97</f>
        <v/>
      </c>
      <c r="M932" s="11">
        <f>'Zarrah-Conversion'!N97</f>
        <v/>
      </c>
      <c r="N932" s="8">
        <f>'Zarrah-Conversion'!O97</f>
        <v/>
      </c>
      <c r="O932" s="8">
        <f>'Zarrah-Conversion'!P97</f>
        <v/>
      </c>
    </row>
    <row r="933" ht="18" customHeight="1" s="96">
      <c r="A933" s="2" t="inlineStr">
        <is>
          <t>Person B</t>
        </is>
      </c>
      <c r="B933" s="2">
        <f>'Zarrah-Conversion'!A98</f>
        <v/>
      </c>
      <c r="C933" s="3">
        <f>'Zarrah-Conversion'!B98</f>
        <v/>
      </c>
      <c r="D933" s="3">
        <f>'Zarrah-Conversion'!C98</f>
        <v/>
      </c>
      <c r="E933" s="3">
        <f>'Zarrah-Conversion'!D98</f>
        <v/>
      </c>
      <c r="F933" s="3">
        <f>'Zarrah-Conversion'!E98</f>
        <v/>
      </c>
      <c r="G933" s="4">
        <f>'Zarrah-Conversion'!F98</f>
        <v/>
      </c>
      <c r="H933" s="3">
        <f>'Zarrah-Conversion'!G98</f>
        <v/>
      </c>
      <c r="I933" s="5">
        <f>'Zarrah-Conversion'!H98</f>
        <v/>
      </c>
      <c r="J933" s="5">
        <f>'Zarrah-Conversion'!I98</f>
        <v/>
      </c>
      <c r="K933" s="6">
        <f>'Zarrah-Conversion'!J98</f>
        <v/>
      </c>
      <c r="L933" s="13">
        <f>'Zarrah-Conversion'!K98</f>
        <v/>
      </c>
      <c r="M933" s="6">
        <f>'Zarrah-Conversion'!N98</f>
        <v/>
      </c>
      <c r="N933" s="3">
        <f>'Zarrah-Conversion'!O98</f>
        <v/>
      </c>
      <c r="O933" s="3">
        <f>'Zarrah-Conversion'!P98</f>
        <v/>
      </c>
    </row>
    <row r="934" ht="18" customHeight="1" s="96">
      <c r="A934" s="93" t="inlineStr">
        <is>
          <t>Person B</t>
        </is>
      </c>
      <c r="B934" s="93">
        <f>'Zarrah-Conversion'!A99</f>
        <v/>
      </c>
      <c r="C934" s="8">
        <f>'Zarrah-Conversion'!B99</f>
        <v/>
      </c>
      <c r="D934" s="8">
        <f>'Zarrah-Conversion'!C99</f>
        <v/>
      </c>
      <c r="E934" s="8">
        <f>'Zarrah-Conversion'!D99</f>
        <v/>
      </c>
      <c r="F934" s="8">
        <f>'Zarrah-Conversion'!E99</f>
        <v/>
      </c>
      <c r="G934" s="9">
        <f>'Zarrah-Conversion'!F99</f>
        <v/>
      </c>
      <c r="H934" s="8">
        <f>'Zarrah-Conversion'!G99</f>
        <v/>
      </c>
      <c r="I934" s="10">
        <f>'Zarrah-Conversion'!H99</f>
        <v/>
      </c>
      <c r="J934" s="10">
        <f>'Zarrah-Conversion'!I99</f>
        <v/>
      </c>
      <c r="K934" s="11">
        <f>'Zarrah-Conversion'!J99</f>
        <v/>
      </c>
      <c r="L934" s="12">
        <f>'Zarrah-Conversion'!K99</f>
        <v/>
      </c>
      <c r="M934" s="11">
        <f>'Zarrah-Conversion'!N99</f>
        <v/>
      </c>
      <c r="N934" s="8">
        <f>'Zarrah-Conversion'!O99</f>
        <v/>
      </c>
      <c r="O934" s="8">
        <f>'Zarrah-Conversion'!P99</f>
        <v/>
      </c>
    </row>
    <row r="935" ht="18" customHeight="1" s="96">
      <c r="A935" s="2" t="inlineStr">
        <is>
          <t>Person B</t>
        </is>
      </c>
      <c r="B935" s="2">
        <f>'Zarrah-Conversion'!A100</f>
        <v/>
      </c>
      <c r="C935" s="3">
        <f>'Zarrah-Conversion'!B100</f>
        <v/>
      </c>
      <c r="D935" s="3">
        <f>'Zarrah-Conversion'!C100</f>
        <v/>
      </c>
      <c r="E935" s="3">
        <f>'Zarrah-Conversion'!D100</f>
        <v/>
      </c>
      <c r="F935" s="3">
        <f>'Zarrah-Conversion'!E100</f>
        <v/>
      </c>
      <c r="G935" s="4">
        <f>'Zarrah-Conversion'!F100</f>
        <v/>
      </c>
      <c r="H935" s="3">
        <f>'Zarrah-Conversion'!G100</f>
        <v/>
      </c>
      <c r="I935" s="5">
        <f>'Zarrah-Conversion'!H100</f>
        <v/>
      </c>
      <c r="J935" s="5">
        <f>'Zarrah-Conversion'!I100</f>
        <v/>
      </c>
      <c r="K935" s="6">
        <f>'Zarrah-Conversion'!J100</f>
        <v/>
      </c>
      <c r="L935" s="13">
        <f>'Zarrah-Conversion'!K100</f>
        <v/>
      </c>
      <c r="M935" s="6">
        <f>'Zarrah-Conversion'!N100</f>
        <v/>
      </c>
      <c r="N935" s="3">
        <f>'Zarrah-Conversion'!O100</f>
        <v/>
      </c>
      <c r="O935" s="3">
        <f>'Zarrah-Conversion'!P100</f>
        <v/>
      </c>
    </row>
    <row r="936" ht="18" customHeight="1" s="96">
      <c r="A936" s="93" t="inlineStr">
        <is>
          <t>Person B</t>
        </is>
      </c>
      <c r="B936" s="93">
        <f>'Zarrah-Conversion'!A101</f>
        <v/>
      </c>
      <c r="C936" s="8">
        <f>'Zarrah-Conversion'!B101</f>
        <v/>
      </c>
      <c r="D936" s="8">
        <f>'Zarrah-Conversion'!C101</f>
        <v/>
      </c>
      <c r="E936" s="8">
        <f>'Zarrah-Conversion'!D101</f>
        <v/>
      </c>
      <c r="F936" s="8">
        <f>'Zarrah-Conversion'!E101</f>
        <v/>
      </c>
      <c r="G936" s="9">
        <f>'Zarrah-Conversion'!F101</f>
        <v/>
      </c>
      <c r="H936" s="8">
        <f>'Zarrah-Conversion'!G101</f>
        <v/>
      </c>
      <c r="I936" s="10">
        <f>'Zarrah-Conversion'!H101</f>
        <v/>
      </c>
      <c r="J936" s="10">
        <f>'Zarrah-Conversion'!I101</f>
        <v/>
      </c>
      <c r="K936" s="11">
        <f>'Zarrah-Conversion'!J101</f>
        <v/>
      </c>
      <c r="L936" s="12">
        <f>'Zarrah-Conversion'!K101</f>
        <v/>
      </c>
      <c r="M936" s="11">
        <f>'Zarrah-Conversion'!N101</f>
        <v/>
      </c>
      <c r="N936" s="8">
        <f>'Zarrah-Conversion'!O101</f>
        <v/>
      </c>
      <c r="O936" s="8">
        <f>'Zarrah-Conversion'!P101</f>
        <v/>
      </c>
    </row>
    <row r="937" ht="18" customHeight="1" s="96">
      <c r="A937" s="2" t="inlineStr">
        <is>
          <t>Person B</t>
        </is>
      </c>
      <c r="B937" s="2">
        <f>'Zarrah-Conversion'!A102</f>
        <v/>
      </c>
      <c r="C937" s="3">
        <f>'Zarrah-Conversion'!B102</f>
        <v/>
      </c>
      <c r="D937" s="3">
        <f>'Zarrah-Conversion'!C102</f>
        <v/>
      </c>
      <c r="E937" s="3">
        <f>'Zarrah-Conversion'!D102</f>
        <v/>
      </c>
      <c r="F937" s="3">
        <f>'Zarrah-Conversion'!E102</f>
        <v/>
      </c>
      <c r="G937" s="4">
        <f>'Zarrah-Conversion'!F102</f>
        <v/>
      </c>
      <c r="H937" s="3">
        <f>'Zarrah-Conversion'!G102</f>
        <v/>
      </c>
      <c r="I937" s="5">
        <f>'Zarrah-Conversion'!H102</f>
        <v/>
      </c>
      <c r="J937" s="5">
        <f>'Zarrah-Conversion'!I102</f>
        <v/>
      </c>
      <c r="K937" s="6">
        <f>'Zarrah-Conversion'!J102</f>
        <v/>
      </c>
      <c r="L937" s="13">
        <f>'Zarrah-Conversion'!K102</f>
        <v/>
      </c>
      <c r="M937" s="6">
        <f>'Zarrah-Conversion'!N102</f>
        <v/>
      </c>
      <c r="N937" s="3">
        <f>'Zarrah-Conversion'!O102</f>
        <v/>
      </c>
      <c r="O937" s="3">
        <f>'Zarrah-Conversion'!P102</f>
        <v/>
      </c>
    </row>
    <row r="938" ht="18" customHeight="1" s="96">
      <c r="A938" s="93" t="inlineStr">
        <is>
          <t>Person B</t>
        </is>
      </c>
      <c r="B938" s="93">
        <f>'Zarrah-Conversion'!A103</f>
        <v/>
      </c>
      <c r="C938" s="8">
        <f>'Zarrah-Conversion'!B103</f>
        <v/>
      </c>
      <c r="D938" s="8">
        <f>'Zarrah-Conversion'!C103</f>
        <v/>
      </c>
      <c r="E938" s="8">
        <f>'Zarrah-Conversion'!D103</f>
        <v/>
      </c>
      <c r="F938" s="8">
        <f>'Zarrah-Conversion'!E103</f>
        <v/>
      </c>
      <c r="G938" s="9">
        <f>'Zarrah-Conversion'!F103</f>
        <v/>
      </c>
      <c r="H938" s="8">
        <f>'Zarrah-Conversion'!G103</f>
        <v/>
      </c>
      <c r="I938" s="10">
        <f>'Zarrah-Conversion'!H103</f>
        <v/>
      </c>
      <c r="J938" s="10">
        <f>'Zarrah-Conversion'!I103</f>
        <v/>
      </c>
      <c r="K938" s="11">
        <f>'Zarrah-Conversion'!J103</f>
        <v/>
      </c>
      <c r="L938" s="12">
        <f>'Zarrah-Conversion'!K103</f>
        <v/>
      </c>
      <c r="M938" s="11">
        <f>'Zarrah-Conversion'!N103</f>
        <v/>
      </c>
      <c r="N938" s="8">
        <f>'Zarrah-Conversion'!O103</f>
        <v/>
      </c>
      <c r="O938" s="8">
        <f>'Zarrah-Conversion'!P103</f>
        <v/>
      </c>
    </row>
    <row r="939" ht="18" customHeight="1" s="96">
      <c r="A939" s="2" t="inlineStr">
        <is>
          <t>Person B</t>
        </is>
      </c>
      <c r="B939" s="2">
        <f>'Zarrah-Conversion'!A104</f>
        <v/>
      </c>
      <c r="C939" s="3">
        <f>'Zarrah-Conversion'!B104</f>
        <v/>
      </c>
      <c r="D939" s="3">
        <f>'Zarrah-Conversion'!C104</f>
        <v/>
      </c>
      <c r="E939" s="3">
        <f>'Zarrah-Conversion'!D104</f>
        <v/>
      </c>
      <c r="F939" s="3">
        <f>'Zarrah-Conversion'!E104</f>
        <v/>
      </c>
      <c r="G939" s="4">
        <f>'Zarrah-Conversion'!F104</f>
        <v/>
      </c>
      <c r="H939" s="3">
        <f>'Zarrah-Conversion'!G104</f>
        <v/>
      </c>
      <c r="I939" s="5">
        <f>'Zarrah-Conversion'!H104</f>
        <v/>
      </c>
      <c r="J939" s="5">
        <f>'Zarrah-Conversion'!I104</f>
        <v/>
      </c>
      <c r="K939" s="6">
        <f>'Zarrah-Conversion'!J104</f>
        <v/>
      </c>
      <c r="L939" s="13">
        <f>'Zarrah-Conversion'!K104</f>
        <v/>
      </c>
      <c r="M939" s="6">
        <f>'Zarrah-Conversion'!N104</f>
        <v/>
      </c>
      <c r="N939" s="3">
        <f>'Zarrah-Conversion'!O104</f>
        <v/>
      </c>
      <c r="O939" s="3">
        <f>'Zarrah-Conversion'!P104</f>
        <v/>
      </c>
    </row>
    <row r="940" ht="18" customHeight="1" s="96">
      <c r="A940" s="93" t="inlineStr">
        <is>
          <t>Person B</t>
        </is>
      </c>
      <c r="B940" s="93">
        <f>'Zarrah-Conversion'!A105</f>
        <v/>
      </c>
      <c r="C940" s="8">
        <f>'Zarrah-Conversion'!B105</f>
        <v/>
      </c>
      <c r="D940" s="8">
        <f>'Zarrah-Conversion'!C105</f>
        <v/>
      </c>
      <c r="E940" s="8">
        <f>'Zarrah-Conversion'!D105</f>
        <v/>
      </c>
      <c r="F940" s="8">
        <f>'Zarrah-Conversion'!E105</f>
        <v/>
      </c>
      <c r="G940" s="9">
        <f>'Zarrah-Conversion'!F105</f>
        <v/>
      </c>
      <c r="H940" s="8">
        <f>'Zarrah-Conversion'!G105</f>
        <v/>
      </c>
      <c r="I940" s="10">
        <f>'Zarrah-Conversion'!H105</f>
        <v/>
      </c>
      <c r="J940" s="10">
        <f>'Zarrah-Conversion'!I105</f>
        <v/>
      </c>
      <c r="K940" s="11">
        <f>'Zarrah-Conversion'!J105</f>
        <v/>
      </c>
      <c r="L940" s="12">
        <f>'Zarrah-Conversion'!K105</f>
        <v/>
      </c>
      <c r="M940" s="11">
        <f>'Zarrah-Conversion'!N105</f>
        <v/>
      </c>
      <c r="N940" s="8">
        <f>'Zarrah-Conversion'!O105</f>
        <v/>
      </c>
      <c r="O940" s="8">
        <f>'Zarrah-Conversion'!P105</f>
        <v/>
      </c>
    </row>
    <row r="941" ht="18" customHeight="1" s="96">
      <c r="A941" s="2" t="inlineStr">
        <is>
          <t>Person B</t>
        </is>
      </c>
      <c r="B941" s="2">
        <f>'Zarrah-Conversion'!A106</f>
        <v/>
      </c>
      <c r="C941" s="3">
        <f>'Zarrah-Conversion'!B106</f>
        <v/>
      </c>
      <c r="D941" s="3">
        <f>'Zarrah-Conversion'!C106</f>
        <v/>
      </c>
      <c r="E941" s="3">
        <f>'Zarrah-Conversion'!D106</f>
        <v/>
      </c>
      <c r="F941" s="3">
        <f>'Zarrah-Conversion'!E106</f>
        <v/>
      </c>
      <c r="G941" s="4">
        <f>'Zarrah-Conversion'!F106</f>
        <v/>
      </c>
      <c r="H941" s="3">
        <f>'Zarrah-Conversion'!G106</f>
        <v/>
      </c>
      <c r="I941" s="5">
        <f>'Zarrah-Conversion'!H106</f>
        <v/>
      </c>
      <c r="J941" s="5">
        <f>'Zarrah-Conversion'!I106</f>
        <v/>
      </c>
      <c r="K941" s="6">
        <f>'Zarrah-Conversion'!J106</f>
        <v/>
      </c>
      <c r="L941" s="13">
        <f>'Zarrah-Conversion'!K106</f>
        <v/>
      </c>
      <c r="M941" s="6">
        <f>'Zarrah-Conversion'!N106</f>
        <v/>
      </c>
      <c r="N941" s="3">
        <f>'Zarrah-Conversion'!O106</f>
        <v/>
      </c>
      <c r="O941" s="3">
        <f>'Zarrah-Conversion'!P106</f>
        <v/>
      </c>
    </row>
    <row r="942" ht="18" customHeight="1" s="96">
      <c r="A942" s="93" t="inlineStr">
        <is>
          <t>Person B</t>
        </is>
      </c>
      <c r="B942" s="93">
        <f>'Zarrah-Conversion'!A107</f>
        <v/>
      </c>
      <c r="C942" s="8">
        <f>'Zarrah-Conversion'!B107</f>
        <v/>
      </c>
      <c r="D942" s="8">
        <f>'Zarrah-Conversion'!C107</f>
        <v/>
      </c>
      <c r="E942" s="8">
        <f>'Zarrah-Conversion'!D107</f>
        <v/>
      </c>
      <c r="F942" s="8">
        <f>'Zarrah-Conversion'!E107</f>
        <v/>
      </c>
      <c r="G942" s="9">
        <f>'Zarrah-Conversion'!F107</f>
        <v/>
      </c>
      <c r="H942" s="8">
        <f>'Zarrah-Conversion'!G107</f>
        <v/>
      </c>
      <c r="I942" s="10">
        <f>'Zarrah-Conversion'!H107</f>
        <v/>
      </c>
      <c r="J942" s="10">
        <f>'Zarrah-Conversion'!I107</f>
        <v/>
      </c>
      <c r="K942" s="11">
        <f>'Zarrah-Conversion'!J107</f>
        <v/>
      </c>
      <c r="L942" s="12">
        <f>'Zarrah-Conversion'!K107</f>
        <v/>
      </c>
      <c r="M942" s="11">
        <f>'Zarrah-Conversion'!N107</f>
        <v/>
      </c>
      <c r="N942" s="8">
        <f>'Zarrah-Conversion'!O107</f>
        <v/>
      </c>
      <c r="O942" s="8">
        <f>'Zarrah-Conversion'!P107</f>
        <v/>
      </c>
    </row>
    <row r="943" ht="18" customHeight="1" s="96">
      <c r="A943" s="2" t="inlineStr">
        <is>
          <t>Person B</t>
        </is>
      </c>
      <c r="B943" s="2">
        <f>'Zarrah-Conversion'!A108</f>
        <v/>
      </c>
      <c r="C943" s="3">
        <f>'Zarrah-Conversion'!B108</f>
        <v/>
      </c>
      <c r="D943" s="3">
        <f>'Zarrah-Conversion'!C108</f>
        <v/>
      </c>
      <c r="E943" s="3">
        <f>'Zarrah-Conversion'!D108</f>
        <v/>
      </c>
      <c r="F943" s="3">
        <f>'Zarrah-Conversion'!E108</f>
        <v/>
      </c>
      <c r="G943" s="4">
        <f>'Zarrah-Conversion'!F108</f>
        <v/>
      </c>
      <c r="H943" s="3">
        <f>'Zarrah-Conversion'!G108</f>
        <v/>
      </c>
      <c r="I943" s="5">
        <f>'Zarrah-Conversion'!H108</f>
        <v/>
      </c>
      <c r="J943" s="5">
        <f>'Zarrah-Conversion'!I108</f>
        <v/>
      </c>
      <c r="K943" s="6">
        <f>'Zarrah-Conversion'!J108</f>
        <v/>
      </c>
      <c r="L943" s="13">
        <f>'Zarrah-Conversion'!K108</f>
        <v/>
      </c>
      <c r="M943" s="6">
        <f>'Zarrah-Conversion'!N108</f>
        <v/>
      </c>
      <c r="N943" s="3">
        <f>'Zarrah-Conversion'!O108</f>
        <v/>
      </c>
      <c r="O943" s="3">
        <f>'Zarrah-Conversion'!P108</f>
        <v/>
      </c>
    </row>
    <row r="944" ht="18" customHeight="1" s="96">
      <c r="A944" s="93" t="inlineStr">
        <is>
          <t>Person B</t>
        </is>
      </c>
      <c r="B944" s="93">
        <f>'Zarrah-Conversion'!A109</f>
        <v/>
      </c>
      <c r="C944" s="8">
        <f>'Zarrah-Conversion'!B109</f>
        <v/>
      </c>
      <c r="D944" s="8">
        <f>'Zarrah-Conversion'!C109</f>
        <v/>
      </c>
      <c r="E944" s="8">
        <f>'Zarrah-Conversion'!D109</f>
        <v/>
      </c>
      <c r="F944" s="8">
        <f>'Zarrah-Conversion'!E109</f>
        <v/>
      </c>
      <c r="G944" s="9">
        <f>'Zarrah-Conversion'!F109</f>
        <v/>
      </c>
      <c r="H944" s="8">
        <f>'Zarrah-Conversion'!G109</f>
        <v/>
      </c>
      <c r="I944" s="10">
        <f>'Zarrah-Conversion'!H109</f>
        <v/>
      </c>
      <c r="J944" s="10">
        <f>'Zarrah-Conversion'!I109</f>
        <v/>
      </c>
      <c r="K944" s="11">
        <f>'Zarrah-Conversion'!J109</f>
        <v/>
      </c>
      <c r="L944" s="12">
        <f>'Zarrah-Conversion'!K109</f>
        <v/>
      </c>
      <c r="M944" s="11">
        <f>'Zarrah-Conversion'!N109</f>
        <v/>
      </c>
      <c r="N944" s="8">
        <f>'Zarrah-Conversion'!O109</f>
        <v/>
      </c>
      <c r="O944" s="8">
        <f>'Zarrah-Conversion'!P109</f>
        <v/>
      </c>
    </row>
    <row r="945" ht="18" customHeight="1" s="96">
      <c r="A945" s="2" t="inlineStr">
        <is>
          <t>Person B</t>
        </is>
      </c>
      <c r="B945" s="2">
        <f>'Zarrah-Conversion'!A110</f>
        <v/>
      </c>
      <c r="C945" s="3">
        <f>'Zarrah-Conversion'!B110</f>
        <v/>
      </c>
      <c r="D945" s="3">
        <f>'Zarrah-Conversion'!C110</f>
        <v/>
      </c>
      <c r="E945" s="3">
        <f>'Zarrah-Conversion'!D110</f>
        <v/>
      </c>
      <c r="F945" s="3">
        <f>'Zarrah-Conversion'!E110</f>
        <v/>
      </c>
      <c r="G945" s="4">
        <f>'Zarrah-Conversion'!F110</f>
        <v/>
      </c>
      <c r="H945" s="3">
        <f>'Zarrah-Conversion'!G110</f>
        <v/>
      </c>
      <c r="I945" s="5">
        <f>'Zarrah-Conversion'!H110</f>
        <v/>
      </c>
      <c r="J945" s="5">
        <f>'Zarrah-Conversion'!I110</f>
        <v/>
      </c>
      <c r="K945" s="6">
        <f>'Zarrah-Conversion'!J110</f>
        <v/>
      </c>
      <c r="L945" s="13">
        <f>'Zarrah-Conversion'!K110</f>
        <v/>
      </c>
      <c r="M945" s="6">
        <f>'Zarrah-Conversion'!N110</f>
        <v/>
      </c>
      <c r="N945" s="3">
        <f>'Zarrah-Conversion'!O110</f>
        <v/>
      </c>
      <c r="O945" s="3">
        <f>'Zarrah-Conversion'!P110</f>
        <v/>
      </c>
    </row>
    <row r="946" ht="18" customHeight="1" s="96">
      <c r="A946" s="93" t="inlineStr">
        <is>
          <t>Person B</t>
        </is>
      </c>
      <c r="B946" s="93">
        <f>'Zarrah-Conversion'!A111</f>
        <v/>
      </c>
      <c r="C946" s="8">
        <f>'Zarrah-Conversion'!B111</f>
        <v/>
      </c>
      <c r="D946" s="8">
        <f>'Zarrah-Conversion'!C111</f>
        <v/>
      </c>
      <c r="E946" s="8">
        <f>'Zarrah-Conversion'!D111</f>
        <v/>
      </c>
      <c r="F946" s="8">
        <f>'Zarrah-Conversion'!E111</f>
        <v/>
      </c>
      <c r="G946" s="9">
        <f>'Zarrah-Conversion'!F111</f>
        <v/>
      </c>
      <c r="H946" s="8">
        <f>'Zarrah-Conversion'!G111</f>
        <v/>
      </c>
      <c r="I946" s="10">
        <f>'Zarrah-Conversion'!H111</f>
        <v/>
      </c>
      <c r="J946" s="10">
        <f>'Zarrah-Conversion'!I111</f>
        <v/>
      </c>
      <c r="K946" s="11">
        <f>'Zarrah-Conversion'!J111</f>
        <v/>
      </c>
      <c r="L946" s="12">
        <f>'Zarrah-Conversion'!K111</f>
        <v/>
      </c>
      <c r="M946" s="11">
        <f>'Zarrah-Conversion'!N111</f>
        <v/>
      </c>
      <c r="N946" s="8">
        <f>'Zarrah-Conversion'!O111</f>
        <v/>
      </c>
      <c r="O946" s="8">
        <f>'Zarrah-Conversion'!P111</f>
        <v/>
      </c>
    </row>
    <row r="947" ht="18" customHeight="1" s="96">
      <c r="A947" s="2" t="inlineStr">
        <is>
          <t>Person B</t>
        </is>
      </c>
      <c r="B947" s="2">
        <f>'Zarrah-Conversion'!A112</f>
        <v/>
      </c>
      <c r="C947" s="3">
        <f>'Zarrah-Conversion'!B112</f>
        <v/>
      </c>
      <c r="D947" s="3">
        <f>'Zarrah-Conversion'!C112</f>
        <v/>
      </c>
      <c r="E947" s="3">
        <f>'Zarrah-Conversion'!D112</f>
        <v/>
      </c>
      <c r="F947" s="3">
        <f>'Zarrah-Conversion'!E112</f>
        <v/>
      </c>
      <c r="G947" s="4">
        <f>'Zarrah-Conversion'!F112</f>
        <v/>
      </c>
      <c r="H947" s="3">
        <f>'Zarrah-Conversion'!G112</f>
        <v/>
      </c>
      <c r="I947" s="5">
        <f>'Zarrah-Conversion'!H112</f>
        <v/>
      </c>
      <c r="J947" s="5">
        <f>'Zarrah-Conversion'!I112</f>
        <v/>
      </c>
      <c r="K947" s="6">
        <f>'Zarrah-Conversion'!J112</f>
        <v/>
      </c>
      <c r="L947" s="13">
        <f>'Zarrah-Conversion'!K112</f>
        <v/>
      </c>
      <c r="M947" s="6">
        <f>'Zarrah-Conversion'!N112</f>
        <v/>
      </c>
      <c r="N947" s="3">
        <f>'Zarrah-Conversion'!O112</f>
        <v/>
      </c>
      <c r="O947" s="3">
        <f>'Zarrah-Conversion'!P112</f>
        <v/>
      </c>
    </row>
    <row r="948" ht="18" customHeight="1" s="96">
      <c r="A948" s="93" t="inlineStr">
        <is>
          <t>Person B</t>
        </is>
      </c>
      <c r="B948" s="93">
        <f>'Zarrah-Conversion'!A113</f>
        <v/>
      </c>
      <c r="C948" s="8">
        <f>'Zarrah-Conversion'!B113</f>
        <v/>
      </c>
      <c r="D948" s="8">
        <f>'Zarrah-Conversion'!C113</f>
        <v/>
      </c>
      <c r="E948" s="8">
        <f>'Zarrah-Conversion'!D113</f>
        <v/>
      </c>
      <c r="F948" s="8">
        <f>'Zarrah-Conversion'!E113</f>
        <v/>
      </c>
      <c r="G948" s="9">
        <f>'Zarrah-Conversion'!F113</f>
        <v/>
      </c>
      <c r="H948" s="8">
        <f>'Zarrah-Conversion'!G113</f>
        <v/>
      </c>
      <c r="I948" s="10">
        <f>'Zarrah-Conversion'!H113</f>
        <v/>
      </c>
      <c r="J948" s="10">
        <f>'Zarrah-Conversion'!I113</f>
        <v/>
      </c>
      <c r="K948" s="11">
        <f>'Zarrah-Conversion'!J113</f>
        <v/>
      </c>
      <c r="L948" s="12">
        <f>'Zarrah-Conversion'!K113</f>
        <v/>
      </c>
      <c r="M948" s="11">
        <f>'Zarrah-Conversion'!N113</f>
        <v/>
      </c>
      <c r="N948" s="8">
        <f>'Zarrah-Conversion'!O113</f>
        <v/>
      </c>
      <c r="O948" s="8">
        <f>'Zarrah-Conversion'!P113</f>
        <v/>
      </c>
    </row>
    <row r="949" ht="18" customHeight="1" s="96">
      <c r="A949" s="2" t="inlineStr">
        <is>
          <t>Person B</t>
        </is>
      </c>
      <c r="B949" s="2">
        <f>'Zarrah-Conversion'!A114</f>
        <v/>
      </c>
      <c r="C949" s="3">
        <f>'Zarrah-Conversion'!B114</f>
        <v/>
      </c>
      <c r="D949" s="3">
        <f>'Zarrah-Conversion'!C114</f>
        <v/>
      </c>
      <c r="E949" s="3">
        <f>'Zarrah-Conversion'!D114</f>
        <v/>
      </c>
      <c r="F949" s="3">
        <f>'Zarrah-Conversion'!E114</f>
        <v/>
      </c>
      <c r="G949" s="4">
        <f>'Zarrah-Conversion'!F114</f>
        <v/>
      </c>
      <c r="H949" s="3">
        <f>'Zarrah-Conversion'!G114</f>
        <v/>
      </c>
      <c r="I949" s="5">
        <f>'Zarrah-Conversion'!H114</f>
        <v/>
      </c>
      <c r="J949" s="5">
        <f>'Zarrah-Conversion'!I114</f>
        <v/>
      </c>
      <c r="K949" s="6">
        <f>'Zarrah-Conversion'!J114</f>
        <v/>
      </c>
      <c r="L949" s="13">
        <f>'Zarrah-Conversion'!K114</f>
        <v/>
      </c>
      <c r="M949" s="6">
        <f>'Zarrah-Conversion'!N114</f>
        <v/>
      </c>
      <c r="N949" s="3">
        <f>'Zarrah-Conversion'!O114</f>
        <v/>
      </c>
      <c r="O949" s="3">
        <f>'Zarrah-Conversion'!P114</f>
        <v/>
      </c>
    </row>
    <row r="950" ht="18" customHeight="1" s="96">
      <c r="A950" s="93" t="inlineStr">
        <is>
          <t>Person B</t>
        </is>
      </c>
      <c r="B950" s="93">
        <f>'Zarrah-Conversion'!A115</f>
        <v/>
      </c>
      <c r="C950" s="8">
        <f>'Zarrah-Conversion'!B115</f>
        <v/>
      </c>
      <c r="D950" s="8">
        <f>'Zarrah-Conversion'!C115</f>
        <v/>
      </c>
      <c r="E950" s="8">
        <f>'Zarrah-Conversion'!D115</f>
        <v/>
      </c>
      <c r="F950" s="8">
        <f>'Zarrah-Conversion'!E115</f>
        <v/>
      </c>
      <c r="G950" s="9">
        <f>'Zarrah-Conversion'!F115</f>
        <v/>
      </c>
      <c r="H950" s="8">
        <f>'Zarrah-Conversion'!G115</f>
        <v/>
      </c>
      <c r="I950" s="10">
        <f>'Zarrah-Conversion'!H115</f>
        <v/>
      </c>
      <c r="J950" s="10">
        <f>'Zarrah-Conversion'!I115</f>
        <v/>
      </c>
      <c r="K950" s="11">
        <f>'Zarrah-Conversion'!J115</f>
        <v/>
      </c>
      <c r="L950" s="12">
        <f>'Zarrah-Conversion'!K115</f>
        <v/>
      </c>
      <c r="M950" s="11">
        <f>'Zarrah-Conversion'!N115</f>
        <v/>
      </c>
      <c r="N950" s="8">
        <f>'Zarrah-Conversion'!O115</f>
        <v/>
      </c>
      <c r="O950" s="8">
        <f>'Zarrah-Conversion'!P115</f>
        <v/>
      </c>
    </row>
    <row r="951" ht="18" customHeight="1" s="96">
      <c r="A951" s="2" t="inlineStr">
        <is>
          <t>Person B</t>
        </is>
      </c>
      <c r="B951" s="2">
        <f>'Zarrah-Conversion'!A116</f>
        <v/>
      </c>
      <c r="C951" s="3">
        <f>'Zarrah-Conversion'!B116</f>
        <v/>
      </c>
      <c r="D951" s="3">
        <f>'Zarrah-Conversion'!C116</f>
        <v/>
      </c>
      <c r="E951" s="3">
        <f>'Zarrah-Conversion'!D116</f>
        <v/>
      </c>
      <c r="F951" s="3">
        <f>'Zarrah-Conversion'!E116</f>
        <v/>
      </c>
      <c r="G951" s="4">
        <f>'Zarrah-Conversion'!F116</f>
        <v/>
      </c>
      <c r="H951" s="3">
        <f>'Zarrah-Conversion'!G116</f>
        <v/>
      </c>
      <c r="I951" s="5">
        <f>'Zarrah-Conversion'!H116</f>
        <v/>
      </c>
      <c r="J951" s="5">
        <f>'Zarrah-Conversion'!I116</f>
        <v/>
      </c>
      <c r="K951" s="6">
        <f>'Zarrah-Conversion'!J116</f>
        <v/>
      </c>
      <c r="L951" s="13">
        <f>'Zarrah-Conversion'!K116</f>
        <v/>
      </c>
      <c r="M951" s="6">
        <f>'Zarrah-Conversion'!N116</f>
        <v/>
      </c>
      <c r="N951" s="3">
        <f>'Zarrah-Conversion'!O116</f>
        <v/>
      </c>
      <c r="O951" s="3">
        <f>'Zarrah-Conversion'!P116</f>
        <v/>
      </c>
    </row>
    <row r="952" ht="18" customHeight="1" s="96">
      <c r="A952" s="93" t="inlineStr">
        <is>
          <t>Person B</t>
        </is>
      </c>
      <c r="B952" s="93">
        <f>'Zarrah-Conversion'!A117</f>
        <v/>
      </c>
      <c r="C952" s="8">
        <f>'Zarrah-Conversion'!B117</f>
        <v/>
      </c>
      <c r="D952" s="8">
        <f>'Zarrah-Conversion'!C117</f>
        <v/>
      </c>
      <c r="E952" s="8">
        <f>'Zarrah-Conversion'!D117</f>
        <v/>
      </c>
      <c r="F952" s="8">
        <f>'Zarrah-Conversion'!E117</f>
        <v/>
      </c>
      <c r="G952" s="9">
        <f>'Zarrah-Conversion'!F117</f>
        <v/>
      </c>
      <c r="H952" s="8">
        <f>'Zarrah-Conversion'!G117</f>
        <v/>
      </c>
      <c r="I952" s="10">
        <f>'Zarrah-Conversion'!H117</f>
        <v/>
      </c>
      <c r="J952" s="10">
        <f>'Zarrah-Conversion'!I117</f>
        <v/>
      </c>
      <c r="K952" s="11">
        <f>'Zarrah-Conversion'!J117</f>
        <v/>
      </c>
      <c r="L952" s="12">
        <f>'Zarrah-Conversion'!K117</f>
        <v/>
      </c>
      <c r="M952" s="11">
        <f>'Zarrah-Conversion'!N117</f>
        <v/>
      </c>
      <c r="N952" s="8">
        <f>'Zarrah-Conversion'!O117</f>
        <v/>
      </c>
      <c r="O952" s="8">
        <f>'Zarrah-Conversion'!P117</f>
        <v/>
      </c>
    </row>
    <row r="953" ht="18" customHeight="1" s="96">
      <c r="A953" s="2" t="inlineStr">
        <is>
          <t>Person B</t>
        </is>
      </c>
      <c r="B953" s="2">
        <f>'Zarrah-Conversion'!A118</f>
        <v/>
      </c>
      <c r="C953" s="3">
        <f>'Zarrah-Conversion'!B118</f>
        <v/>
      </c>
      <c r="D953" s="3">
        <f>'Zarrah-Conversion'!C118</f>
        <v/>
      </c>
      <c r="E953" s="3">
        <f>'Zarrah-Conversion'!D118</f>
        <v/>
      </c>
      <c r="F953" s="3">
        <f>'Zarrah-Conversion'!E118</f>
        <v/>
      </c>
      <c r="G953" s="4">
        <f>'Zarrah-Conversion'!F118</f>
        <v/>
      </c>
      <c r="H953" s="3">
        <f>'Zarrah-Conversion'!G118</f>
        <v/>
      </c>
      <c r="I953" s="5">
        <f>'Zarrah-Conversion'!H118</f>
        <v/>
      </c>
      <c r="J953" s="5">
        <f>'Zarrah-Conversion'!I118</f>
        <v/>
      </c>
      <c r="K953" s="6">
        <f>'Zarrah-Conversion'!J118</f>
        <v/>
      </c>
      <c r="L953" s="13">
        <f>'Zarrah-Conversion'!K118</f>
        <v/>
      </c>
      <c r="M953" s="6">
        <f>'Zarrah-Conversion'!N118</f>
        <v/>
      </c>
      <c r="N953" s="3">
        <f>'Zarrah-Conversion'!O118</f>
        <v/>
      </c>
      <c r="O953" s="3">
        <f>'Zarrah-Conversion'!P118</f>
        <v/>
      </c>
    </row>
    <row r="954" ht="18" customHeight="1" s="96">
      <c r="A954" s="93" t="inlineStr">
        <is>
          <t>Person B</t>
        </is>
      </c>
      <c r="B954" s="93">
        <f>'Zarrah-Conversion'!A119</f>
        <v/>
      </c>
      <c r="C954" s="8">
        <f>'Zarrah-Conversion'!B119</f>
        <v/>
      </c>
      <c r="D954" s="8">
        <f>'Zarrah-Conversion'!C119</f>
        <v/>
      </c>
      <c r="E954" s="8">
        <f>'Zarrah-Conversion'!D119</f>
        <v/>
      </c>
      <c r="F954" s="8">
        <f>'Zarrah-Conversion'!E119</f>
        <v/>
      </c>
      <c r="G954" s="9">
        <f>'Zarrah-Conversion'!F119</f>
        <v/>
      </c>
      <c r="H954" s="8">
        <f>'Zarrah-Conversion'!G119</f>
        <v/>
      </c>
      <c r="I954" s="10">
        <f>'Zarrah-Conversion'!H119</f>
        <v/>
      </c>
      <c r="J954" s="10">
        <f>'Zarrah-Conversion'!I119</f>
        <v/>
      </c>
      <c r="K954" s="11">
        <f>'Zarrah-Conversion'!J119</f>
        <v/>
      </c>
      <c r="L954" s="12">
        <f>'Zarrah-Conversion'!K119</f>
        <v/>
      </c>
      <c r="M954" s="11">
        <f>'Zarrah-Conversion'!N119</f>
        <v/>
      </c>
      <c r="N954" s="8">
        <f>'Zarrah-Conversion'!O119</f>
        <v/>
      </c>
      <c r="O954" s="8">
        <f>'Zarrah-Conversion'!P119</f>
        <v/>
      </c>
    </row>
    <row r="955" ht="18" customHeight="1" s="96">
      <c r="A955" s="2" t="inlineStr">
        <is>
          <t>Person B</t>
        </is>
      </c>
      <c r="B955" s="2">
        <f>'Zarrah-Conversion'!A120</f>
        <v/>
      </c>
      <c r="C955" s="3">
        <f>'Zarrah-Conversion'!B120</f>
        <v/>
      </c>
      <c r="D955" s="3">
        <f>'Zarrah-Conversion'!C120</f>
        <v/>
      </c>
      <c r="E955" s="3">
        <f>'Zarrah-Conversion'!D120</f>
        <v/>
      </c>
      <c r="F955" s="3">
        <f>'Zarrah-Conversion'!E120</f>
        <v/>
      </c>
      <c r="G955" s="4">
        <f>'Zarrah-Conversion'!F120</f>
        <v/>
      </c>
      <c r="H955" s="3">
        <f>'Zarrah-Conversion'!G120</f>
        <v/>
      </c>
      <c r="I955" s="5">
        <f>'Zarrah-Conversion'!H120</f>
        <v/>
      </c>
      <c r="J955" s="5">
        <f>'Zarrah-Conversion'!I120</f>
        <v/>
      </c>
      <c r="K955" s="6">
        <f>'Zarrah-Conversion'!J120</f>
        <v/>
      </c>
      <c r="L955" s="13">
        <f>'Zarrah-Conversion'!K120</f>
        <v/>
      </c>
      <c r="M955" s="6">
        <f>'Zarrah-Conversion'!N120</f>
        <v/>
      </c>
      <c r="N955" s="3">
        <f>'Zarrah-Conversion'!O120</f>
        <v/>
      </c>
      <c r="O955" s="3">
        <f>'Zarrah-Conversion'!P120</f>
        <v/>
      </c>
    </row>
    <row r="956" ht="18" customHeight="1" s="96">
      <c r="A956" s="93" t="inlineStr">
        <is>
          <t>Person B</t>
        </is>
      </c>
      <c r="B956" s="93">
        <f>'Zarrah-Conversion'!A121</f>
        <v/>
      </c>
      <c r="C956" s="8">
        <f>'Zarrah-Conversion'!B121</f>
        <v/>
      </c>
      <c r="D956" s="8">
        <f>'Zarrah-Conversion'!C121</f>
        <v/>
      </c>
      <c r="E956" s="8">
        <f>'Zarrah-Conversion'!D121</f>
        <v/>
      </c>
      <c r="F956" s="8">
        <f>'Zarrah-Conversion'!E121</f>
        <v/>
      </c>
      <c r="G956" s="9">
        <f>'Zarrah-Conversion'!F121</f>
        <v/>
      </c>
      <c r="H956" s="8">
        <f>'Zarrah-Conversion'!G121</f>
        <v/>
      </c>
      <c r="I956" s="10">
        <f>'Zarrah-Conversion'!H121</f>
        <v/>
      </c>
      <c r="J956" s="10">
        <f>'Zarrah-Conversion'!I121</f>
        <v/>
      </c>
      <c r="K956" s="11">
        <f>'Zarrah-Conversion'!J121</f>
        <v/>
      </c>
      <c r="L956" s="12">
        <f>'Zarrah-Conversion'!K121</f>
        <v/>
      </c>
      <c r="M956" s="11">
        <f>'Zarrah-Conversion'!N121</f>
        <v/>
      </c>
      <c r="N956" s="8">
        <f>'Zarrah-Conversion'!O121</f>
        <v/>
      </c>
      <c r="O956" s="8">
        <f>'Zarrah-Conversion'!P121</f>
        <v/>
      </c>
    </row>
    <row r="957" ht="18" customHeight="1" s="96">
      <c r="A957" s="2" t="inlineStr">
        <is>
          <t>Person B</t>
        </is>
      </c>
      <c r="B957" s="2">
        <f>'Zarrah-Conversion'!A122</f>
        <v/>
      </c>
      <c r="C957" s="3">
        <f>'Zarrah-Conversion'!B122</f>
        <v/>
      </c>
      <c r="D957" s="3">
        <f>'Zarrah-Conversion'!C122</f>
        <v/>
      </c>
      <c r="E957" s="3">
        <f>'Zarrah-Conversion'!D122</f>
        <v/>
      </c>
      <c r="F957" s="3">
        <f>'Zarrah-Conversion'!E122</f>
        <v/>
      </c>
      <c r="G957" s="4">
        <f>'Zarrah-Conversion'!F122</f>
        <v/>
      </c>
      <c r="H957" s="3">
        <f>'Zarrah-Conversion'!G122</f>
        <v/>
      </c>
      <c r="I957" s="5">
        <f>'Zarrah-Conversion'!H122</f>
        <v/>
      </c>
      <c r="J957" s="5">
        <f>'Zarrah-Conversion'!I122</f>
        <v/>
      </c>
      <c r="K957" s="6">
        <f>'Zarrah-Conversion'!J122</f>
        <v/>
      </c>
      <c r="L957" s="13">
        <f>'Zarrah-Conversion'!K122</f>
        <v/>
      </c>
      <c r="M957" s="6">
        <f>'Zarrah-Conversion'!N122</f>
        <v/>
      </c>
      <c r="N957" s="3">
        <f>'Zarrah-Conversion'!O122</f>
        <v/>
      </c>
      <c r="O957" s="3">
        <f>'Zarrah-Conversion'!P122</f>
        <v/>
      </c>
    </row>
    <row r="958" ht="18" customHeight="1" s="96">
      <c r="A958" s="93" t="inlineStr">
        <is>
          <t>Person B</t>
        </is>
      </c>
      <c r="B958" s="93">
        <f>'Zarrah-Conversion'!A123</f>
        <v/>
      </c>
      <c r="C958" s="8">
        <f>'Zarrah-Conversion'!B123</f>
        <v/>
      </c>
      <c r="D958" s="8">
        <f>'Zarrah-Conversion'!C123</f>
        <v/>
      </c>
      <c r="E958" s="8">
        <f>'Zarrah-Conversion'!D123</f>
        <v/>
      </c>
      <c r="F958" s="8">
        <f>'Zarrah-Conversion'!E123</f>
        <v/>
      </c>
      <c r="G958" s="9">
        <f>'Zarrah-Conversion'!F123</f>
        <v/>
      </c>
      <c r="H958" s="8">
        <f>'Zarrah-Conversion'!G123</f>
        <v/>
      </c>
      <c r="I958" s="10">
        <f>'Zarrah-Conversion'!H123</f>
        <v/>
      </c>
      <c r="J958" s="10">
        <f>'Zarrah-Conversion'!I123</f>
        <v/>
      </c>
      <c r="K958" s="11">
        <f>'Zarrah-Conversion'!J123</f>
        <v/>
      </c>
      <c r="L958" s="12">
        <f>'Zarrah-Conversion'!K123</f>
        <v/>
      </c>
      <c r="M958" s="11">
        <f>'Zarrah-Conversion'!N123</f>
        <v/>
      </c>
      <c r="N958" s="8">
        <f>'Zarrah-Conversion'!O123</f>
        <v/>
      </c>
      <c r="O958" s="8">
        <f>'Zarrah-Conversion'!P123</f>
        <v/>
      </c>
    </row>
    <row r="959" ht="18" customHeight="1" s="96">
      <c r="A959" s="2" t="inlineStr">
        <is>
          <t>Person B</t>
        </is>
      </c>
      <c r="B959" s="2">
        <f>'Zarrah-Conversion'!A124</f>
        <v/>
      </c>
      <c r="C959" s="3">
        <f>'Zarrah-Conversion'!B124</f>
        <v/>
      </c>
      <c r="D959" s="3">
        <f>'Zarrah-Conversion'!C124</f>
        <v/>
      </c>
      <c r="E959" s="3">
        <f>'Zarrah-Conversion'!D124</f>
        <v/>
      </c>
      <c r="F959" s="3">
        <f>'Zarrah-Conversion'!E124</f>
        <v/>
      </c>
      <c r="G959" s="4">
        <f>'Zarrah-Conversion'!F124</f>
        <v/>
      </c>
      <c r="H959" s="3">
        <f>'Zarrah-Conversion'!G124</f>
        <v/>
      </c>
      <c r="I959" s="5">
        <f>'Zarrah-Conversion'!H124</f>
        <v/>
      </c>
      <c r="J959" s="5">
        <f>'Zarrah-Conversion'!I124</f>
        <v/>
      </c>
      <c r="K959" s="6">
        <f>'Zarrah-Conversion'!J124</f>
        <v/>
      </c>
      <c r="L959" s="13">
        <f>'Zarrah-Conversion'!K124</f>
        <v/>
      </c>
      <c r="M959" s="6">
        <f>'Zarrah-Conversion'!N124</f>
        <v/>
      </c>
      <c r="N959" s="3">
        <f>'Zarrah-Conversion'!O124</f>
        <v/>
      </c>
      <c r="O959" s="3">
        <f>'Zarrah-Conversion'!P124</f>
        <v/>
      </c>
    </row>
    <row r="960" ht="18" customHeight="1" s="96">
      <c r="A960" s="93" t="inlineStr">
        <is>
          <t>Person B</t>
        </is>
      </c>
      <c r="B960" s="93">
        <f>'Zarrah-Conversion'!A125</f>
        <v/>
      </c>
      <c r="C960" s="8">
        <f>'Zarrah-Conversion'!B125</f>
        <v/>
      </c>
      <c r="D960" s="8">
        <f>'Zarrah-Conversion'!C125</f>
        <v/>
      </c>
      <c r="E960" s="8">
        <f>'Zarrah-Conversion'!D125</f>
        <v/>
      </c>
      <c r="F960" s="8">
        <f>'Zarrah-Conversion'!E125</f>
        <v/>
      </c>
      <c r="G960" s="9">
        <f>'Zarrah-Conversion'!F125</f>
        <v/>
      </c>
      <c r="H960" s="8">
        <f>'Zarrah-Conversion'!G125</f>
        <v/>
      </c>
      <c r="I960" s="10">
        <f>'Zarrah-Conversion'!H125</f>
        <v/>
      </c>
      <c r="J960" s="10">
        <f>'Zarrah-Conversion'!I125</f>
        <v/>
      </c>
      <c r="K960" s="11">
        <f>'Zarrah-Conversion'!J125</f>
        <v/>
      </c>
      <c r="L960" s="12">
        <f>'Zarrah-Conversion'!K125</f>
        <v/>
      </c>
      <c r="M960" s="11">
        <f>'Zarrah-Conversion'!N125</f>
        <v/>
      </c>
      <c r="N960" s="8">
        <f>'Zarrah-Conversion'!O125</f>
        <v/>
      </c>
      <c r="O960" s="8">
        <f>'Zarrah-Conversion'!P125</f>
        <v/>
      </c>
    </row>
    <row r="961" ht="18" customHeight="1" s="96">
      <c r="A961" s="2" t="inlineStr">
        <is>
          <t>Person B</t>
        </is>
      </c>
      <c r="B961" s="2">
        <f>'Zarrah-Conversion'!A126</f>
        <v/>
      </c>
      <c r="C961" s="3">
        <f>'Zarrah-Conversion'!B126</f>
        <v/>
      </c>
      <c r="D961" s="3">
        <f>'Zarrah-Conversion'!C126</f>
        <v/>
      </c>
      <c r="E961" s="3">
        <f>'Zarrah-Conversion'!D126</f>
        <v/>
      </c>
      <c r="F961" s="3">
        <f>'Zarrah-Conversion'!E126</f>
        <v/>
      </c>
      <c r="G961" s="4">
        <f>'Zarrah-Conversion'!F126</f>
        <v/>
      </c>
      <c r="H961" s="3">
        <f>'Zarrah-Conversion'!G126</f>
        <v/>
      </c>
      <c r="I961" s="5">
        <f>'Zarrah-Conversion'!H126</f>
        <v/>
      </c>
      <c r="J961" s="5">
        <f>'Zarrah-Conversion'!I126</f>
        <v/>
      </c>
      <c r="K961" s="6">
        <f>'Zarrah-Conversion'!J126</f>
        <v/>
      </c>
      <c r="L961" s="13">
        <f>'Zarrah-Conversion'!K126</f>
        <v/>
      </c>
      <c r="M961" s="6">
        <f>'Zarrah-Conversion'!N126</f>
        <v/>
      </c>
      <c r="N961" s="3">
        <f>'Zarrah-Conversion'!O126</f>
        <v/>
      </c>
      <c r="O961" s="3">
        <f>'Zarrah-Conversion'!P126</f>
        <v/>
      </c>
    </row>
    <row r="962" ht="18" customHeight="1" s="96">
      <c r="A962" s="93" t="inlineStr">
        <is>
          <t>Person B</t>
        </is>
      </c>
      <c r="B962" s="93">
        <f>'Zarrah-Conversion'!A127</f>
        <v/>
      </c>
      <c r="C962" s="8">
        <f>'Zarrah-Conversion'!B127</f>
        <v/>
      </c>
      <c r="D962" s="8">
        <f>'Zarrah-Conversion'!C127</f>
        <v/>
      </c>
      <c r="E962" s="8">
        <f>'Zarrah-Conversion'!D127</f>
        <v/>
      </c>
      <c r="F962" s="8">
        <f>'Zarrah-Conversion'!E127</f>
        <v/>
      </c>
      <c r="G962" s="9">
        <f>'Zarrah-Conversion'!F127</f>
        <v/>
      </c>
      <c r="H962" s="8">
        <f>'Zarrah-Conversion'!G127</f>
        <v/>
      </c>
      <c r="I962" s="10">
        <f>'Zarrah-Conversion'!H127</f>
        <v/>
      </c>
      <c r="J962" s="10">
        <f>'Zarrah-Conversion'!I127</f>
        <v/>
      </c>
      <c r="K962" s="11">
        <f>'Zarrah-Conversion'!J127</f>
        <v/>
      </c>
      <c r="L962" s="12">
        <f>'Zarrah-Conversion'!K127</f>
        <v/>
      </c>
      <c r="M962" s="11">
        <f>'Zarrah-Conversion'!N127</f>
        <v/>
      </c>
      <c r="N962" s="8">
        <f>'Zarrah-Conversion'!O127</f>
        <v/>
      </c>
      <c r="O962" s="8">
        <f>'Zarrah-Conversion'!P127</f>
        <v/>
      </c>
    </row>
    <row r="963" ht="18" customHeight="1" s="96">
      <c r="A963" s="2" t="inlineStr">
        <is>
          <t>Person B</t>
        </is>
      </c>
      <c r="B963" s="2">
        <f>'Zarrah-Conversion'!A128</f>
        <v/>
      </c>
      <c r="C963" s="3">
        <f>'Zarrah-Conversion'!B128</f>
        <v/>
      </c>
      <c r="D963" s="3">
        <f>'Zarrah-Conversion'!C128</f>
        <v/>
      </c>
      <c r="E963" s="3">
        <f>'Zarrah-Conversion'!D128</f>
        <v/>
      </c>
      <c r="F963" s="3">
        <f>'Zarrah-Conversion'!E128</f>
        <v/>
      </c>
      <c r="G963" s="4">
        <f>'Zarrah-Conversion'!F128</f>
        <v/>
      </c>
      <c r="H963" s="3">
        <f>'Zarrah-Conversion'!G128</f>
        <v/>
      </c>
      <c r="I963" s="5">
        <f>'Zarrah-Conversion'!H128</f>
        <v/>
      </c>
      <c r="J963" s="5">
        <f>'Zarrah-Conversion'!I128</f>
        <v/>
      </c>
      <c r="K963" s="6">
        <f>'Zarrah-Conversion'!J128</f>
        <v/>
      </c>
      <c r="L963" s="13">
        <f>'Zarrah-Conversion'!K128</f>
        <v/>
      </c>
      <c r="M963" s="6">
        <f>'Zarrah-Conversion'!N128</f>
        <v/>
      </c>
      <c r="N963" s="3">
        <f>'Zarrah-Conversion'!O128</f>
        <v/>
      </c>
      <c r="O963" s="3">
        <f>'Zarrah-Conversion'!P128</f>
        <v/>
      </c>
    </row>
    <row r="964" ht="18" customHeight="1" s="96">
      <c r="A964" s="93" t="inlineStr">
        <is>
          <t>Person B</t>
        </is>
      </c>
      <c r="B964" s="93">
        <f>'Zarrah-Conversion'!A129</f>
        <v/>
      </c>
      <c r="C964" s="8">
        <f>'Zarrah-Conversion'!B129</f>
        <v/>
      </c>
      <c r="D964" s="8">
        <f>'Zarrah-Conversion'!C129</f>
        <v/>
      </c>
      <c r="E964" s="8">
        <f>'Zarrah-Conversion'!D129</f>
        <v/>
      </c>
      <c r="F964" s="8">
        <f>'Zarrah-Conversion'!E129</f>
        <v/>
      </c>
      <c r="G964" s="9">
        <f>'Zarrah-Conversion'!F129</f>
        <v/>
      </c>
      <c r="H964" s="8">
        <f>'Zarrah-Conversion'!G129</f>
        <v/>
      </c>
      <c r="I964" s="10">
        <f>'Zarrah-Conversion'!H129</f>
        <v/>
      </c>
      <c r="J964" s="10">
        <f>'Zarrah-Conversion'!I129</f>
        <v/>
      </c>
      <c r="K964" s="11">
        <f>'Zarrah-Conversion'!J129</f>
        <v/>
      </c>
      <c r="L964" s="12">
        <f>'Zarrah-Conversion'!K129</f>
        <v/>
      </c>
      <c r="M964" s="11">
        <f>'Zarrah-Conversion'!N129</f>
        <v/>
      </c>
      <c r="N964" s="8">
        <f>'Zarrah-Conversion'!O129</f>
        <v/>
      </c>
      <c r="O964" s="8">
        <f>'Zarrah-Conversion'!P129</f>
        <v/>
      </c>
    </row>
    <row r="965" ht="18" customHeight="1" s="96">
      <c r="A965" s="2" t="inlineStr">
        <is>
          <t>Person B</t>
        </is>
      </c>
      <c r="B965" s="2">
        <f>'Zarrah-Conversion'!A130</f>
        <v/>
      </c>
      <c r="C965" s="3">
        <f>'Zarrah-Conversion'!B130</f>
        <v/>
      </c>
      <c r="D965" s="3">
        <f>'Zarrah-Conversion'!C130</f>
        <v/>
      </c>
      <c r="E965" s="3">
        <f>'Zarrah-Conversion'!D130</f>
        <v/>
      </c>
      <c r="F965" s="3">
        <f>'Zarrah-Conversion'!E130</f>
        <v/>
      </c>
      <c r="G965" s="4">
        <f>'Zarrah-Conversion'!F130</f>
        <v/>
      </c>
      <c r="H965" s="3">
        <f>'Zarrah-Conversion'!G130</f>
        <v/>
      </c>
      <c r="I965" s="5">
        <f>'Zarrah-Conversion'!H130</f>
        <v/>
      </c>
      <c r="J965" s="5">
        <f>'Zarrah-Conversion'!I130</f>
        <v/>
      </c>
      <c r="K965" s="6">
        <f>'Zarrah-Conversion'!J130</f>
        <v/>
      </c>
      <c r="L965" s="13">
        <f>'Zarrah-Conversion'!K130</f>
        <v/>
      </c>
      <c r="M965" s="6">
        <f>'Zarrah-Conversion'!N130</f>
        <v/>
      </c>
      <c r="N965" s="3">
        <f>'Zarrah-Conversion'!O130</f>
        <v/>
      </c>
      <c r="O965" s="3">
        <f>'Zarrah-Conversion'!P130</f>
        <v/>
      </c>
    </row>
    <row r="966" ht="18" customHeight="1" s="96">
      <c r="A966" s="93" t="inlineStr">
        <is>
          <t>Person B</t>
        </is>
      </c>
      <c r="B966" s="93">
        <f>'Zarrah-Conversion'!A131</f>
        <v/>
      </c>
      <c r="C966" s="8">
        <f>'Zarrah-Conversion'!B131</f>
        <v/>
      </c>
      <c r="D966" s="8">
        <f>'Zarrah-Conversion'!C131</f>
        <v/>
      </c>
      <c r="E966" s="8">
        <f>'Zarrah-Conversion'!D131</f>
        <v/>
      </c>
      <c r="F966" s="8">
        <f>'Zarrah-Conversion'!E131</f>
        <v/>
      </c>
      <c r="G966" s="9">
        <f>'Zarrah-Conversion'!F131</f>
        <v/>
      </c>
      <c r="H966" s="8">
        <f>'Zarrah-Conversion'!G131</f>
        <v/>
      </c>
      <c r="I966" s="10">
        <f>'Zarrah-Conversion'!H131</f>
        <v/>
      </c>
      <c r="J966" s="10">
        <f>'Zarrah-Conversion'!I131</f>
        <v/>
      </c>
      <c r="K966" s="11">
        <f>'Zarrah-Conversion'!J131</f>
        <v/>
      </c>
      <c r="L966" s="12">
        <f>'Zarrah-Conversion'!K131</f>
        <v/>
      </c>
      <c r="M966" s="11">
        <f>'Zarrah-Conversion'!N131</f>
        <v/>
      </c>
      <c r="N966" s="8">
        <f>'Zarrah-Conversion'!O131</f>
        <v/>
      </c>
      <c r="O966" s="8">
        <f>'Zarrah-Conversion'!P131</f>
        <v/>
      </c>
    </row>
    <row r="967" ht="18" customHeight="1" s="96">
      <c r="A967" s="2" t="inlineStr">
        <is>
          <t>Person B</t>
        </is>
      </c>
      <c r="B967" s="2">
        <f>'Zarrah-Conversion'!A132</f>
        <v/>
      </c>
      <c r="C967" s="3">
        <f>'Zarrah-Conversion'!B132</f>
        <v/>
      </c>
      <c r="D967" s="3">
        <f>'Zarrah-Conversion'!C132</f>
        <v/>
      </c>
      <c r="E967" s="3">
        <f>'Zarrah-Conversion'!D132</f>
        <v/>
      </c>
      <c r="F967" s="3">
        <f>'Zarrah-Conversion'!E132</f>
        <v/>
      </c>
      <c r="G967" s="4">
        <f>'Zarrah-Conversion'!F132</f>
        <v/>
      </c>
      <c r="H967" s="3">
        <f>'Zarrah-Conversion'!G132</f>
        <v/>
      </c>
      <c r="I967" s="5">
        <f>'Zarrah-Conversion'!H132</f>
        <v/>
      </c>
      <c r="J967" s="5">
        <f>'Zarrah-Conversion'!I132</f>
        <v/>
      </c>
      <c r="K967" s="6">
        <f>'Zarrah-Conversion'!J132</f>
        <v/>
      </c>
      <c r="L967" s="13">
        <f>'Zarrah-Conversion'!K132</f>
        <v/>
      </c>
      <c r="M967" s="6">
        <f>'Zarrah-Conversion'!N132</f>
        <v/>
      </c>
      <c r="N967" s="3">
        <f>'Zarrah-Conversion'!O132</f>
        <v/>
      </c>
      <c r="O967" s="3">
        <f>'Zarrah-Conversion'!P132</f>
        <v/>
      </c>
    </row>
    <row r="968" ht="18" customHeight="1" s="96">
      <c r="A968" s="93" t="inlineStr">
        <is>
          <t>Person B</t>
        </is>
      </c>
      <c r="B968" s="93">
        <f>'Zarrah-Conversion'!A133</f>
        <v/>
      </c>
      <c r="C968" s="8">
        <f>'Zarrah-Conversion'!B133</f>
        <v/>
      </c>
      <c r="D968" s="8">
        <f>'Zarrah-Conversion'!C133</f>
        <v/>
      </c>
      <c r="E968" s="8">
        <f>'Zarrah-Conversion'!D133</f>
        <v/>
      </c>
      <c r="F968" s="8">
        <f>'Zarrah-Conversion'!E133</f>
        <v/>
      </c>
      <c r="G968" s="9">
        <f>'Zarrah-Conversion'!F133</f>
        <v/>
      </c>
      <c r="H968" s="8">
        <f>'Zarrah-Conversion'!G133</f>
        <v/>
      </c>
      <c r="I968" s="10">
        <f>'Zarrah-Conversion'!H133</f>
        <v/>
      </c>
      <c r="J968" s="10">
        <f>'Zarrah-Conversion'!I133</f>
        <v/>
      </c>
      <c r="K968" s="11">
        <f>'Zarrah-Conversion'!J133</f>
        <v/>
      </c>
      <c r="L968" s="12">
        <f>'Zarrah-Conversion'!K133</f>
        <v/>
      </c>
      <c r="M968" s="11">
        <f>'Zarrah-Conversion'!N133</f>
        <v/>
      </c>
      <c r="N968" s="8">
        <f>'Zarrah-Conversion'!O133</f>
        <v/>
      </c>
      <c r="O968" s="8">
        <f>'Zarrah-Conversion'!P133</f>
        <v/>
      </c>
    </row>
    <row r="969" ht="18" customHeight="1" s="96">
      <c r="A969" s="2" t="inlineStr">
        <is>
          <t>Person B</t>
        </is>
      </c>
      <c r="B969" s="2">
        <f>'Zarrah-Conversion'!A134</f>
        <v/>
      </c>
      <c r="C969" s="3">
        <f>'Zarrah-Conversion'!B134</f>
        <v/>
      </c>
      <c r="D969" s="3">
        <f>'Zarrah-Conversion'!C134</f>
        <v/>
      </c>
      <c r="E969" s="3">
        <f>'Zarrah-Conversion'!D134</f>
        <v/>
      </c>
      <c r="F969" s="3">
        <f>'Zarrah-Conversion'!E134</f>
        <v/>
      </c>
      <c r="G969" s="4">
        <f>'Zarrah-Conversion'!F134</f>
        <v/>
      </c>
      <c r="H969" s="3">
        <f>'Zarrah-Conversion'!G134</f>
        <v/>
      </c>
      <c r="I969" s="5">
        <f>'Zarrah-Conversion'!H134</f>
        <v/>
      </c>
      <c r="J969" s="5">
        <f>'Zarrah-Conversion'!I134</f>
        <v/>
      </c>
      <c r="K969" s="6">
        <f>'Zarrah-Conversion'!J134</f>
        <v/>
      </c>
      <c r="L969" s="13">
        <f>'Zarrah-Conversion'!K134</f>
        <v/>
      </c>
      <c r="M969" s="6">
        <f>'Zarrah-Conversion'!N134</f>
        <v/>
      </c>
      <c r="N969" s="3">
        <f>'Zarrah-Conversion'!O134</f>
        <v/>
      </c>
      <c r="O969" s="3">
        <f>'Zarrah-Conversion'!P134</f>
        <v/>
      </c>
    </row>
    <row r="970" ht="18" customHeight="1" s="96">
      <c r="A970" s="93" t="inlineStr">
        <is>
          <t>Person B</t>
        </is>
      </c>
      <c r="B970" s="93">
        <f>'Zarrah-Conversion'!A135</f>
        <v/>
      </c>
      <c r="C970" s="8">
        <f>'Zarrah-Conversion'!B135</f>
        <v/>
      </c>
      <c r="D970" s="8">
        <f>'Zarrah-Conversion'!C135</f>
        <v/>
      </c>
      <c r="E970" s="8">
        <f>'Zarrah-Conversion'!D135</f>
        <v/>
      </c>
      <c r="F970" s="8">
        <f>'Zarrah-Conversion'!E135</f>
        <v/>
      </c>
      <c r="G970" s="9">
        <f>'Zarrah-Conversion'!F135</f>
        <v/>
      </c>
      <c r="H970" s="8">
        <f>'Zarrah-Conversion'!G135</f>
        <v/>
      </c>
      <c r="I970" s="10">
        <f>'Zarrah-Conversion'!H135</f>
        <v/>
      </c>
      <c r="J970" s="10">
        <f>'Zarrah-Conversion'!I135</f>
        <v/>
      </c>
      <c r="K970" s="11">
        <f>'Zarrah-Conversion'!J135</f>
        <v/>
      </c>
      <c r="L970" s="12">
        <f>'Zarrah-Conversion'!K135</f>
        <v/>
      </c>
      <c r="M970" s="11">
        <f>'Zarrah-Conversion'!N135</f>
        <v/>
      </c>
      <c r="N970" s="8">
        <f>'Zarrah-Conversion'!O135</f>
        <v/>
      </c>
      <c r="O970" s="8">
        <f>'Zarrah-Conversion'!P135</f>
        <v/>
      </c>
    </row>
    <row r="971" ht="18" customHeight="1" s="96">
      <c r="A971" s="2" t="inlineStr">
        <is>
          <t>Person B</t>
        </is>
      </c>
      <c r="B971" s="2">
        <f>'Zarrah-Conversion'!A136</f>
        <v/>
      </c>
      <c r="C971" s="3">
        <f>'Zarrah-Conversion'!B136</f>
        <v/>
      </c>
      <c r="D971" s="3">
        <f>'Zarrah-Conversion'!C136</f>
        <v/>
      </c>
      <c r="E971" s="3">
        <f>'Zarrah-Conversion'!D136</f>
        <v/>
      </c>
      <c r="F971" s="3">
        <f>'Zarrah-Conversion'!E136</f>
        <v/>
      </c>
      <c r="G971" s="4">
        <f>'Zarrah-Conversion'!F136</f>
        <v/>
      </c>
      <c r="H971" s="3">
        <f>'Zarrah-Conversion'!G136</f>
        <v/>
      </c>
      <c r="I971" s="5">
        <f>'Zarrah-Conversion'!H136</f>
        <v/>
      </c>
      <c r="J971" s="5">
        <f>'Zarrah-Conversion'!I136</f>
        <v/>
      </c>
      <c r="K971" s="6">
        <f>'Zarrah-Conversion'!J136</f>
        <v/>
      </c>
      <c r="L971" s="13">
        <f>'Zarrah-Conversion'!K136</f>
        <v/>
      </c>
      <c r="M971" s="6">
        <f>'Zarrah-Conversion'!N136</f>
        <v/>
      </c>
      <c r="N971" s="3">
        <f>'Zarrah-Conversion'!O136</f>
        <v/>
      </c>
      <c r="O971" s="3">
        <f>'Zarrah-Conversion'!P136</f>
        <v/>
      </c>
    </row>
    <row r="972" ht="18" customHeight="1" s="96">
      <c r="A972" s="93" t="inlineStr">
        <is>
          <t>Person B</t>
        </is>
      </c>
      <c r="B972" s="93">
        <f>'Zarrah-Conversion'!A137</f>
        <v/>
      </c>
      <c r="C972" s="8">
        <f>'Zarrah-Conversion'!B137</f>
        <v/>
      </c>
      <c r="D972" s="8">
        <f>'Zarrah-Conversion'!C137</f>
        <v/>
      </c>
      <c r="E972" s="8">
        <f>'Zarrah-Conversion'!D137</f>
        <v/>
      </c>
      <c r="F972" s="8">
        <f>'Zarrah-Conversion'!E137</f>
        <v/>
      </c>
      <c r="G972" s="9">
        <f>'Zarrah-Conversion'!F137</f>
        <v/>
      </c>
      <c r="H972" s="8">
        <f>'Zarrah-Conversion'!G137</f>
        <v/>
      </c>
      <c r="I972" s="10">
        <f>'Zarrah-Conversion'!H137</f>
        <v/>
      </c>
      <c r="J972" s="10">
        <f>'Zarrah-Conversion'!I137</f>
        <v/>
      </c>
      <c r="K972" s="11">
        <f>'Zarrah-Conversion'!J137</f>
        <v/>
      </c>
      <c r="L972" s="12">
        <f>'Zarrah-Conversion'!K137</f>
        <v/>
      </c>
      <c r="M972" s="11">
        <f>'Zarrah-Conversion'!N137</f>
        <v/>
      </c>
      <c r="N972" s="8">
        <f>'Zarrah-Conversion'!O137</f>
        <v/>
      </c>
      <c r="O972" s="8">
        <f>'Zarrah-Conversion'!P137</f>
        <v/>
      </c>
    </row>
    <row r="973" ht="18" customHeight="1" s="96">
      <c r="A973" s="2" t="inlineStr">
        <is>
          <t>Person B</t>
        </is>
      </c>
      <c r="B973" s="2">
        <f>'Zarrah-Conversion'!A138</f>
        <v/>
      </c>
      <c r="C973" s="3">
        <f>'Zarrah-Conversion'!B138</f>
        <v/>
      </c>
      <c r="D973" s="3">
        <f>'Zarrah-Conversion'!C138</f>
        <v/>
      </c>
      <c r="E973" s="3">
        <f>'Zarrah-Conversion'!D138</f>
        <v/>
      </c>
      <c r="F973" s="3">
        <f>'Zarrah-Conversion'!E138</f>
        <v/>
      </c>
      <c r="G973" s="4">
        <f>'Zarrah-Conversion'!F138</f>
        <v/>
      </c>
      <c r="H973" s="3">
        <f>'Zarrah-Conversion'!G138</f>
        <v/>
      </c>
      <c r="I973" s="5">
        <f>'Zarrah-Conversion'!H138</f>
        <v/>
      </c>
      <c r="J973" s="5">
        <f>'Zarrah-Conversion'!I138</f>
        <v/>
      </c>
      <c r="K973" s="6">
        <f>'Zarrah-Conversion'!J138</f>
        <v/>
      </c>
      <c r="L973" s="13">
        <f>'Zarrah-Conversion'!K138</f>
        <v/>
      </c>
      <c r="M973" s="6">
        <f>'Zarrah-Conversion'!N138</f>
        <v/>
      </c>
      <c r="N973" s="3">
        <f>'Zarrah-Conversion'!O138</f>
        <v/>
      </c>
      <c r="O973" s="3">
        <f>'Zarrah-Conversion'!P138</f>
        <v/>
      </c>
    </row>
    <row r="974" ht="18" customHeight="1" s="96">
      <c r="A974" s="93" t="inlineStr">
        <is>
          <t>Person B</t>
        </is>
      </c>
      <c r="B974" s="93">
        <f>'Zarrah-Conversion'!A139</f>
        <v/>
      </c>
      <c r="C974" s="8">
        <f>'Zarrah-Conversion'!B139</f>
        <v/>
      </c>
      <c r="D974" s="8">
        <f>'Zarrah-Conversion'!C139</f>
        <v/>
      </c>
      <c r="E974" s="8">
        <f>'Zarrah-Conversion'!D139</f>
        <v/>
      </c>
      <c r="F974" s="8">
        <f>'Zarrah-Conversion'!E139</f>
        <v/>
      </c>
      <c r="G974" s="9">
        <f>'Zarrah-Conversion'!F139</f>
        <v/>
      </c>
      <c r="H974" s="8">
        <f>'Zarrah-Conversion'!G139</f>
        <v/>
      </c>
      <c r="I974" s="10">
        <f>'Zarrah-Conversion'!H139</f>
        <v/>
      </c>
      <c r="J974" s="10">
        <f>'Zarrah-Conversion'!I139</f>
        <v/>
      </c>
      <c r="K974" s="11">
        <f>'Zarrah-Conversion'!J139</f>
        <v/>
      </c>
      <c r="L974" s="12">
        <f>'Zarrah-Conversion'!K139</f>
        <v/>
      </c>
      <c r="M974" s="11">
        <f>'Zarrah-Conversion'!N139</f>
        <v/>
      </c>
      <c r="N974" s="8">
        <f>'Zarrah-Conversion'!O139</f>
        <v/>
      </c>
      <c r="O974" s="8">
        <f>'Zarrah-Conversion'!P139</f>
        <v/>
      </c>
    </row>
    <row r="975" ht="18" customHeight="1" s="96">
      <c r="A975" s="2" t="inlineStr">
        <is>
          <t>Person B</t>
        </is>
      </c>
      <c r="B975" s="2">
        <f>'Zarrah-Conversion'!A140</f>
        <v/>
      </c>
      <c r="C975" s="3">
        <f>'Zarrah-Conversion'!B140</f>
        <v/>
      </c>
      <c r="D975" s="3">
        <f>'Zarrah-Conversion'!C140</f>
        <v/>
      </c>
      <c r="E975" s="3">
        <f>'Zarrah-Conversion'!D140</f>
        <v/>
      </c>
      <c r="F975" s="3">
        <f>'Zarrah-Conversion'!E140</f>
        <v/>
      </c>
      <c r="G975" s="4">
        <f>'Zarrah-Conversion'!F140</f>
        <v/>
      </c>
      <c r="H975" s="3">
        <f>'Zarrah-Conversion'!G140</f>
        <v/>
      </c>
      <c r="I975" s="5">
        <f>'Zarrah-Conversion'!H140</f>
        <v/>
      </c>
      <c r="J975" s="5">
        <f>'Zarrah-Conversion'!I140</f>
        <v/>
      </c>
      <c r="K975" s="6">
        <f>'Zarrah-Conversion'!J140</f>
        <v/>
      </c>
      <c r="L975" s="13">
        <f>'Zarrah-Conversion'!K140</f>
        <v/>
      </c>
      <c r="M975" s="6">
        <f>'Zarrah-Conversion'!N140</f>
        <v/>
      </c>
      <c r="N975" s="3">
        <f>'Zarrah-Conversion'!O140</f>
        <v/>
      </c>
      <c r="O975" s="3">
        <f>'Zarrah-Conversion'!P140</f>
        <v/>
      </c>
    </row>
    <row r="976" ht="18" customHeight="1" s="96">
      <c r="A976" s="93" t="inlineStr">
        <is>
          <t>Person B</t>
        </is>
      </c>
      <c r="B976" s="93">
        <f>'Zarrah-Conversion'!A141</f>
        <v/>
      </c>
      <c r="C976" s="8">
        <f>'Zarrah-Conversion'!B141</f>
        <v/>
      </c>
      <c r="D976" s="8">
        <f>'Zarrah-Conversion'!C141</f>
        <v/>
      </c>
      <c r="E976" s="8">
        <f>'Zarrah-Conversion'!D141</f>
        <v/>
      </c>
      <c r="F976" s="8">
        <f>'Zarrah-Conversion'!E141</f>
        <v/>
      </c>
      <c r="G976" s="9">
        <f>'Zarrah-Conversion'!F141</f>
        <v/>
      </c>
      <c r="H976" s="8">
        <f>'Zarrah-Conversion'!G141</f>
        <v/>
      </c>
      <c r="I976" s="10">
        <f>'Zarrah-Conversion'!H141</f>
        <v/>
      </c>
      <c r="J976" s="10">
        <f>'Zarrah-Conversion'!I141</f>
        <v/>
      </c>
      <c r="K976" s="11">
        <f>'Zarrah-Conversion'!J141</f>
        <v/>
      </c>
      <c r="L976" s="12">
        <f>'Zarrah-Conversion'!K141</f>
        <v/>
      </c>
      <c r="M976" s="11">
        <f>'Zarrah-Conversion'!N141</f>
        <v/>
      </c>
      <c r="N976" s="8">
        <f>'Zarrah-Conversion'!O141</f>
        <v/>
      </c>
      <c r="O976" s="8">
        <f>'Zarrah-Conversion'!P141</f>
        <v/>
      </c>
    </row>
    <row r="977" ht="18" customHeight="1" s="96">
      <c r="A977" s="2" t="inlineStr">
        <is>
          <t>Person B</t>
        </is>
      </c>
      <c r="B977" s="2">
        <f>'Zarrah-Conversion'!A142</f>
        <v/>
      </c>
      <c r="C977" s="3">
        <f>'Zarrah-Conversion'!B142</f>
        <v/>
      </c>
      <c r="D977" s="3">
        <f>'Zarrah-Conversion'!C142</f>
        <v/>
      </c>
      <c r="E977" s="3">
        <f>'Zarrah-Conversion'!D142</f>
        <v/>
      </c>
      <c r="F977" s="3">
        <f>'Zarrah-Conversion'!E142</f>
        <v/>
      </c>
      <c r="G977" s="4">
        <f>'Zarrah-Conversion'!F142</f>
        <v/>
      </c>
      <c r="H977" s="3">
        <f>'Zarrah-Conversion'!G142</f>
        <v/>
      </c>
      <c r="I977" s="5">
        <f>'Zarrah-Conversion'!H142</f>
        <v/>
      </c>
      <c r="J977" s="5">
        <f>'Zarrah-Conversion'!I142</f>
        <v/>
      </c>
      <c r="K977" s="6">
        <f>'Zarrah-Conversion'!J142</f>
        <v/>
      </c>
      <c r="L977" s="13">
        <f>'Zarrah-Conversion'!K142</f>
        <v/>
      </c>
      <c r="M977" s="6">
        <f>'Zarrah-Conversion'!N142</f>
        <v/>
      </c>
      <c r="N977" s="3">
        <f>'Zarrah-Conversion'!O142</f>
        <v/>
      </c>
      <c r="O977" s="3">
        <f>'Zarrah-Conversion'!P142</f>
        <v/>
      </c>
    </row>
    <row r="978" ht="18" customHeight="1" s="96">
      <c r="A978" s="93" t="inlineStr">
        <is>
          <t>Person B</t>
        </is>
      </c>
      <c r="B978" s="93">
        <f>'Zarrah-Conversion'!A143</f>
        <v/>
      </c>
      <c r="C978" s="8">
        <f>'Zarrah-Conversion'!B143</f>
        <v/>
      </c>
      <c r="D978" s="8">
        <f>'Zarrah-Conversion'!C143</f>
        <v/>
      </c>
      <c r="E978" s="8">
        <f>'Zarrah-Conversion'!D143</f>
        <v/>
      </c>
      <c r="F978" s="8">
        <f>'Zarrah-Conversion'!E143</f>
        <v/>
      </c>
      <c r="G978" s="9">
        <f>'Zarrah-Conversion'!F143</f>
        <v/>
      </c>
      <c r="H978" s="8">
        <f>'Zarrah-Conversion'!G143</f>
        <v/>
      </c>
      <c r="I978" s="10">
        <f>'Zarrah-Conversion'!H143</f>
        <v/>
      </c>
      <c r="J978" s="10">
        <f>'Zarrah-Conversion'!I143</f>
        <v/>
      </c>
      <c r="K978" s="11">
        <f>'Zarrah-Conversion'!J143</f>
        <v/>
      </c>
      <c r="L978" s="12">
        <f>'Zarrah-Conversion'!K143</f>
        <v/>
      </c>
      <c r="M978" s="11">
        <f>'Zarrah-Conversion'!N143</f>
        <v/>
      </c>
      <c r="N978" s="8">
        <f>'Zarrah-Conversion'!O143</f>
        <v/>
      </c>
      <c r="O978" s="8">
        <f>'Zarrah-Conversion'!P143</f>
        <v/>
      </c>
    </row>
    <row r="979" ht="18" customHeight="1" s="96">
      <c r="A979" s="2" t="inlineStr">
        <is>
          <t>Person B</t>
        </is>
      </c>
      <c r="B979" s="2">
        <f>'Zarrah-Conversion'!A144</f>
        <v/>
      </c>
      <c r="C979" s="3">
        <f>'Zarrah-Conversion'!B144</f>
        <v/>
      </c>
      <c r="D979" s="3">
        <f>'Zarrah-Conversion'!C144</f>
        <v/>
      </c>
      <c r="E979" s="3">
        <f>'Zarrah-Conversion'!D144</f>
        <v/>
      </c>
      <c r="F979" s="3">
        <f>'Zarrah-Conversion'!E144</f>
        <v/>
      </c>
      <c r="G979" s="4">
        <f>'Zarrah-Conversion'!F144</f>
        <v/>
      </c>
      <c r="H979" s="3">
        <f>'Zarrah-Conversion'!G144</f>
        <v/>
      </c>
      <c r="I979" s="5">
        <f>'Zarrah-Conversion'!H144</f>
        <v/>
      </c>
      <c r="J979" s="5">
        <f>'Zarrah-Conversion'!I144</f>
        <v/>
      </c>
      <c r="K979" s="6">
        <f>'Zarrah-Conversion'!J144</f>
        <v/>
      </c>
      <c r="L979" s="13">
        <f>'Zarrah-Conversion'!K144</f>
        <v/>
      </c>
      <c r="M979" s="6">
        <f>'Zarrah-Conversion'!N144</f>
        <v/>
      </c>
      <c r="N979" s="3">
        <f>'Zarrah-Conversion'!O144</f>
        <v/>
      </c>
      <c r="O979" s="3">
        <f>'Zarrah-Conversion'!P144</f>
        <v/>
      </c>
    </row>
    <row r="980" ht="18" customHeight="1" s="96">
      <c r="A980" s="93" t="inlineStr">
        <is>
          <t>Person B</t>
        </is>
      </c>
      <c r="B980" s="93">
        <f>'Zarrah-Conversion'!A145</f>
        <v/>
      </c>
      <c r="C980" s="8">
        <f>'Zarrah-Conversion'!B145</f>
        <v/>
      </c>
      <c r="D980" s="8">
        <f>'Zarrah-Conversion'!C145</f>
        <v/>
      </c>
      <c r="E980" s="8">
        <f>'Zarrah-Conversion'!D145</f>
        <v/>
      </c>
      <c r="F980" s="8">
        <f>'Zarrah-Conversion'!E145</f>
        <v/>
      </c>
      <c r="G980" s="9">
        <f>'Zarrah-Conversion'!F145</f>
        <v/>
      </c>
      <c r="H980" s="8">
        <f>'Zarrah-Conversion'!G145</f>
        <v/>
      </c>
      <c r="I980" s="10">
        <f>'Zarrah-Conversion'!H145</f>
        <v/>
      </c>
      <c r="J980" s="10">
        <f>'Zarrah-Conversion'!I145</f>
        <v/>
      </c>
      <c r="K980" s="11">
        <f>'Zarrah-Conversion'!J145</f>
        <v/>
      </c>
      <c r="L980" s="12">
        <f>'Zarrah-Conversion'!K145</f>
        <v/>
      </c>
      <c r="M980" s="11">
        <f>'Zarrah-Conversion'!N145</f>
        <v/>
      </c>
      <c r="N980" s="8">
        <f>'Zarrah-Conversion'!O145</f>
        <v/>
      </c>
      <c r="O980" s="8">
        <f>'Zarrah-Conversion'!P145</f>
        <v/>
      </c>
    </row>
    <row r="981" ht="18" customHeight="1" s="96">
      <c r="A981" s="2" t="inlineStr">
        <is>
          <t>Person B</t>
        </is>
      </c>
      <c r="B981" s="2">
        <f>'Zarrah-Conversion'!A146</f>
        <v/>
      </c>
      <c r="C981" s="3">
        <f>'Zarrah-Conversion'!B146</f>
        <v/>
      </c>
      <c r="D981" s="3">
        <f>'Zarrah-Conversion'!C146</f>
        <v/>
      </c>
      <c r="E981" s="3">
        <f>'Zarrah-Conversion'!D146</f>
        <v/>
      </c>
      <c r="F981" s="3">
        <f>'Zarrah-Conversion'!E146</f>
        <v/>
      </c>
      <c r="G981" s="4">
        <f>'Zarrah-Conversion'!F146</f>
        <v/>
      </c>
      <c r="H981" s="3">
        <f>'Zarrah-Conversion'!G146</f>
        <v/>
      </c>
      <c r="I981" s="5">
        <f>'Zarrah-Conversion'!H146</f>
        <v/>
      </c>
      <c r="J981" s="5">
        <f>'Zarrah-Conversion'!I146</f>
        <v/>
      </c>
      <c r="K981" s="6">
        <f>'Zarrah-Conversion'!J146</f>
        <v/>
      </c>
      <c r="L981" s="13">
        <f>'Zarrah-Conversion'!K146</f>
        <v/>
      </c>
      <c r="M981" s="6">
        <f>'Zarrah-Conversion'!N146</f>
        <v/>
      </c>
      <c r="N981" s="3">
        <f>'Zarrah-Conversion'!O146</f>
        <v/>
      </c>
      <c r="O981" s="3">
        <f>'Zarrah-Conversion'!P146</f>
        <v/>
      </c>
    </row>
    <row r="982" ht="18" customHeight="1" s="96">
      <c r="A982" s="93" t="inlineStr">
        <is>
          <t>Person B</t>
        </is>
      </c>
      <c r="B982" s="93">
        <f>'Zarrah-Conversion'!A147</f>
        <v/>
      </c>
      <c r="C982" s="8">
        <f>'Zarrah-Conversion'!B147</f>
        <v/>
      </c>
      <c r="D982" s="8">
        <f>'Zarrah-Conversion'!C147</f>
        <v/>
      </c>
      <c r="E982" s="8">
        <f>'Zarrah-Conversion'!D147</f>
        <v/>
      </c>
      <c r="F982" s="8">
        <f>'Zarrah-Conversion'!E147</f>
        <v/>
      </c>
      <c r="G982" s="9">
        <f>'Zarrah-Conversion'!F147</f>
        <v/>
      </c>
      <c r="H982" s="8">
        <f>'Zarrah-Conversion'!G147</f>
        <v/>
      </c>
      <c r="I982" s="10">
        <f>'Zarrah-Conversion'!H147</f>
        <v/>
      </c>
      <c r="J982" s="10">
        <f>'Zarrah-Conversion'!I147</f>
        <v/>
      </c>
      <c r="K982" s="11">
        <f>'Zarrah-Conversion'!J147</f>
        <v/>
      </c>
      <c r="L982" s="12">
        <f>'Zarrah-Conversion'!K147</f>
        <v/>
      </c>
      <c r="M982" s="11">
        <f>'Zarrah-Conversion'!N147</f>
        <v/>
      </c>
      <c r="N982" s="8">
        <f>'Zarrah-Conversion'!O147</f>
        <v/>
      </c>
      <c r="O982" s="8">
        <f>'Zarrah-Conversion'!P147</f>
        <v/>
      </c>
    </row>
    <row r="983" ht="18" customHeight="1" s="96">
      <c r="A983" s="2" t="inlineStr">
        <is>
          <t>Person B</t>
        </is>
      </c>
      <c r="B983" s="2">
        <f>'Zarrah-Conversion'!A148</f>
        <v/>
      </c>
      <c r="C983" s="3">
        <f>'Zarrah-Conversion'!B148</f>
        <v/>
      </c>
      <c r="D983" s="3">
        <f>'Zarrah-Conversion'!C148</f>
        <v/>
      </c>
      <c r="E983" s="3">
        <f>'Zarrah-Conversion'!D148</f>
        <v/>
      </c>
      <c r="F983" s="3">
        <f>'Zarrah-Conversion'!E148</f>
        <v/>
      </c>
      <c r="G983" s="4">
        <f>'Zarrah-Conversion'!F148</f>
        <v/>
      </c>
      <c r="H983" s="3">
        <f>'Zarrah-Conversion'!G148</f>
        <v/>
      </c>
      <c r="I983" s="5">
        <f>'Zarrah-Conversion'!H148</f>
        <v/>
      </c>
      <c r="J983" s="5">
        <f>'Zarrah-Conversion'!I148</f>
        <v/>
      </c>
      <c r="K983" s="6">
        <f>'Zarrah-Conversion'!J148</f>
        <v/>
      </c>
      <c r="L983" s="13">
        <f>'Zarrah-Conversion'!K148</f>
        <v/>
      </c>
      <c r="M983" s="6">
        <f>'Zarrah-Conversion'!N148</f>
        <v/>
      </c>
      <c r="N983" s="3">
        <f>'Zarrah-Conversion'!O148</f>
        <v/>
      </c>
      <c r="O983" s="3">
        <f>'Zarrah-Conversion'!P148</f>
        <v/>
      </c>
    </row>
    <row r="984" ht="18" customHeight="1" s="96">
      <c r="A984" s="93" t="inlineStr">
        <is>
          <t>Person B</t>
        </is>
      </c>
      <c r="B984" s="93">
        <f>'Zarrah-Conversion'!A149</f>
        <v/>
      </c>
      <c r="C984" s="8">
        <f>'Zarrah-Conversion'!B149</f>
        <v/>
      </c>
      <c r="D984" s="8">
        <f>'Zarrah-Conversion'!C149</f>
        <v/>
      </c>
      <c r="E984" s="8">
        <f>'Zarrah-Conversion'!D149</f>
        <v/>
      </c>
      <c r="F984" s="8">
        <f>'Zarrah-Conversion'!E149</f>
        <v/>
      </c>
      <c r="G984" s="9">
        <f>'Zarrah-Conversion'!F149</f>
        <v/>
      </c>
      <c r="H984" s="8">
        <f>'Zarrah-Conversion'!G149</f>
        <v/>
      </c>
      <c r="I984" s="10">
        <f>'Zarrah-Conversion'!H149</f>
        <v/>
      </c>
      <c r="J984" s="10">
        <f>'Zarrah-Conversion'!I149</f>
        <v/>
      </c>
      <c r="K984" s="11">
        <f>'Zarrah-Conversion'!J149</f>
        <v/>
      </c>
      <c r="L984" s="12">
        <f>'Zarrah-Conversion'!K149</f>
        <v/>
      </c>
      <c r="M984" s="11">
        <f>'Zarrah-Conversion'!N149</f>
        <v/>
      </c>
      <c r="N984" s="8">
        <f>'Zarrah-Conversion'!O149</f>
        <v/>
      </c>
      <c r="O984" s="8">
        <f>'Zarrah-Conversion'!P149</f>
        <v/>
      </c>
    </row>
    <row r="985" ht="18" customHeight="1" s="96">
      <c r="A985" s="2" t="inlineStr">
        <is>
          <t>Person B</t>
        </is>
      </c>
      <c r="B985" s="2">
        <f>'Zarrah-Conversion'!A150</f>
        <v/>
      </c>
      <c r="C985" s="3">
        <f>'Zarrah-Conversion'!B150</f>
        <v/>
      </c>
      <c r="D985" s="3">
        <f>'Zarrah-Conversion'!C150</f>
        <v/>
      </c>
      <c r="E985" s="3">
        <f>'Zarrah-Conversion'!D150</f>
        <v/>
      </c>
      <c r="F985" s="3">
        <f>'Zarrah-Conversion'!E150</f>
        <v/>
      </c>
      <c r="G985" s="4">
        <f>'Zarrah-Conversion'!F150</f>
        <v/>
      </c>
      <c r="H985" s="3">
        <f>'Zarrah-Conversion'!G150</f>
        <v/>
      </c>
      <c r="I985" s="5">
        <f>'Zarrah-Conversion'!H150</f>
        <v/>
      </c>
      <c r="J985" s="5">
        <f>'Zarrah-Conversion'!I150</f>
        <v/>
      </c>
      <c r="K985" s="6">
        <f>'Zarrah-Conversion'!J150</f>
        <v/>
      </c>
      <c r="L985" s="13">
        <f>'Zarrah-Conversion'!K150</f>
        <v/>
      </c>
      <c r="M985" s="6">
        <f>'Zarrah-Conversion'!N150</f>
        <v/>
      </c>
      <c r="N985" s="3">
        <f>'Zarrah-Conversion'!O150</f>
        <v/>
      </c>
      <c r="O985" s="3">
        <f>'Zarrah-Conversion'!P150</f>
        <v/>
      </c>
    </row>
    <row r="986" ht="18" customHeight="1" s="96">
      <c r="A986" s="93" t="inlineStr">
        <is>
          <t>Person B</t>
        </is>
      </c>
      <c r="B986" s="93">
        <f>'Zarrah-Conversion'!A151</f>
        <v/>
      </c>
      <c r="C986" s="8">
        <f>'Zarrah-Conversion'!B151</f>
        <v/>
      </c>
      <c r="D986" s="8">
        <f>'Zarrah-Conversion'!C151</f>
        <v/>
      </c>
      <c r="E986" s="8">
        <f>'Zarrah-Conversion'!D151</f>
        <v/>
      </c>
      <c r="F986" s="8">
        <f>'Zarrah-Conversion'!E151</f>
        <v/>
      </c>
      <c r="G986" s="9">
        <f>'Zarrah-Conversion'!F151</f>
        <v/>
      </c>
      <c r="H986" s="8">
        <f>'Zarrah-Conversion'!G151</f>
        <v/>
      </c>
      <c r="I986" s="10">
        <f>'Zarrah-Conversion'!H151</f>
        <v/>
      </c>
      <c r="J986" s="10">
        <f>'Zarrah-Conversion'!I151</f>
        <v/>
      </c>
      <c r="K986" s="11">
        <f>'Zarrah-Conversion'!J151</f>
        <v/>
      </c>
      <c r="L986" s="12">
        <f>'Zarrah-Conversion'!K151</f>
        <v/>
      </c>
      <c r="M986" s="11">
        <f>'Zarrah-Conversion'!N151</f>
        <v/>
      </c>
      <c r="N986" s="8">
        <f>'Zarrah-Conversion'!O151</f>
        <v/>
      </c>
      <c r="O986" s="8">
        <f>'Zarrah-Conversion'!P151</f>
        <v/>
      </c>
    </row>
    <row r="987" ht="18" customHeight="1" s="96">
      <c r="A987" s="2" t="inlineStr">
        <is>
          <t>Person B</t>
        </is>
      </c>
      <c r="B987" s="2">
        <f>'Zarrah-Conversion'!A152</f>
        <v/>
      </c>
      <c r="C987" s="3">
        <f>'Zarrah-Conversion'!B152</f>
        <v/>
      </c>
      <c r="D987" s="3">
        <f>'Zarrah-Conversion'!C152</f>
        <v/>
      </c>
      <c r="E987" s="3">
        <f>'Zarrah-Conversion'!D152</f>
        <v/>
      </c>
      <c r="F987" s="3">
        <f>'Zarrah-Conversion'!E152</f>
        <v/>
      </c>
      <c r="G987" s="4">
        <f>'Zarrah-Conversion'!F152</f>
        <v/>
      </c>
      <c r="H987" s="3">
        <f>'Zarrah-Conversion'!G152</f>
        <v/>
      </c>
      <c r="I987" s="5">
        <f>'Zarrah-Conversion'!H152</f>
        <v/>
      </c>
      <c r="J987" s="5">
        <f>'Zarrah-Conversion'!I152</f>
        <v/>
      </c>
      <c r="K987" s="6">
        <f>'Zarrah-Conversion'!J152</f>
        <v/>
      </c>
      <c r="L987" s="13">
        <f>'Zarrah-Conversion'!K152</f>
        <v/>
      </c>
      <c r="M987" s="6">
        <f>'Zarrah-Conversion'!N152</f>
        <v/>
      </c>
      <c r="N987" s="3">
        <f>'Zarrah-Conversion'!O152</f>
        <v/>
      </c>
      <c r="O987" s="3">
        <f>'Zarrah-Conversion'!P152</f>
        <v/>
      </c>
    </row>
    <row r="988" ht="18" customHeight="1" s="96">
      <c r="A988" s="93" t="inlineStr">
        <is>
          <t>Person B</t>
        </is>
      </c>
      <c r="B988" s="93">
        <f>'Zarrah-Conversion'!A153</f>
        <v/>
      </c>
      <c r="C988" s="8">
        <f>'Zarrah-Conversion'!B153</f>
        <v/>
      </c>
      <c r="D988" s="8">
        <f>'Zarrah-Conversion'!C153</f>
        <v/>
      </c>
      <c r="E988" s="8">
        <f>'Zarrah-Conversion'!D153</f>
        <v/>
      </c>
      <c r="F988" s="8">
        <f>'Zarrah-Conversion'!E153</f>
        <v/>
      </c>
      <c r="G988" s="9">
        <f>'Zarrah-Conversion'!F153</f>
        <v/>
      </c>
      <c r="H988" s="8">
        <f>'Zarrah-Conversion'!G153</f>
        <v/>
      </c>
      <c r="I988" s="10">
        <f>'Zarrah-Conversion'!H153</f>
        <v/>
      </c>
      <c r="J988" s="10">
        <f>'Zarrah-Conversion'!I153</f>
        <v/>
      </c>
      <c r="K988" s="11">
        <f>'Zarrah-Conversion'!J153</f>
        <v/>
      </c>
      <c r="L988" s="12">
        <f>'Zarrah-Conversion'!K153</f>
        <v/>
      </c>
      <c r="M988" s="11">
        <f>'Zarrah-Conversion'!N153</f>
        <v/>
      </c>
      <c r="N988" s="8">
        <f>'Zarrah-Conversion'!O153</f>
        <v/>
      </c>
      <c r="O988" s="8">
        <f>'Zarrah-Conversion'!P153</f>
        <v/>
      </c>
    </row>
    <row r="989" ht="18" customHeight="1" s="96">
      <c r="A989" s="2" t="inlineStr">
        <is>
          <t>Person B</t>
        </is>
      </c>
      <c r="B989" s="2">
        <f>'Zarrah-Conversion'!A154</f>
        <v/>
      </c>
      <c r="C989" s="3">
        <f>'Zarrah-Conversion'!B154</f>
        <v/>
      </c>
      <c r="D989" s="3">
        <f>'Zarrah-Conversion'!C154</f>
        <v/>
      </c>
      <c r="E989" s="3">
        <f>'Zarrah-Conversion'!D154</f>
        <v/>
      </c>
      <c r="F989" s="3">
        <f>'Zarrah-Conversion'!E154</f>
        <v/>
      </c>
      <c r="G989" s="4">
        <f>'Zarrah-Conversion'!F154</f>
        <v/>
      </c>
      <c r="H989" s="3">
        <f>'Zarrah-Conversion'!G154</f>
        <v/>
      </c>
      <c r="I989" s="5">
        <f>'Zarrah-Conversion'!H154</f>
        <v/>
      </c>
      <c r="J989" s="5">
        <f>'Zarrah-Conversion'!I154</f>
        <v/>
      </c>
      <c r="K989" s="6">
        <f>'Zarrah-Conversion'!J154</f>
        <v/>
      </c>
      <c r="L989" s="13">
        <f>'Zarrah-Conversion'!K154</f>
        <v/>
      </c>
      <c r="M989" s="6">
        <f>'Zarrah-Conversion'!N154</f>
        <v/>
      </c>
      <c r="N989" s="3">
        <f>'Zarrah-Conversion'!O154</f>
        <v/>
      </c>
      <c r="O989" s="3">
        <f>'Zarrah-Conversion'!P154</f>
        <v/>
      </c>
    </row>
    <row r="990" ht="18" customHeight="1" s="96">
      <c r="A990" s="93" t="inlineStr">
        <is>
          <t>Person B</t>
        </is>
      </c>
      <c r="B990" s="93">
        <f>'Zarrah-Conversion'!A155</f>
        <v/>
      </c>
      <c r="C990" s="8">
        <f>'Zarrah-Conversion'!B155</f>
        <v/>
      </c>
      <c r="D990" s="8">
        <f>'Zarrah-Conversion'!C155</f>
        <v/>
      </c>
      <c r="E990" s="8">
        <f>'Zarrah-Conversion'!D155</f>
        <v/>
      </c>
      <c r="F990" s="8">
        <f>'Zarrah-Conversion'!E155</f>
        <v/>
      </c>
      <c r="G990" s="9">
        <f>'Zarrah-Conversion'!F155</f>
        <v/>
      </c>
      <c r="H990" s="8">
        <f>'Zarrah-Conversion'!G155</f>
        <v/>
      </c>
      <c r="I990" s="10">
        <f>'Zarrah-Conversion'!H155</f>
        <v/>
      </c>
      <c r="J990" s="10">
        <f>'Zarrah-Conversion'!I155</f>
        <v/>
      </c>
      <c r="K990" s="11">
        <f>'Zarrah-Conversion'!J155</f>
        <v/>
      </c>
      <c r="L990" s="12">
        <f>'Zarrah-Conversion'!K155</f>
        <v/>
      </c>
      <c r="M990" s="11">
        <f>'Zarrah-Conversion'!N155</f>
        <v/>
      </c>
      <c r="N990" s="8">
        <f>'Zarrah-Conversion'!O155</f>
        <v/>
      </c>
      <c r="O990" s="8">
        <f>'Zarrah-Conversion'!P155</f>
        <v/>
      </c>
    </row>
    <row r="991" ht="18" customHeight="1" s="96">
      <c r="A991" s="2" t="inlineStr">
        <is>
          <t>Person B</t>
        </is>
      </c>
      <c r="B991" s="2">
        <f>'Zarrah-Conversion'!A156</f>
        <v/>
      </c>
      <c r="C991" s="3">
        <f>'Zarrah-Conversion'!B156</f>
        <v/>
      </c>
      <c r="D991" s="3">
        <f>'Zarrah-Conversion'!C156</f>
        <v/>
      </c>
      <c r="E991" s="3">
        <f>'Zarrah-Conversion'!D156</f>
        <v/>
      </c>
      <c r="F991" s="3">
        <f>'Zarrah-Conversion'!E156</f>
        <v/>
      </c>
      <c r="G991" s="4">
        <f>'Zarrah-Conversion'!F156</f>
        <v/>
      </c>
      <c r="H991" s="3">
        <f>'Zarrah-Conversion'!G156</f>
        <v/>
      </c>
      <c r="I991" s="5">
        <f>'Zarrah-Conversion'!H156</f>
        <v/>
      </c>
      <c r="J991" s="5">
        <f>'Zarrah-Conversion'!I156</f>
        <v/>
      </c>
      <c r="K991" s="6">
        <f>'Zarrah-Conversion'!J156</f>
        <v/>
      </c>
      <c r="L991" s="13">
        <f>'Zarrah-Conversion'!K156</f>
        <v/>
      </c>
      <c r="M991" s="6">
        <f>'Zarrah-Conversion'!N156</f>
        <v/>
      </c>
      <c r="N991" s="3">
        <f>'Zarrah-Conversion'!O156</f>
        <v/>
      </c>
      <c r="O991" s="3">
        <f>'Zarrah-Conversion'!P156</f>
        <v/>
      </c>
    </row>
    <row r="992" ht="18" customHeight="1" s="96">
      <c r="A992" s="93" t="inlineStr">
        <is>
          <t>Person B</t>
        </is>
      </c>
      <c r="B992" s="93">
        <f>'Zarrah-Conversion'!A157</f>
        <v/>
      </c>
      <c r="C992" s="8">
        <f>'Zarrah-Conversion'!B157</f>
        <v/>
      </c>
      <c r="D992" s="8">
        <f>'Zarrah-Conversion'!C157</f>
        <v/>
      </c>
      <c r="E992" s="8">
        <f>'Zarrah-Conversion'!D157</f>
        <v/>
      </c>
      <c r="F992" s="8">
        <f>'Zarrah-Conversion'!E157</f>
        <v/>
      </c>
      <c r="G992" s="9">
        <f>'Zarrah-Conversion'!F157</f>
        <v/>
      </c>
      <c r="H992" s="8">
        <f>'Zarrah-Conversion'!G157</f>
        <v/>
      </c>
      <c r="I992" s="10">
        <f>'Zarrah-Conversion'!H157</f>
        <v/>
      </c>
      <c r="J992" s="10">
        <f>'Zarrah-Conversion'!I157</f>
        <v/>
      </c>
      <c r="K992" s="11">
        <f>'Zarrah-Conversion'!J157</f>
        <v/>
      </c>
      <c r="L992" s="12">
        <f>'Zarrah-Conversion'!K157</f>
        <v/>
      </c>
      <c r="M992" s="11">
        <f>'Zarrah-Conversion'!N157</f>
        <v/>
      </c>
      <c r="N992" s="8">
        <f>'Zarrah-Conversion'!O157</f>
        <v/>
      </c>
      <c r="O992" s="8">
        <f>'Zarrah-Conversion'!P157</f>
        <v/>
      </c>
    </row>
    <row r="993" ht="18" customHeight="1" s="96">
      <c r="A993" s="2" t="inlineStr">
        <is>
          <t>Person B</t>
        </is>
      </c>
      <c r="B993" s="2">
        <f>'Zarrah-Conversion'!A158</f>
        <v/>
      </c>
      <c r="C993" s="3">
        <f>'Zarrah-Conversion'!B158</f>
        <v/>
      </c>
      <c r="D993" s="3">
        <f>'Zarrah-Conversion'!C158</f>
        <v/>
      </c>
      <c r="E993" s="3">
        <f>'Zarrah-Conversion'!D158</f>
        <v/>
      </c>
      <c r="F993" s="3">
        <f>'Zarrah-Conversion'!E158</f>
        <v/>
      </c>
      <c r="G993" s="4">
        <f>'Zarrah-Conversion'!F158</f>
        <v/>
      </c>
      <c r="H993" s="3">
        <f>'Zarrah-Conversion'!G158</f>
        <v/>
      </c>
      <c r="I993" s="5">
        <f>'Zarrah-Conversion'!H158</f>
        <v/>
      </c>
      <c r="J993" s="5">
        <f>'Zarrah-Conversion'!I158</f>
        <v/>
      </c>
      <c r="K993" s="6">
        <f>'Zarrah-Conversion'!J158</f>
        <v/>
      </c>
      <c r="L993" s="13">
        <f>'Zarrah-Conversion'!K158</f>
        <v/>
      </c>
      <c r="M993" s="6">
        <f>'Zarrah-Conversion'!N158</f>
        <v/>
      </c>
      <c r="N993" s="3">
        <f>'Zarrah-Conversion'!O158</f>
        <v/>
      </c>
      <c r="O993" s="3">
        <f>'Zarrah-Conversion'!P158</f>
        <v/>
      </c>
    </row>
    <row r="994" ht="18" customHeight="1" s="96">
      <c r="A994" s="93" t="inlineStr">
        <is>
          <t>Person B</t>
        </is>
      </c>
      <c r="B994" s="93">
        <f>'Zarrah-Conversion'!A159</f>
        <v/>
      </c>
      <c r="C994" s="8">
        <f>'Zarrah-Conversion'!B159</f>
        <v/>
      </c>
      <c r="D994" s="8">
        <f>'Zarrah-Conversion'!C159</f>
        <v/>
      </c>
      <c r="E994" s="8">
        <f>'Zarrah-Conversion'!D159</f>
        <v/>
      </c>
      <c r="F994" s="8">
        <f>'Zarrah-Conversion'!E159</f>
        <v/>
      </c>
      <c r="G994" s="9">
        <f>'Zarrah-Conversion'!F159</f>
        <v/>
      </c>
      <c r="H994" s="8">
        <f>'Zarrah-Conversion'!G159</f>
        <v/>
      </c>
      <c r="I994" s="10">
        <f>'Zarrah-Conversion'!H159</f>
        <v/>
      </c>
      <c r="J994" s="10">
        <f>'Zarrah-Conversion'!I159</f>
        <v/>
      </c>
      <c r="K994" s="11">
        <f>'Zarrah-Conversion'!J159</f>
        <v/>
      </c>
      <c r="L994" s="12">
        <f>'Zarrah-Conversion'!K159</f>
        <v/>
      </c>
      <c r="M994" s="11">
        <f>'Zarrah-Conversion'!N159</f>
        <v/>
      </c>
      <c r="N994" s="8">
        <f>'Zarrah-Conversion'!O159</f>
        <v/>
      </c>
      <c r="O994" s="8">
        <f>'Zarrah-Conversion'!P159</f>
        <v/>
      </c>
    </row>
    <row r="995" ht="18" customHeight="1" s="96">
      <c r="A995" s="2" t="inlineStr">
        <is>
          <t>Person B</t>
        </is>
      </c>
      <c r="B995" s="2">
        <f>'Zarrah-Conversion'!A160</f>
        <v/>
      </c>
      <c r="C995" s="3">
        <f>'Zarrah-Conversion'!B160</f>
        <v/>
      </c>
      <c r="D995" s="3">
        <f>'Zarrah-Conversion'!C160</f>
        <v/>
      </c>
      <c r="E995" s="3">
        <f>'Zarrah-Conversion'!D160</f>
        <v/>
      </c>
      <c r="F995" s="3">
        <f>'Zarrah-Conversion'!E160</f>
        <v/>
      </c>
      <c r="G995" s="4">
        <f>'Zarrah-Conversion'!F160</f>
        <v/>
      </c>
      <c r="H995" s="3">
        <f>'Zarrah-Conversion'!G160</f>
        <v/>
      </c>
      <c r="I995" s="5">
        <f>'Zarrah-Conversion'!H160</f>
        <v/>
      </c>
      <c r="J995" s="5">
        <f>'Zarrah-Conversion'!I160</f>
        <v/>
      </c>
      <c r="K995" s="6">
        <f>'Zarrah-Conversion'!J160</f>
        <v/>
      </c>
      <c r="L995" s="13">
        <f>'Zarrah-Conversion'!K160</f>
        <v/>
      </c>
      <c r="M995" s="6">
        <f>'Zarrah-Conversion'!N160</f>
        <v/>
      </c>
      <c r="N995" s="3">
        <f>'Zarrah-Conversion'!O160</f>
        <v/>
      </c>
      <c r="O995" s="3">
        <f>'Zarrah-Conversion'!P160</f>
        <v/>
      </c>
    </row>
    <row r="996" ht="18" customHeight="1" s="96">
      <c r="A996" s="93" t="inlineStr">
        <is>
          <t>Person B</t>
        </is>
      </c>
      <c r="B996" s="93">
        <f>'Zarrah-Conversion'!A161</f>
        <v/>
      </c>
      <c r="C996" s="8">
        <f>'Zarrah-Conversion'!B161</f>
        <v/>
      </c>
      <c r="D996" s="8">
        <f>'Zarrah-Conversion'!C161</f>
        <v/>
      </c>
      <c r="E996" s="8">
        <f>'Zarrah-Conversion'!D161</f>
        <v/>
      </c>
      <c r="F996" s="8">
        <f>'Zarrah-Conversion'!E161</f>
        <v/>
      </c>
      <c r="G996" s="9">
        <f>'Zarrah-Conversion'!F161</f>
        <v/>
      </c>
      <c r="H996" s="8">
        <f>'Zarrah-Conversion'!G161</f>
        <v/>
      </c>
      <c r="I996" s="10">
        <f>'Zarrah-Conversion'!H161</f>
        <v/>
      </c>
      <c r="J996" s="10">
        <f>'Zarrah-Conversion'!I161</f>
        <v/>
      </c>
      <c r="K996" s="11">
        <f>'Zarrah-Conversion'!J161</f>
        <v/>
      </c>
      <c r="L996" s="12">
        <f>'Zarrah-Conversion'!K161</f>
        <v/>
      </c>
      <c r="M996" s="11">
        <f>'Zarrah-Conversion'!N161</f>
        <v/>
      </c>
      <c r="N996" s="8">
        <f>'Zarrah-Conversion'!O161</f>
        <v/>
      </c>
      <c r="O996" s="8">
        <f>'Zarrah-Conversion'!P161</f>
        <v/>
      </c>
    </row>
    <row r="997" ht="18" customHeight="1" s="96">
      <c r="A997" s="2" t="inlineStr">
        <is>
          <t>Person B</t>
        </is>
      </c>
      <c r="B997" s="2">
        <f>'Zarrah-Conversion'!A162</f>
        <v/>
      </c>
      <c r="C997" s="3">
        <f>'Zarrah-Conversion'!B162</f>
        <v/>
      </c>
      <c r="D997" s="3">
        <f>'Zarrah-Conversion'!C162</f>
        <v/>
      </c>
      <c r="E997" s="3">
        <f>'Zarrah-Conversion'!D162</f>
        <v/>
      </c>
      <c r="F997" s="3">
        <f>'Zarrah-Conversion'!E162</f>
        <v/>
      </c>
      <c r="G997" s="4">
        <f>'Zarrah-Conversion'!F162</f>
        <v/>
      </c>
      <c r="H997" s="3">
        <f>'Zarrah-Conversion'!G162</f>
        <v/>
      </c>
      <c r="I997" s="5">
        <f>'Zarrah-Conversion'!H162</f>
        <v/>
      </c>
      <c r="J997" s="5">
        <f>'Zarrah-Conversion'!I162</f>
        <v/>
      </c>
      <c r="K997" s="6">
        <f>'Zarrah-Conversion'!J162</f>
        <v/>
      </c>
      <c r="L997" s="13">
        <f>'Zarrah-Conversion'!K162</f>
        <v/>
      </c>
      <c r="M997" s="6">
        <f>'Zarrah-Conversion'!N162</f>
        <v/>
      </c>
      <c r="N997" s="3">
        <f>'Zarrah-Conversion'!O162</f>
        <v/>
      </c>
      <c r="O997" s="3">
        <f>'Zarrah-Conversion'!P162</f>
        <v/>
      </c>
    </row>
    <row r="998" ht="18" customHeight="1" s="96">
      <c r="A998" s="93" t="inlineStr">
        <is>
          <t>Person B</t>
        </is>
      </c>
      <c r="B998" s="93">
        <f>'Zarrah-Conversion'!A163</f>
        <v/>
      </c>
      <c r="C998" s="8">
        <f>'Zarrah-Conversion'!B163</f>
        <v/>
      </c>
      <c r="D998" s="8">
        <f>'Zarrah-Conversion'!C163</f>
        <v/>
      </c>
      <c r="E998" s="8">
        <f>'Zarrah-Conversion'!D163</f>
        <v/>
      </c>
      <c r="F998" s="8">
        <f>'Zarrah-Conversion'!E163</f>
        <v/>
      </c>
      <c r="G998" s="9">
        <f>'Zarrah-Conversion'!F163</f>
        <v/>
      </c>
      <c r="H998" s="8">
        <f>'Zarrah-Conversion'!G163</f>
        <v/>
      </c>
      <c r="I998" s="10">
        <f>'Zarrah-Conversion'!H163</f>
        <v/>
      </c>
      <c r="J998" s="10">
        <f>'Zarrah-Conversion'!I163</f>
        <v/>
      </c>
      <c r="K998" s="11">
        <f>'Zarrah-Conversion'!J163</f>
        <v/>
      </c>
      <c r="L998" s="12">
        <f>'Zarrah-Conversion'!K163</f>
        <v/>
      </c>
      <c r="M998" s="11">
        <f>'Zarrah-Conversion'!N163</f>
        <v/>
      </c>
      <c r="N998" s="8">
        <f>'Zarrah-Conversion'!O163</f>
        <v/>
      </c>
      <c r="O998" s="8">
        <f>'Zarrah-Conversion'!P163</f>
        <v/>
      </c>
    </row>
    <row r="999" ht="18" customHeight="1" s="96">
      <c r="A999" s="2" t="inlineStr">
        <is>
          <t>Person B</t>
        </is>
      </c>
      <c r="B999" s="2">
        <f>'Zarrah-Conversion'!A164</f>
        <v/>
      </c>
      <c r="C999" s="3">
        <f>'Zarrah-Conversion'!B164</f>
        <v/>
      </c>
      <c r="D999" s="3">
        <f>'Zarrah-Conversion'!C164</f>
        <v/>
      </c>
      <c r="E999" s="3">
        <f>'Zarrah-Conversion'!D164</f>
        <v/>
      </c>
      <c r="F999" s="3">
        <f>'Zarrah-Conversion'!E164</f>
        <v/>
      </c>
      <c r="G999" s="4">
        <f>'Zarrah-Conversion'!F164</f>
        <v/>
      </c>
      <c r="H999" s="3">
        <f>'Zarrah-Conversion'!G164</f>
        <v/>
      </c>
      <c r="I999" s="5">
        <f>'Zarrah-Conversion'!H164</f>
        <v/>
      </c>
      <c r="J999" s="5">
        <f>'Zarrah-Conversion'!I164</f>
        <v/>
      </c>
      <c r="K999" s="6">
        <f>'Zarrah-Conversion'!J164</f>
        <v/>
      </c>
      <c r="L999" s="13">
        <f>'Zarrah-Conversion'!K164</f>
        <v/>
      </c>
      <c r="M999" s="6">
        <f>'Zarrah-Conversion'!N164</f>
        <v/>
      </c>
      <c r="N999" s="3">
        <f>'Zarrah-Conversion'!O164</f>
        <v/>
      </c>
      <c r="O999" s="3">
        <f>'Zarrah-Conversion'!P164</f>
        <v/>
      </c>
    </row>
    <row r="1000" ht="18" customHeight="1" s="96">
      <c r="A1000" s="93" t="inlineStr">
        <is>
          <t>Person B</t>
        </is>
      </c>
      <c r="B1000" s="93">
        <f>'Zarrah-Conversion'!A165</f>
        <v/>
      </c>
      <c r="C1000" s="8">
        <f>'Zarrah-Conversion'!B165</f>
        <v/>
      </c>
      <c r="D1000" s="8">
        <f>'Zarrah-Conversion'!C165</f>
        <v/>
      </c>
      <c r="E1000" s="8">
        <f>'Zarrah-Conversion'!D165</f>
        <v/>
      </c>
      <c r="F1000" s="8">
        <f>'Zarrah-Conversion'!E165</f>
        <v/>
      </c>
      <c r="G1000" s="9">
        <f>'Zarrah-Conversion'!F165</f>
        <v/>
      </c>
      <c r="H1000" s="8">
        <f>'Zarrah-Conversion'!G165</f>
        <v/>
      </c>
      <c r="I1000" s="10">
        <f>'Zarrah-Conversion'!H165</f>
        <v/>
      </c>
      <c r="J1000" s="10">
        <f>'Zarrah-Conversion'!I165</f>
        <v/>
      </c>
      <c r="K1000" s="11">
        <f>'Zarrah-Conversion'!J165</f>
        <v/>
      </c>
      <c r="L1000" s="12">
        <f>'Zarrah-Conversion'!K165</f>
        <v/>
      </c>
      <c r="M1000" s="11">
        <f>'Zarrah-Conversion'!N165</f>
        <v/>
      </c>
      <c r="N1000" s="8">
        <f>'Zarrah-Conversion'!O165</f>
        <v/>
      </c>
      <c r="O1000" s="8">
        <f>'Zarrah-Conversion'!P165</f>
        <v/>
      </c>
    </row>
    <row r="1001" ht="18" customHeight="1" s="96">
      <c r="A1001" s="2" t="inlineStr">
        <is>
          <t>Person B</t>
        </is>
      </c>
      <c r="B1001" s="2">
        <f>'Zarrah-Conversion'!A166</f>
        <v/>
      </c>
      <c r="C1001" s="3">
        <f>'Zarrah-Conversion'!B166</f>
        <v/>
      </c>
      <c r="D1001" s="3">
        <f>'Zarrah-Conversion'!C166</f>
        <v/>
      </c>
      <c r="E1001" s="3">
        <f>'Zarrah-Conversion'!D166</f>
        <v/>
      </c>
      <c r="F1001" s="3">
        <f>'Zarrah-Conversion'!E166</f>
        <v/>
      </c>
      <c r="G1001" s="4">
        <f>'Zarrah-Conversion'!F166</f>
        <v/>
      </c>
      <c r="H1001" s="3">
        <f>'Zarrah-Conversion'!G166</f>
        <v/>
      </c>
      <c r="I1001" s="5">
        <f>'Zarrah-Conversion'!H166</f>
        <v/>
      </c>
      <c r="J1001" s="5">
        <f>'Zarrah-Conversion'!I166</f>
        <v/>
      </c>
      <c r="K1001" s="6">
        <f>'Zarrah-Conversion'!J166</f>
        <v/>
      </c>
      <c r="L1001" s="13">
        <f>'Zarrah-Conversion'!K166</f>
        <v/>
      </c>
      <c r="M1001" s="6">
        <f>'Zarrah-Conversion'!N166</f>
        <v/>
      </c>
      <c r="N1001" s="3">
        <f>'Zarrah-Conversion'!O166</f>
        <v/>
      </c>
      <c r="O1001" s="3">
        <f>'Zarrah-Conversion'!P166</f>
        <v/>
      </c>
    </row>
    <row r="1002" ht="18" customHeight="1" s="96">
      <c r="A1002" s="93" t="inlineStr">
        <is>
          <t>Person B</t>
        </is>
      </c>
      <c r="B1002" s="93">
        <f>'Zarrah-Conversion'!A167</f>
        <v/>
      </c>
      <c r="C1002" s="8">
        <f>'Zarrah-Conversion'!B167</f>
        <v/>
      </c>
      <c r="D1002" s="8">
        <f>'Zarrah-Conversion'!C167</f>
        <v/>
      </c>
      <c r="E1002" s="8">
        <f>'Zarrah-Conversion'!D167</f>
        <v/>
      </c>
      <c r="F1002" s="8">
        <f>'Zarrah-Conversion'!E167</f>
        <v/>
      </c>
      <c r="G1002" s="9">
        <f>'Zarrah-Conversion'!F167</f>
        <v/>
      </c>
      <c r="H1002" s="8">
        <f>'Zarrah-Conversion'!G167</f>
        <v/>
      </c>
      <c r="I1002" s="10">
        <f>'Zarrah-Conversion'!H167</f>
        <v/>
      </c>
      <c r="J1002" s="10">
        <f>'Zarrah-Conversion'!I167</f>
        <v/>
      </c>
      <c r="K1002" s="11">
        <f>'Zarrah-Conversion'!J167</f>
        <v/>
      </c>
      <c r="L1002" s="12">
        <f>'Zarrah-Conversion'!K167</f>
        <v/>
      </c>
      <c r="M1002" s="11">
        <f>'Zarrah-Conversion'!N167</f>
        <v/>
      </c>
      <c r="N1002" s="8">
        <f>'Zarrah-Conversion'!O167</f>
        <v/>
      </c>
      <c r="O1002" s="8">
        <f>'Zarrah-Conversion'!P167</f>
        <v/>
      </c>
    </row>
    <row r="1003" ht="18" customHeight="1" s="96">
      <c r="A1003" s="2" t="inlineStr">
        <is>
          <t>Person B</t>
        </is>
      </c>
      <c r="B1003" s="2">
        <f>'Zarrah-Conversion'!A168</f>
        <v/>
      </c>
      <c r="C1003" s="3">
        <f>'Zarrah-Conversion'!B168</f>
        <v/>
      </c>
      <c r="D1003" s="3">
        <f>'Zarrah-Conversion'!C168</f>
        <v/>
      </c>
      <c r="E1003" s="3">
        <f>'Zarrah-Conversion'!D168</f>
        <v/>
      </c>
      <c r="F1003" s="3">
        <f>'Zarrah-Conversion'!E168</f>
        <v/>
      </c>
      <c r="G1003" s="4">
        <f>'Zarrah-Conversion'!F168</f>
        <v/>
      </c>
      <c r="H1003" s="3">
        <f>'Zarrah-Conversion'!G168</f>
        <v/>
      </c>
      <c r="I1003" s="5">
        <f>'Zarrah-Conversion'!H168</f>
        <v/>
      </c>
      <c r="J1003" s="5">
        <f>'Zarrah-Conversion'!I168</f>
        <v/>
      </c>
      <c r="K1003" s="6">
        <f>'Zarrah-Conversion'!J168</f>
        <v/>
      </c>
      <c r="L1003" s="13">
        <f>'Zarrah-Conversion'!K168</f>
        <v/>
      </c>
      <c r="M1003" s="6">
        <f>'Zarrah-Conversion'!N168</f>
        <v/>
      </c>
      <c r="N1003" s="3">
        <f>'Zarrah-Conversion'!O168</f>
        <v/>
      </c>
      <c r="O1003" s="3">
        <f>'Zarrah-Conversion'!P168</f>
        <v/>
      </c>
    </row>
    <row r="1004" ht="18" customHeight="1" s="96">
      <c r="A1004" s="93" t="inlineStr">
        <is>
          <t>Person B</t>
        </is>
      </c>
      <c r="B1004" s="93">
        <f>'Zarrah-Conversion'!A169</f>
        <v/>
      </c>
      <c r="C1004" s="8">
        <f>'Zarrah-Conversion'!B169</f>
        <v/>
      </c>
      <c r="D1004" s="8">
        <f>'Zarrah-Conversion'!C169</f>
        <v/>
      </c>
      <c r="E1004" s="8">
        <f>'Zarrah-Conversion'!D169</f>
        <v/>
      </c>
      <c r="F1004" s="8">
        <f>'Zarrah-Conversion'!E169</f>
        <v/>
      </c>
      <c r="G1004" s="9">
        <f>'Zarrah-Conversion'!F169</f>
        <v/>
      </c>
      <c r="H1004" s="8">
        <f>'Zarrah-Conversion'!G169</f>
        <v/>
      </c>
      <c r="I1004" s="10">
        <f>'Zarrah-Conversion'!H169</f>
        <v/>
      </c>
      <c r="J1004" s="10">
        <f>'Zarrah-Conversion'!I169</f>
        <v/>
      </c>
      <c r="K1004" s="11">
        <f>'Zarrah-Conversion'!J169</f>
        <v/>
      </c>
      <c r="L1004" s="12">
        <f>'Zarrah-Conversion'!K169</f>
        <v/>
      </c>
      <c r="M1004" s="11">
        <f>'Zarrah-Conversion'!N169</f>
        <v/>
      </c>
      <c r="N1004" s="8">
        <f>'Zarrah-Conversion'!O169</f>
        <v/>
      </c>
      <c r="O1004" s="8">
        <f>'Zarrah-Conversion'!P169</f>
        <v/>
      </c>
    </row>
    <row r="1005" ht="18" customHeight="1" s="96">
      <c r="A1005" s="2" t="inlineStr">
        <is>
          <t>Person B</t>
        </is>
      </c>
      <c r="B1005" s="2">
        <f>'Zarrah-Conversion'!A170</f>
        <v/>
      </c>
      <c r="C1005" s="3">
        <f>'Zarrah-Conversion'!B170</f>
        <v/>
      </c>
      <c r="D1005" s="3">
        <f>'Zarrah-Conversion'!C170</f>
        <v/>
      </c>
      <c r="E1005" s="3">
        <f>'Zarrah-Conversion'!D170</f>
        <v/>
      </c>
      <c r="F1005" s="3">
        <f>'Zarrah-Conversion'!E170</f>
        <v/>
      </c>
      <c r="G1005" s="4">
        <f>'Zarrah-Conversion'!F170</f>
        <v/>
      </c>
      <c r="H1005" s="3">
        <f>'Zarrah-Conversion'!G170</f>
        <v/>
      </c>
      <c r="I1005" s="5">
        <f>'Zarrah-Conversion'!H170</f>
        <v/>
      </c>
      <c r="J1005" s="5">
        <f>'Zarrah-Conversion'!I170</f>
        <v/>
      </c>
      <c r="K1005" s="6">
        <f>'Zarrah-Conversion'!J170</f>
        <v/>
      </c>
      <c r="L1005" s="13">
        <f>'Zarrah-Conversion'!K170</f>
        <v/>
      </c>
      <c r="M1005" s="6">
        <f>'Zarrah-Conversion'!N170</f>
        <v/>
      </c>
      <c r="N1005" s="3">
        <f>'Zarrah-Conversion'!O170</f>
        <v/>
      </c>
      <c r="O1005" s="3">
        <f>'Zarrah-Conversion'!P170</f>
        <v/>
      </c>
    </row>
    <row r="1006" ht="18" customHeight="1" s="96">
      <c r="A1006" s="93" t="inlineStr">
        <is>
          <t>Person B</t>
        </is>
      </c>
      <c r="B1006" s="93">
        <f>'Zarrah-Conversion'!A171</f>
        <v/>
      </c>
      <c r="C1006" s="8">
        <f>'Zarrah-Conversion'!B171</f>
        <v/>
      </c>
      <c r="D1006" s="8">
        <f>'Zarrah-Conversion'!C171</f>
        <v/>
      </c>
      <c r="E1006" s="8">
        <f>'Zarrah-Conversion'!D171</f>
        <v/>
      </c>
      <c r="F1006" s="8">
        <f>'Zarrah-Conversion'!E171</f>
        <v/>
      </c>
      <c r="G1006" s="9">
        <f>'Zarrah-Conversion'!F171</f>
        <v/>
      </c>
      <c r="H1006" s="8">
        <f>'Zarrah-Conversion'!G171</f>
        <v/>
      </c>
      <c r="I1006" s="10">
        <f>'Zarrah-Conversion'!H171</f>
        <v/>
      </c>
      <c r="J1006" s="10">
        <f>'Zarrah-Conversion'!I171</f>
        <v/>
      </c>
      <c r="K1006" s="11">
        <f>'Zarrah-Conversion'!J171</f>
        <v/>
      </c>
      <c r="L1006" s="12">
        <f>'Zarrah-Conversion'!K171</f>
        <v/>
      </c>
      <c r="M1006" s="11">
        <f>'Zarrah-Conversion'!N171</f>
        <v/>
      </c>
      <c r="N1006" s="8">
        <f>'Zarrah-Conversion'!O171</f>
        <v/>
      </c>
      <c r="O1006" s="8">
        <f>'Zarrah-Conversion'!P171</f>
        <v/>
      </c>
    </row>
    <row r="1007" ht="18" customHeight="1" s="96">
      <c r="A1007" s="2" t="inlineStr">
        <is>
          <t>Person B</t>
        </is>
      </c>
      <c r="B1007" s="2">
        <f>'Zarrah-Conversion'!A172</f>
        <v/>
      </c>
      <c r="C1007" s="3">
        <f>'Zarrah-Conversion'!B172</f>
        <v/>
      </c>
      <c r="D1007" s="3">
        <f>'Zarrah-Conversion'!C172</f>
        <v/>
      </c>
      <c r="E1007" s="3">
        <f>'Zarrah-Conversion'!D172</f>
        <v/>
      </c>
      <c r="F1007" s="3">
        <f>'Zarrah-Conversion'!E172</f>
        <v/>
      </c>
      <c r="G1007" s="4">
        <f>'Zarrah-Conversion'!F172</f>
        <v/>
      </c>
      <c r="H1007" s="3">
        <f>'Zarrah-Conversion'!G172</f>
        <v/>
      </c>
      <c r="I1007" s="5">
        <f>'Zarrah-Conversion'!H172</f>
        <v/>
      </c>
      <c r="J1007" s="5">
        <f>'Zarrah-Conversion'!I172</f>
        <v/>
      </c>
      <c r="K1007" s="6">
        <f>'Zarrah-Conversion'!J172</f>
        <v/>
      </c>
      <c r="L1007" s="13">
        <f>'Zarrah-Conversion'!K172</f>
        <v/>
      </c>
      <c r="M1007" s="6">
        <f>'Zarrah-Conversion'!N172</f>
        <v/>
      </c>
      <c r="N1007" s="3">
        <f>'Zarrah-Conversion'!O172</f>
        <v/>
      </c>
      <c r="O1007" s="3">
        <f>'Zarrah-Conversion'!P172</f>
        <v/>
      </c>
    </row>
    <row r="1008" ht="18" customHeight="1" s="96">
      <c r="A1008" s="93" t="inlineStr">
        <is>
          <t>Person B</t>
        </is>
      </c>
      <c r="B1008" s="93">
        <f>'Zarrah-Conversion'!A173</f>
        <v/>
      </c>
      <c r="C1008" s="8">
        <f>'Zarrah-Conversion'!B173</f>
        <v/>
      </c>
      <c r="D1008" s="8">
        <f>'Zarrah-Conversion'!C173</f>
        <v/>
      </c>
      <c r="E1008" s="8">
        <f>'Zarrah-Conversion'!D173</f>
        <v/>
      </c>
      <c r="F1008" s="8">
        <f>'Zarrah-Conversion'!E173</f>
        <v/>
      </c>
      <c r="G1008" s="9">
        <f>'Zarrah-Conversion'!F173</f>
        <v/>
      </c>
      <c r="H1008" s="8">
        <f>'Zarrah-Conversion'!G173</f>
        <v/>
      </c>
      <c r="I1008" s="10">
        <f>'Zarrah-Conversion'!H173</f>
        <v/>
      </c>
      <c r="J1008" s="10">
        <f>'Zarrah-Conversion'!I173</f>
        <v/>
      </c>
      <c r="K1008" s="11">
        <f>'Zarrah-Conversion'!J173</f>
        <v/>
      </c>
      <c r="L1008" s="12">
        <f>'Zarrah-Conversion'!K173</f>
        <v/>
      </c>
      <c r="M1008" s="11">
        <f>'Zarrah-Conversion'!N173</f>
        <v/>
      </c>
      <c r="N1008" s="8">
        <f>'Zarrah-Conversion'!O173</f>
        <v/>
      </c>
      <c r="O1008" s="8">
        <f>'Zarrah-Conversion'!P173</f>
        <v/>
      </c>
    </row>
    <row r="1009" ht="18" customHeight="1" s="96">
      <c r="A1009" s="2" t="inlineStr">
        <is>
          <t>Person B</t>
        </is>
      </c>
      <c r="B1009" s="2">
        <f>'Zarrah-Conversion'!A174</f>
        <v/>
      </c>
      <c r="C1009" s="3">
        <f>'Zarrah-Conversion'!B174</f>
        <v/>
      </c>
      <c r="D1009" s="3">
        <f>'Zarrah-Conversion'!C174</f>
        <v/>
      </c>
      <c r="E1009" s="3">
        <f>'Zarrah-Conversion'!D174</f>
        <v/>
      </c>
      <c r="F1009" s="3">
        <f>'Zarrah-Conversion'!E174</f>
        <v/>
      </c>
      <c r="G1009" s="4">
        <f>'Zarrah-Conversion'!F174</f>
        <v/>
      </c>
      <c r="H1009" s="3">
        <f>'Zarrah-Conversion'!G174</f>
        <v/>
      </c>
      <c r="I1009" s="5">
        <f>'Zarrah-Conversion'!H174</f>
        <v/>
      </c>
      <c r="J1009" s="5">
        <f>'Zarrah-Conversion'!I174</f>
        <v/>
      </c>
      <c r="K1009" s="6">
        <f>'Zarrah-Conversion'!J174</f>
        <v/>
      </c>
      <c r="L1009" s="13">
        <f>'Zarrah-Conversion'!K174</f>
        <v/>
      </c>
      <c r="M1009" s="6">
        <f>'Zarrah-Conversion'!N174</f>
        <v/>
      </c>
      <c r="N1009" s="3">
        <f>'Zarrah-Conversion'!O174</f>
        <v/>
      </c>
      <c r="O1009" s="3">
        <f>'Zarrah-Conversion'!P174</f>
        <v/>
      </c>
    </row>
    <row r="1010" ht="18" customHeight="1" s="96">
      <c r="A1010" s="93" t="inlineStr">
        <is>
          <t>Person B</t>
        </is>
      </c>
      <c r="B1010" s="93">
        <f>'Zarrah-Conversion'!A175</f>
        <v/>
      </c>
      <c r="C1010" s="8">
        <f>'Zarrah-Conversion'!B175</f>
        <v/>
      </c>
      <c r="D1010" s="8">
        <f>'Zarrah-Conversion'!C175</f>
        <v/>
      </c>
      <c r="E1010" s="8">
        <f>'Zarrah-Conversion'!D175</f>
        <v/>
      </c>
      <c r="F1010" s="8">
        <f>'Zarrah-Conversion'!E175</f>
        <v/>
      </c>
      <c r="G1010" s="9">
        <f>'Zarrah-Conversion'!F175</f>
        <v/>
      </c>
      <c r="H1010" s="8">
        <f>'Zarrah-Conversion'!G175</f>
        <v/>
      </c>
      <c r="I1010" s="10">
        <f>'Zarrah-Conversion'!H175</f>
        <v/>
      </c>
      <c r="J1010" s="10">
        <f>'Zarrah-Conversion'!I175</f>
        <v/>
      </c>
      <c r="K1010" s="11">
        <f>'Zarrah-Conversion'!J175</f>
        <v/>
      </c>
      <c r="L1010" s="12">
        <f>'Zarrah-Conversion'!K175</f>
        <v/>
      </c>
      <c r="M1010" s="11">
        <f>'Zarrah-Conversion'!N175</f>
        <v/>
      </c>
      <c r="N1010" s="8">
        <f>'Zarrah-Conversion'!O175</f>
        <v/>
      </c>
      <c r="O1010" s="8">
        <f>'Zarrah-Conversion'!P175</f>
        <v/>
      </c>
    </row>
    <row r="1011" ht="18" customHeight="1" s="96">
      <c r="A1011" s="2" t="inlineStr">
        <is>
          <t>Person B</t>
        </is>
      </c>
      <c r="B1011" s="2">
        <f>'Zarrah-Conversion'!A176</f>
        <v/>
      </c>
      <c r="C1011" s="3">
        <f>'Zarrah-Conversion'!B176</f>
        <v/>
      </c>
      <c r="D1011" s="3">
        <f>'Zarrah-Conversion'!C176</f>
        <v/>
      </c>
      <c r="E1011" s="3">
        <f>'Zarrah-Conversion'!D176</f>
        <v/>
      </c>
      <c r="F1011" s="3">
        <f>'Zarrah-Conversion'!E176</f>
        <v/>
      </c>
      <c r="G1011" s="4">
        <f>'Zarrah-Conversion'!F176</f>
        <v/>
      </c>
      <c r="H1011" s="3">
        <f>'Zarrah-Conversion'!G176</f>
        <v/>
      </c>
      <c r="I1011" s="5">
        <f>'Zarrah-Conversion'!H176</f>
        <v/>
      </c>
      <c r="J1011" s="5">
        <f>'Zarrah-Conversion'!I176</f>
        <v/>
      </c>
      <c r="K1011" s="6">
        <f>'Zarrah-Conversion'!J176</f>
        <v/>
      </c>
      <c r="L1011" s="13">
        <f>'Zarrah-Conversion'!K176</f>
        <v/>
      </c>
      <c r="M1011" s="6">
        <f>'Zarrah-Conversion'!N176</f>
        <v/>
      </c>
      <c r="N1011" s="3">
        <f>'Zarrah-Conversion'!O176</f>
        <v/>
      </c>
      <c r="O1011" s="3">
        <f>'Zarrah-Conversion'!P176</f>
        <v/>
      </c>
    </row>
    <row r="1012" ht="18" customHeight="1" s="96">
      <c r="A1012" s="93" t="inlineStr">
        <is>
          <t>Person B</t>
        </is>
      </c>
      <c r="B1012" s="93">
        <f>'Zarrah-Conversion'!A177</f>
        <v/>
      </c>
      <c r="C1012" s="8">
        <f>'Zarrah-Conversion'!B177</f>
        <v/>
      </c>
      <c r="D1012" s="8">
        <f>'Zarrah-Conversion'!C177</f>
        <v/>
      </c>
      <c r="E1012" s="8">
        <f>'Zarrah-Conversion'!D177</f>
        <v/>
      </c>
      <c r="F1012" s="8">
        <f>'Zarrah-Conversion'!E177</f>
        <v/>
      </c>
      <c r="G1012" s="9">
        <f>'Zarrah-Conversion'!F177</f>
        <v/>
      </c>
      <c r="H1012" s="8">
        <f>'Zarrah-Conversion'!G177</f>
        <v/>
      </c>
      <c r="I1012" s="10">
        <f>'Zarrah-Conversion'!H177</f>
        <v/>
      </c>
      <c r="J1012" s="10">
        <f>'Zarrah-Conversion'!I177</f>
        <v/>
      </c>
      <c r="K1012" s="11">
        <f>'Zarrah-Conversion'!J177</f>
        <v/>
      </c>
      <c r="L1012" s="12">
        <f>'Zarrah-Conversion'!K177</f>
        <v/>
      </c>
      <c r="M1012" s="11">
        <f>'Zarrah-Conversion'!N177</f>
        <v/>
      </c>
      <c r="N1012" s="8">
        <f>'Zarrah-Conversion'!O177</f>
        <v/>
      </c>
      <c r="O1012" s="8">
        <f>'Zarrah-Conversion'!P177</f>
        <v/>
      </c>
    </row>
    <row r="1013" ht="18" customHeight="1" s="96">
      <c r="A1013" s="2" t="inlineStr">
        <is>
          <t>Person B</t>
        </is>
      </c>
      <c r="B1013" s="2">
        <f>'Zarrah-Conversion'!A178</f>
        <v/>
      </c>
      <c r="C1013" s="3">
        <f>'Zarrah-Conversion'!B178</f>
        <v/>
      </c>
      <c r="D1013" s="3">
        <f>'Zarrah-Conversion'!C178</f>
        <v/>
      </c>
      <c r="E1013" s="3">
        <f>'Zarrah-Conversion'!D178</f>
        <v/>
      </c>
      <c r="F1013" s="3">
        <f>'Zarrah-Conversion'!E178</f>
        <v/>
      </c>
      <c r="G1013" s="4">
        <f>'Zarrah-Conversion'!F178</f>
        <v/>
      </c>
      <c r="H1013" s="3">
        <f>'Zarrah-Conversion'!G178</f>
        <v/>
      </c>
      <c r="I1013" s="5">
        <f>'Zarrah-Conversion'!H178</f>
        <v/>
      </c>
      <c r="J1013" s="5">
        <f>'Zarrah-Conversion'!I178</f>
        <v/>
      </c>
      <c r="K1013" s="6">
        <f>'Zarrah-Conversion'!J178</f>
        <v/>
      </c>
      <c r="L1013" s="13">
        <f>'Zarrah-Conversion'!K178</f>
        <v/>
      </c>
      <c r="M1013" s="6">
        <f>'Zarrah-Conversion'!N178</f>
        <v/>
      </c>
      <c r="N1013" s="3">
        <f>'Zarrah-Conversion'!O178</f>
        <v/>
      </c>
      <c r="O1013" s="3">
        <f>'Zarrah-Conversion'!P178</f>
        <v/>
      </c>
    </row>
    <row r="1014" ht="18" customHeight="1" s="96">
      <c r="A1014" s="93" t="inlineStr">
        <is>
          <t>Person B</t>
        </is>
      </c>
      <c r="B1014" s="93">
        <f>'Zarrah-Conversion'!A179</f>
        <v/>
      </c>
      <c r="C1014" s="8">
        <f>'Zarrah-Conversion'!B179</f>
        <v/>
      </c>
      <c r="D1014" s="8">
        <f>'Zarrah-Conversion'!C179</f>
        <v/>
      </c>
      <c r="E1014" s="8">
        <f>'Zarrah-Conversion'!D179</f>
        <v/>
      </c>
      <c r="F1014" s="8">
        <f>'Zarrah-Conversion'!E179</f>
        <v/>
      </c>
      <c r="G1014" s="9">
        <f>'Zarrah-Conversion'!F179</f>
        <v/>
      </c>
      <c r="H1014" s="8">
        <f>'Zarrah-Conversion'!G179</f>
        <v/>
      </c>
      <c r="I1014" s="10">
        <f>'Zarrah-Conversion'!H179</f>
        <v/>
      </c>
      <c r="J1014" s="10">
        <f>'Zarrah-Conversion'!I179</f>
        <v/>
      </c>
      <c r="K1014" s="11">
        <f>'Zarrah-Conversion'!J179</f>
        <v/>
      </c>
      <c r="L1014" s="12">
        <f>'Zarrah-Conversion'!K179</f>
        <v/>
      </c>
      <c r="M1014" s="11">
        <f>'Zarrah-Conversion'!N179</f>
        <v/>
      </c>
      <c r="N1014" s="8">
        <f>'Zarrah-Conversion'!O179</f>
        <v/>
      </c>
      <c r="O1014" s="8">
        <f>'Zarrah-Conversion'!P179</f>
        <v/>
      </c>
    </row>
    <row r="1015" ht="18" customHeight="1" s="96">
      <c r="A1015" s="2" t="inlineStr">
        <is>
          <t>Person B</t>
        </is>
      </c>
      <c r="B1015" s="2">
        <f>'Zarrah-Conversion'!A180</f>
        <v/>
      </c>
      <c r="C1015" s="3">
        <f>'Zarrah-Conversion'!B180</f>
        <v/>
      </c>
      <c r="D1015" s="3">
        <f>'Zarrah-Conversion'!C180</f>
        <v/>
      </c>
      <c r="E1015" s="3">
        <f>'Zarrah-Conversion'!D180</f>
        <v/>
      </c>
      <c r="F1015" s="3">
        <f>'Zarrah-Conversion'!E180</f>
        <v/>
      </c>
      <c r="G1015" s="4">
        <f>'Zarrah-Conversion'!F180</f>
        <v/>
      </c>
      <c r="H1015" s="3">
        <f>'Zarrah-Conversion'!G180</f>
        <v/>
      </c>
      <c r="I1015" s="5">
        <f>'Zarrah-Conversion'!H180</f>
        <v/>
      </c>
      <c r="J1015" s="5">
        <f>'Zarrah-Conversion'!I180</f>
        <v/>
      </c>
      <c r="K1015" s="6">
        <f>'Zarrah-Conversion'!J180</f>
        <v/>
      </c>
      <c r="L1015" s="13">
        <f>'Zarrah-Conversion'!K180</f>
        <v/>
      </c>
      <c r="M1015" s="6">
        <f>'Zarrah-Conversion'!N180</f>
        <v/>
      </c>
      <c r="N1015" s="3">
        <f>'Zarrah-Conversion'!O180</f>
        <v/>
      </c>
      <c r="O1015" s="3">
        <f>'Zarrah-Conversion'!P180</f>
        <v/>
      </c>
    </row>
    <row r="1016" ht="18" customHeight="1" s="96">
      <c r="A1016" s="93" t="inlineStr">
        <is>
          <t>Person B</t>
        </is>
      </c>
      <c r="B1016" s="93">
        <f>'Zarrah-Conversion'!A181</f>
        <v/>
      </c>
      <c r="C1016" s="8">
        <f>'Zarrah-Conversion'!B181</f>
        <v/>
      </c>
      <c r="D1016" s="8">
        <f>'Zarrah-Conversion'!C181</f>
        <v/>
      </c>
      <c r="E1016" s="8">
        <f>'Zarrah-Conversion'!D181</f>
        <v/>
      </c>
      <c r="F1016" s="8">
        <f>'Zarrah-Conversion'!E181</f>
        <v/>
      </c>
      <c r="G1016" s="9">
        <f>'Zarrah-Conversion'!F181</f>
        <v/>
      </c>
      <c r="H1016" s="8">
        <f>'Zarrah-Conversion'!G181</f>
        <v/>
      </c>
      <c r="I1016" s="10">
        <f>'Zarrah-Conversion'!H181</f>
        <v/>
      </c>
      <c r="J1016" s="10">
        <f>'Zarrah-Conversion'!I181</f>
        <v/>
      </c>
      <c r="K1016" s="11">
        <f>'Zarrah-Conversion'!J181</f>
        <v/>
      </c>
      <c r="L1016" s="12">
        <f>'Zarrah-Conversion'!K181</f>
        <v/>
      </c>
      <c r="M1016" s="11">
        <f>'Zarrah-Conversion'!N181</f>
        <v/>
      </c>
      <c r="N1016" s="8">
        <f>'Zarrah-Conversion'!O181</f>
        <v/>
      </c>
      <c r="O1016" s="8">
        <f>'Zarrah-Conversion'!P181</f>
        <v/>
      </c>
    </row>
    <row r="1017" ht="18" customHeight="1" s="96">
      <c r="A1017" s="2" t="inlineStr">
        <is>
          <t>Person B</t>
        </is>
      </c>
      <c r="B1017" s="2">
        <f>'Zarrah-Conversion'!A182</f>
        <v/>
      </c>
      <c r="C1017" s="3">
        <f>'Zarrah-Conversion'!B182</f>
        <v/>
      </c>
      <c r="D1017" s="3">
        <f>'Zarrah-Conversion'!C182</f>
        <v/>
      </c>
      <c r="E1017" s="3">
        <f>'Zarrah-Conversion'!D182</f>
        <v/>
      </c>
      <c r="F1017" s="3">
        <f>'Zarrah-Conversion'!E182</f>
        <v/>
      </c>
      <c r="G1017" s="4">
        <f>'Zarrah-Conversion'!F182</f>
        <v/>
      </c>
      <c r="H1017" s="3">
        <f>'Zarrah-Conversion'!G182</f>
        <v/>
      </c>
      <c r="I1017" s="5">
        <f>'Zarrah-Conversion'!H182</f>
        <v/>
      </c>
      <c r="J1017" s="5">
        <f>'Zarrah-Conversion'!I182</f>
        <v/>
      </c>
      <c r="K1017" s="6">
        <f>'Zarrah-Conversion'!J182</f>
        <v/>
      </c>
      <c r="L1017" s="13">
        <f>'Zarrah-Conversion'!K182</f>
        <v/>
      </c>
      <c r="M1017" s="6">
        <f>'Zarrah-Conversion'!N182</f>
        <v/>
      </c>
      <c r="N1017" s="3">
        <f>'Zarrah-Conversion'!O182</f>
        <v/>
      </c>
      <c r="O1017" s="3">
        <f>'Zarrah-Conversion'!P182</f>
        <v/>
      </c>
    </row>
    <row r="1018" ht="18" customHeight="1" s="96">
      <c r="A1018" s="93" t="inlineStr">
        <is>
          <t>Person B</t>
        </is>
      </c>
      <c r="B1018" s="93">
        <f>'Zarrah-Conversion'!A183</f>
        <v/>
      </c>
      <c r="C1018" s="8">
        <f>'Zarrah-Conversion'!B183</f>
        <v/>
      </c>
      <c r="D1018" s="8">
        <f>'Zarrah-Conversion'!C183</f>
        <v/>
      </c>
      <c r="E1018" s="8">
        <f>'Zarrah-Conversion'!D183</f>
        <v/>
      </c>
      <c r="F1018" s="8">
        <f>'Zarrah-Conversion'!E183</f>
        <v/>
      </c>
      <c r="G1018" s="9">
        <f>'Zarrah-Conversion'!F183</f>
        <v/>
      </c>
      <c r="H1018" s="8">
        <f>'Zarrah-Conversion'!G183</f>
        <v/>
      </c>
      <c r="I1018" s="10">
        <f>'Zarrah-Conversion'!H183</f>
        <v/>
      </c>
      <c r="J1018" s="10">
        <f>'Zarrah-Conversion'!I183</f>
        <v/>
      </c>
      <c r="K1018" s="11">
        <f>'Zarrah-Conversion'!J183</f>
        <v/>
      </c>
      <c r="L1018" s="12">
        <f>'Zarrah-Conversion'!K183</f>
        <v/>
      </c>
      <c r="M1018" s="11">
        <f>'Zarrah-Conversion'!N183</f>
        <v/>
      </c>
      <c r="N1018" s="8">
        <f>'Zarrah-Conversion'!O183</f>
        <v/>
      </c>
      <c r="O1018" s="8">
        <f>'Zarrah-Conversion'!P183</f>
        <v/>
      </c>
    </row>
    <row r="1019" ht="18" customHeight="1" s="96">
      <c r="A1019" s="2" t="inlineStr">
        <is>
          <t>Person B</t>
        </is>
      </c>
      <c r="B1019" s="2">
        <f>'Zarrah-Conversion'!A184</f>
        <v/>
      </c>
      <c r="C1019" s="3">
        <f>'Zarrah-Conversion'!B184</f>
        <v/>
      </c>
      <c r="D1019" s="3">
        <f>'Zarrah-Conversion'!C184</f>
        <v/>
      </c>
      <c r="E1019" s="3">
        <f>'Zarrah-Conversion'!D184</f>
        <v/>
      </c>
      <c r="F1019" s="3">
        <f>'Zarrah-Conversion'!E184</f>
        <v/>
      </c>
      <c r="G1019" s="4">
        <f>'Zarrah-Conversion'!F184</f>
        <v/>
      </c>
      <c r="H1019" s="3">
        <f>'Zarrah-Conversion'!G184</f>
        <v/>
      </c>
      <c r="I1019" s="5">
        <f>'Zarrah-Conversion'!H184</f>
        <v/>
      </c>
      <c r="J1019" s="5">
        <f>'Zarrah-Conversion'!I184</f>
        <v/>
      </c>
      <c r="K1019" s="6">
        <f>'Zarrah-Conversion'!J184</f>
        <v/>
      </c>
      <c r="L1019" s="13">
        <f>'Zarrah-Conversion'!K184</f>
        <v/>
      </c>
      <c r="M1019" s="6">
        <f>'Zarrah-Conversion'!N184</f>
        <v/>
      </c>
      <c r="N1019" s="3">
        <f>'Zarrah-Conversion'!O184</f>
        <v/>
      </c>
      <c r="O1019" s="3">
        <f>'Zarrah-Conversion'!P184</f>
        <v/>
      </c>
    </row>
    <row r="1020" ht="18" customHeight="1" s="96">
      <c r="A1020" s="93" t="inlineStr">
        <is>
          <t>Person B</t>
        </is>
      </c>
      <c r="B1020" s="93">
        <f>'Zarrah-Conversion'!A185</f>
        <v/>
      </c>
      <c r="C1020" s="8">
        <f>'Zarrah-Conversion'!B185</f>
        <v/>
      </c>
      <c r="D1020" s="8">
        <f>'Zarrah-Conversion'!C185</f>
        <v/>
      </c>
      <c r="E1020" s="8">
        <f>'Zarrah-Conversion'!D185</f>
        <v/>
      </c>
      <c r="F1020" s="8">
        <f>'Zarrah-Conversion'!E185</f>
        <v/>
      </c>
      <c r="G1020" s="9">
        <f>'Zarrah-Conversion'!F185</f>
        <v/>
      </c>
      <c r="H1020" s="8">
        <f>'Zarrah-Conversion'!G185</f>
        <v/>
      </c>
      <c r="I1020" s="10">
        <f>'Zarrah-Conversion'!H185</f>
        <v/>
      </c>
      <c r="J1020" s="10">
        <f>'Zarrah-Conversion'!I185</f>
        <v/>
      </c>
      <c r="K1020" s="11">
        <f>'Zarrah-Conversion'!J185</f>
        <v/>
      </c>
      <c r="L1020" s="12">
        <f>'Zarrah-Conversion'!K185</f>
        <v/>
      </c>
      <c r="M1020" s="11">
        <f>'Zarrah-Conversion'!N185</f>
        <v/>
      </c>
      <c r="N1020" s="8">
        <f>'Zarrah-Conversion'!O185</f>
        <v/>
      </c>
      <c r="O1020" s="8">
        <f>'Zarrah-Conversion'!P185</f>
        <v/>
      </c>
    </row>
    <row r="1021" ht="18" customHeight="1" s="96">
      <c r="A1021" s="2" t="inlineStr">
        <is>
          <t>Person B</t>
        </is>
      </c>
      <c r="B1021" s="2">
        <f>'Zarrah-Conversion'!A186</f>
        <v/>
      </c>
      <c r="C1021" s="3">
        <f>'Zarrah-Conversion'!B186</f>
        <v/>
      </c>
      <c r="D1021" s="3">
        <f>'Zarrah-Conversion'!C186</f>
        <v/>
      </c>
      <c r="E1021" s="3">
        <f>'Zarrah-Conversion'!D186</f>
        <v/>
      </c>
      <c r="F1021" s="3">
        <f>'Zarrah-Conversion'!E186</f>
        <v/>
      </c>
      <c r="G1021" s="4">
        <f>'Zarrah-Conversion'!F186</f>
        <v/>
      </c>
      <c r="H1021" s="3">
        <f>'Zarrah-Conversion'!G186</f>
        <v/>
      </c>
      <c r="I1021" s="5">
        <f>'Zarrah-Conversion'!H186</f>
        <v/>
      </c>
      <c r="J1021" s="5">
        <f>'Zarrah-Conversion'!I186</f>
        <v/>
      </c>
      <c r="K1021" s="6">
        <f>'Zarrah-Conversion'!J186</f>
        <v/>
      </c>
      <c r="L1021" s="13">
        <f>'Zarrah-Conversion'!K186</f>
        <v/>
      </c>
      <c r="M1021" s="6">
        <f>'Zarrah-Conversion'!N186</f>
        <v/>
      </c>
      <c r="N1021" s="3">
        <f>'Zarrah-Conversion'!O186</f>
        <v/>
      </c>
      <c r="O1021" s="3">
        <f>'Zarrah-Conversion'!P186</f>
        <v/>
      </c>
    </row>
    <row r="1022" ht="18" customHeight="1" s="96">
      <c r="A1022" s="93" t="inlineStr">
        <is>
          <t>Person B</t>
        </is>
      </c>
      <c r="B1022" s="93">
        <f>'Zarrah-Conversion'!A187</f>
        <v/>
      </c>
      <c r="C1022" s="8">
        <f>'Zarrah-Conversion'!B187</f>
        <v/>
      </c>
      <c r="D1022" s="8">
        <f>'Zarrah-Conversion'!C187</f>
        <v/>
      </c>
      <c r="E1022" s="8">
        <f>'Zarrah-Conversion'!D187</f>
        <v/>
      </c>
      <c r="F1022" s="8">
        <f>'Zarrah-Conversion'!E187</f>
        <v/>
      </c>
      <c r="G1022" s="9">
        <f>'Zarrah-Conversion'!F187</f>
        <v/>
      </c>
      <c r="H1022" s="8">
        <f>'Zarrah-Conversion'!G187</f>
        <v/>
      </c>
      <c r="I1022" s="10">
        <f>'Zarrah-Conversion'!H187</f>
        <v/>
      </c>
      <c r="J1022" s="10">
        <f>'Zarrah-Conversion'!I187</f>
        <v/>
      </c>
      <c r="K1022" s="11">
        <f>'Zarrah-Conversion'!J187</f>
        <v/>
      </c>
      <c r="L1022" s="12">
        <f>'Zarrah-Conversion'!K187</f>
        <v/>
      </c>
      <c r="M1022" s="11">
        <f>'Zarrah-Conversion'!N187</f>
        <v/>
      </c>
      <c r="N1022" s="8">
        <f>'Zarrah-Conversion'!O187</f>
        <v/>
      </c>
      <c r="O1022" s="8">
        <f>'Zarrah-Conversion'!P187</f>
        <v/>
      </c>
    </row>
    <row r="1023" ht="18" customHeight="1" s="96">
      <c r="A1023" s="2" t="inlineStr">
        <is>
          <t>Person B</t>
        </is>
      </c>
      <c r="B1023" s="2">
        <f>'Zarrah-Conversion'!A188</f>
        <v/>
      </c>
      <c r="C1023" s="3">
        <f>'Zarrah-Conversion'!B188</f>
        <v/>
      </c>
      <c r="D1023" s="3">
        <f>'Zarrah-Conversion'!C188</f>
        <v/>
      </c>
      <c r="E1023" s="3">
        <f>'Zarrah-Conversion'!D188</f>
        <v/>
      </c>
      <c r="F1023" s="3">
        <f>'Zarrah-Conversion'!E188</f>
        <v/>
      </c>
      <c r="G1023" s="4">
        <f>'Zarrah-Conversion'!F188</f>
        <v/>
      </c>
      <c r="H1023" s="3">
        <f>'Zarrah-Conversion'!G188</f>
        <v/>
      </c>
      <c r="I1023" s="5">
        <f>'Zarrah-Conversion'!H188</f>
        <v/>
      </c>
      <c r="J1023" s="5">
        <f>'Zarrah-Conversion'!I188</f>
        <v/>
      </c>
      <c r="K1023" s="6">
        <f>'Zarrah-Conversion'!J188</f>
        <v/>
      </c>
      <c r="L1023" s="13">
        <f>'Zarrah-Conversion'!K188</f>
        <v/>
      </c>
      <c r="M1023" s="6">
        <f>'Zarrah-Conversion'!N188</f>
        <v/>
      </c>
      <c r="N1023" s="3">
        <f>'Zarrah-Conversion'!O188</f>
        <v/>
      </c>
      <c r="O1023" s="3">
        <f>'Zarrah-Conversion'!P188</f>
        <v/>
      </c>
    </row>
    <row r="1024" ht="18" customHeight="1" s="96">
      <c r="A1024" s="93" t="inlineStr">
        <is>
          <t>Person B</t>
        </is>
      </c>
      <c r="B1024" s="93">
        <f>'Zarrah-Conversion'!A189</f>
        <v/>
      </c>
      <c r="C1024" s="8">
        <f>'Zarrah-Conversion'!B189</f>
        <v/>
      </c>
      <c r="D1024" s="8">
        <f>'Zarrah-Conversion'!C189</f>
        <v/>
      </c>
      <c r="E1024" s="8">
        <f>'Zarrah-Conversion'!D189</f>
        <v/>
      </c>
      <c r="F1024" s="8">
        <f>'Zarrah-Conversion'!E189</f>
        <v/>
      </c>
      <c r="G1024" s="9">
        <f>'Zarrah-Conversion'!F189</f>
        <v/>
      </c>
      <c r="H1024" s="8">
        <f>'Zarrah-Conversion'!G189</f>
        <v/>
      </c>
      <c r="I1024" s="10">
        <f>'Zarrah-Conversion'!H189</f>
        <v/>
      </c>
      <c r="J1024" s="10">
        <f>'Zarrah-Conversion'!I189</f>
        <v/>
      </c>
      <c r="K1024" s="11">
        <f>'Zarrah-Conversion'!J189</f>
        <v/>
      </c>
      <c r="L1024" s="12">
        <f>'Zarrah-Conversion'!K189</f>
        <v/>
      </c>
      <c r="M1024" s="11">
        <f>'Zarrah-Conversion'!N189</f>
        <v/>
      </c>
      <c r="N1024" s="8">
        <f>'Zarrah-Conversion'!O189</f>
        <v/>
      </c>
      <c r="O1024" s="8">
        <f>'Zarrah-Conversion'!P189</f>
        <v/>
      </c>
    </row>
    <row r="1025" ht="18" customHeight="1" s="96">
      <c r="A1025" s="2" t="inlineStr">
        <is>
          <t>Person B</t>
        </is>
      </c>
      <c r="B1025" s="2">
        <f>'Zarrah-Conversion'!A190</f>
        <v/>
      </c>
      <c r="C1025" s="3">
        <f>'Zarrah-Conversion'!B190</f>
        <v/>
      </c>
      <c r="D1025" s="3">
        <f>'Zarrah-Conversion'!C190</f>
        <v/>
      </c>
      <c r="E1025" s="3">
        <f>'Zarrah-Conversion'!D190</f>
        <v/>
      </c>
      <c r="F1025" s="3">
        <f>'Zarrah-Conversion'!E190</f>
        <v/>
      </c>
      <c r="G1025" s="4">
        <f>'Zarrah-Conversion'!F190</f>
        <v/>
      </c>
      <c r="H1025" s="3">
        <f>'Zarrah-Conversion'!G190</f>
        <v/>
      </c>
      <c r="I1025" s="5">
        <f>'Zarrah-Conversion'!H190</f>
        <v/>
      </c>
      <c r="J1025" s="5">
        <f>'Zarrah-Conversion'!I190</f>
        <v/>
      </c>
      <c r="K1025" s="6">
        <f>'Zarrah-Conversion'!J190</f>
        <v/>
      </c>
      <c r="L1025" s="13">
        <f>'Zarrah-Conversion'!K190</f>
        <v/>
      </c>
      <c r="M1025" s="6">
        <f>'Zarrah-Conversion'!N190</f>
        <v/>
      </c>
      <c r="N1025" s="3">
        <f>'Zarrah-Conversion'!O190</f>
        <v/>
      </c>
      <c r="O1025" s="3">
        <f>'Zarrah-Conversion'!P190</f>
        <v/>
      </c>
    </row>
    <row r="1026" ht="18" customHeight="1" s="96">
      <c r="A1026" s="93" t="inlineStr">
        <is>
          <t>Person B</t>
        </is>
      </c>
      <c r="B1026" s="93">
        <f>'Zarrah-Conversion'!A191</f>
        <v/>
      </c>
      <c r="C1026" s="8">
        <f>'Zarrah-Conversion'!B191</f>
        <v/>
      </c>
      <c r="D1026" s="8">
        <f>'Zarrah-Conversion'!C191</f>
        <v/>
      </c>
      <c r="E1026" s="8">
        <f>'Zarrah-Conversion'!D191</f>
        <v/>
      </c>
      <c r="F1026" s="8">
        <f>'Zarrah-Conversion'!E191</f>
        <v/>
      </c>
      <c r="G1026" s="9">
        <f>'Zarrah-Conversion'!F191</f>
        <v/>
      </c>
      <c r="H1026" s="8">
        <f>'Zarrah-Conversion'!G191</f>
        <v/>
      </c>
      <c r="I1026" s="10">
        <f>'Zarrah-Conversion'!H191</f>
        <v/>
      </c>
      <c r="J1026" s="10">
        <f>'Zarrah-Conversion'!I191</f>
        <v/>
      </c>
      <c r="K1026" s="11">
        <f>'Zarrah-Conversion'!J191</f>
        <v/>
      </c>
      <c r="L1026" s="12">
        <f>'Zarrah-Conversion'!K191</f>
        <v/>
      </c>
      <c r="M1026" s="11">
        <f>'Zarrah-Conversion'!N191</f>
        <v/>
      </c>
      <c r="N1026" s="8">
        <f>'Zarrah-Conversion'!O191</f>
        <v/>
      </c>
      <c r="O1026" s="8">
        <f>'Zarrah-Conversion'!P191</f>
        <v/>
      </c>
    </row>
    <row r="1027" ht="18" customHeight="1" s="96">
      <c r="A1027" s="2" t="inlineStr">
        <is>
          <t>Person B</t>
        </is>
      </c>
      <c r="B1027" s="2">
        <f>'Zarrah-Conversion'!A192</f>
        <v/>
      </c>
      <c r="C1027" s="3">
        <f>'Zarrah-Conversion'!B192</f>
        <v/>
      </c>
      <c r="D1027" s="3">
        <f>'Zarrah-Conversion'!C192</f>
        <v/>
      </c>
      <c r="E1027" s="3">
        <f>'Zarrah-Conversion'!D192</f>
        <v/>
      </c>
      <c r="F1027" s="3">
        <f>'Zarrah-Conversion'!E192</f>
        <v/>
      </c>
      <c r="G1027" s="4">
        <f>'Zarrah-Conversion'!F192</f>
        <v/>
      </c>
      <c r="H1027" s="3">
        <f>'Zarrah-Conversion'!G192</f>
        <v/>
      </c>
      <c r="I1027" s="5">
        <f>'Zarrah-Conversion'!H192</f>
        <v/>
      </c>
      <c r="J1027" s="5">
        <f>'Zarrah-Conversion'!I192</f>
        <v/>
      </c>
      <c r="K1027" s="6">
        <f>'Zarrah-Conversion'!J192</f>
        <v/>
      </c>
      <c r="L1027" s="13">
        <f>'Zarrah-Conversion'!K192</f>
        <v/>
      </c>
      <c r="M1027" s="6">
        <f>'Zarrah-Conversion'!N192</f>
        <v/>
      </c>
      <c r="N1027" s="3">
        <f>'Zarrah-Conversion'!O192</f>
        <v/>
      </c>
      <c r="O1027" s="3">
        <f>'Zarrah-Conversion'!P192</f>
        <v/>
      </c>
    </row>
    <row r="1028" ht="18" customHeight="1" s="96">
      <c r="A1028" s="93" t="inlineStr">
        <is>
          <t>Person B</t>
        </is>
      </c>
      <c r="B1028" s="93">
        <f>'Zarrah-Conversion'!A193</f>
        <v/>
      </c>
      <c r="C1028" s="8">
        <f>'Zarrah-Conversion'!B193</f>
        <v/>
      </c>
      <c r="D1028" s="8">
        <f>'Zarrah-Conversion'!C193</f>
        <v/>
      </c>
      <c r="E1028" s="8">
        <f>'Zarrah-Conversion'!D193</f>
        <v/>
      </c>
      <c r="F1028" s="8">
        <f>'Zarrah-Conversion'!E193</f>
        <v/>
      </c>
      <c r="G1028" s="9">
        <f>'Zarrah-Conversion'!F193</f>
        <v/>
      </c>
      <c r="H1028" s="8">
        <f>'Zarrah-Conversion'!G193</f>
        <v/>
      </c>
      <c r="I1028" s="10">
        <f>'Zarrah-Conversion'!H193</f>
        <v/>
      </c>
      <c r="J1028" s="10">
        <f>'Zarrah-Conversion'!I193</f>
        <v/>
      </c>
      <c r="K1028" s="11">
        <f>'Zarrah-Conversion'!J193</f>
        <v/>
      </c>
      <c r="L1028" s="12">
        <f>'Zarrah-Conversion'!K193</f>
        <v/>
      </c>
      <c r="M1028" s="11">
        <f>'Zarrah-Conversion'!N193</f>
        <v/>
      </c>
      <c r="N1028" s="8">
        <f>'Zarrah-Conversion'!O193</f>
        <v/>
      </c>
      <c r="O1028" s="8">
        <f>'Zarrah-Conversion'!P193</f>
        <v/>
      </c>
    </row>
    <row r="1029" ht="18" customHeight="1" s="96">
      <c r="A1029" s="2" t="inlineStr">
        <is>
          <t>Person B</t>
        </is>
      </c>
      <c r="B1029" s="2">
        <f>'Zarrah-Conversion'!A194</f>
        <v/>
      </c>
      <c r="C1029" s="3">
        <f>'Zarrah-Conversion'!B194</f>
        <v/>
      </c>
      <c r="D1029" s="3">
        <f>'Zarrah-Conversion'!C194</f>
        <v/>
      </c>
      <c r="E1029" s="3">
        <f>'Zarrah-Conversion'!D194</f>
        <v/>
      </c>
      <c r="F1029" s="3">
        <f>'Zarrah-Conversion'!E194</f>
        <v/>
      </c>
      <c r="G1029" s="4">
        <f>'Zarrah-Conversion'!F194</f>
        <v/>
      </c>
      <c r="H1029" s="3">
        <f>'Zarrah-Conversion'!G194</f>
        <v/>
      </c>
      <c r="I1029" s="5">
        <f>'Zarrah-Conversion'!H194</f>
        <v/>
      </c>
      <c r="J1029" s="5">
        <f>'Zarrah-Conversion'!I194</f>
        <v/>
      </c>
      <c r="K1029" s="6">
        <f>'Zarrah-Conversion'!J194</f>
        <v/>
      </c>
      <c r="L1029" s="13">
        <f>'Zarrah-Conversion'!K194</f>
        <v/>
      </c>
      <c r="M1029" s="6">
        <f>'Zarrah-Conversion'!N194</f>
        <v/>
      </c>
      <c r="N1029" s="3">
        <f>'Zarrah-Conversion'!O194</f>
        <v/>
      </c>
      <c r="O1029" s="3">
        <f>'Zarrah-Conversion'!P194</f>
        <v/>
      </c>
    </row>
    <row r="1030" ht="18" customHeight="1" s="96">
      <c r="A1030" s="93" t="inlineStr">
        <is>
          <t>Person B</t>
        </is>
      </c>
      <c r="B1030" s="93">
        <f>'Zarrah-Conversion'!A195</f>
        <v/>
      </c>
      <c r="C1030" s="8">
        <f>'Zarrah-Conversion'!B195</f>
        <v/>
      </c>
      <c r="D1030" s="8">
        <f>'Zarrah-Conversion'!C195</f>
        <v/>
      </c>
      <c r="E1030" s="8">
        <f>'Zarrah-Conversion'!D195</f>
        <v/>
      </c>
      <c r="F1030" s="8">
        <f>'Zarrah-Conversion'!E195</f>
        <v/>
      </c>
      <c r="G1030" s="9">
        <f>'Zarrah-Conversion'!F195</f>
        <v/>
      </c>
      <c r="H1030" s="8">
        <f>'Zarrah-Conversion'!G195</f>
        <v/>
      </c>
      <c r="I1030" s="10">
        <f>'Zarrah-Conversion'!H195</f>
        <v/>
      </c>
      <c r="J1030" s="10">
        <f>'Zarrah-Conversion'!I195</f>
        <v/>
      </c>
      <c r="K1030" s="11">
        <f>'Zarrah-Conversion'!J195</f>
        <v/>
      </c>
      <c r="L1030" s="12">
        <f>'Zarrah-Conversion'!K195</f>
        <v/>
      </c>
      <c r="M1030" s="11">
        <f>'Zarrah-Conversion'!N195</f>
        <v/>
      </c>
      <c r="N1030" s="8">
        <f>'Zarrah-Conversion'!O195</f>
        <v/>
      </c>
      <c r="O1030" s="8">
        <f>'Zarrah-Conversion'!P195</f>
        <v/>
      </c>
    </row>
    <row r="1031" ht="18" customHeight="1" s="96">
      <c r="A1031" s="2" t="inlineStr">
        <is>
          <t>Person B</t>
        </is>
      </c>
      <c r="B1031" s="2">
        <f>'Zarrah-Conversion'!A196</f>
        <v/>
      </c>
      <c r="C1031" s="3">
        <f>'Zarrah-Conversion'!B196</f>
        <v/>
      </c>
      <c r="D1031" s="3">
        <f>'Zarrah-Conversion'!C196</f>
        <v/>
      </c>
      <c r="E1031" s="3">
        <f>'Zarrah-Conversion'!D196</f>
        <v/>
      </c>
      <c r="F1031" s="3">
        <f>'Zarrah-Conversion'!E196</f>
        <v/>
      </c>
      <c r="G1031" s="4">
        <f>'Zarrah-Conversion'!F196</f>
        <v/>
      </c>
      <c r="H1031" s="3">
        <f>'Zarrah-Conversion'!G196</f>
        <v/>
      </c>
      <c r="I1031" s="5">
        <f>'Zarrah-Conversion'!H196</f>
        <v/>
      </c>
      <c r="J1031" s="5">
        <f>'Zarrah-Conversion'!I196</f>
        <v/>
      </c>
      <c r="K1031" s="6">
        <f>'Zarrah-Conversion'!J196</f>
        <v/>
      </c>
      <c r="L1031" s="13">
        <f>'Zarrah-Conversion'!K196</f>
        <v/>
      </c>
      <c r="M1031" s="6">
        <f>'Zarrah-Conversion'!N196</f>
        <v/>
      </c>
      <c r="N1031" s="3">
        <f>'Zarrah-Conversion'!O196</f>
        <v/>
      </c>
      <c r="O1031" s="3">
        <f>'Zarrah-Conversion'!P196</f>
        <v/>
      </c>
    </row>
    <row r="1032" ht="18" customHeight="1" s="96">
      <c r="A1032" s="93" t="inlineStr">
        <is>
          <t>Person B</t>
        </is>
      </c>
      <c r="B1032" s="93">
        <f>'Zarrah-Conversion'!A197</f>
        <v/>
      </c>
      <c r="C1032" s="8">
        <f>'Zarrah-Conversion'!B197</f>
        <v/>
      </c>
      <c r="D1032" s="8">
        <f>'Zarrah-Conversion'!C197</f>
        <v/>
      </c>
      <c r="E1032" s="8">
        <f>'Zarrah-Conversion'!D197</f>
        <v/>
      </c>
      <c r="F1032" s="8">
        <f>'Zarrah-Conversion'!E197</f>
        <v/>
      </c>
      <c r="G1032" s="9">
        <f>'Zarrah-Conversion'!F197</f>
        <v/>
      </c>
      <c r="H1032" s="8">
        <f>'Zarrah-Conversion'!G197</f>
        <v/>
      </c>
      <c r="I1032" s="10">
        <f>'Zarrah-Conversion'!H197</f>
        <v/>
      </c>
      <c r="J1032" s="10">
        <f>'Zarrah-Conversion'!I197</f>
        <v/>
      </c>
      <c r="K1032" s="11">
        <f>'Zarrah-Conversion'!J197</f>
        <v/>
      </c>
      <c r="L1032" s="12">
        <f>'Zarrah-Conversion'!K197</f>
        <v/>
      </c>
      <c r="M1032" s="11">
        <f>'Zarrah-Conversion'!N197</f>
        <v/>
      </c>
      <c r="N1032" s="8">
        <f>'Zarrah-Conversion'!O197</f>
        <v/>
      </c>
      <c r="O1032" s="8">
        <f>'Zarrah-Conversion'!P197</f>
        <v/>
      </c>
    </row>
    <row r="1033" ht="18" customHeight="1" s="96">
      <c r="A1033" s="2" t="inlineStr">
        <is>
          <t>Person B</t>
        </is>
      </c>
      <c r="B1033" s="2">
        <f>'Zarrah-Conversion'!A198</f>
        <v/>
      </c>
      <c r="C1033" s="3">
        <f>'Zarrah-Conversion'!B198</f>
        <v/>
      </c>
      <c r="D1033" s="3">
        <f>'Zarrah-Conversion'!C198</f>
        <v/>
      </c>
      <c r="E1033" s="3">
        <f>'Zarrah-Conversion'!D198</f>
        <v/>
      </c>
      <c r="F1033" s="3">
        <f>'Zarrah-Conversion'!E198</f>
        <v/>
      </c>
      <c r="G1033" s="4">
        <f>'Zarrah-Conversion'!F198</f>
        <v/>
      </c>
      <c r="H1033" s="3">
        <f>'Zarrah-Conversion'!G198</f>
        <v/>
      </c>
      <c r="I1033" s="5">
        <f>'Zarrah-Conversion'!H198</f>
        <v/>
      </c>
      <c r="J1033" s="5">
        <f>'Zarrah-Conversion'!I198</f>
        <v/>
      </c>
      <c r="K1033" s="6">
        <f>'Zarrah-Conversion'!J198</f>
        <v/>
      </c>
      <c r="L1033" s="13">
        <f>'Zarrah-Conversion'!K198</f>
        <v/>
      </c>
      <c r="M1033" s="6">
        <f>'Zarrah-Conversion'!N198</f>
        <v/>
      </c>
      <c r="N1033" s="3">
        <f>'Zarrah-Conversion'!O198</f>
        <v/>
      </c>
      <c r="O1033" s="3">
        <f>'Zarrah-Conversion'!P198</f>
        <v/>
      </c>
    </row>
    <row r="1034" ht="18" customHeight="1" s="96">
      <c r="A1034" s="93" t="inlineStr">
        <is>
          <t>Person B</t>
        </is>
      </c>
      <c r="B1034" s="93">
        <f>'Zarrah-Conversion'!A199</f>
        <v/>
      </c>
      <c r="C1034" s="8">
        <f>'Zarrah-Conversion'!B199</f>
        <v/>
      </c>
      <c r="D1034" s="8">
        <f>'Zarrah-Conversion'!C199</f>
        <v/>
      </c>
      <c r="E1034" s="8">
        <f>'Zarrah-Conversion'!D199</f>
        <v/>
      </c>
      <c r="F1034" s="8">
        <f>'Zarrah-Conversion'!E199</f>
        <v/>
      </c>
      <c r="G1034" s="9">
        <f>'Zarrah-Conversion'!F199</f>
        <v/>
      </c>
      <c r="H1034" s="8">
        <f>'Zarrah-Conversion'!G199</f>
        <v/>
      </c>
      <c r="I1034" s="10">
        <f>'Zarrah-Conversion'!H199</f>
        <v/>
      </c>
      <c r="J1034" s="10">
        <f>'Zarrah-Conversion'!I199</f>
        <v/>
      </c>
      <c r="K1034" s="11">
        <f>'Zarrah-Conversion'!J199</f>
        <v/>
      </c>
      <c r="L1034" s="12">
        <f>'Zarrah-Conversion'!K199</f>
        <v/>
      </c>
      <c r="M1034" s="11">
        <f>'Zarrah-Conversion'!N199</f>
        <v/>
      </c>
      <c r="N1034" s="8">
        <f>'Zarrah-Conversion'!O199</f>
        <v/>
      </c>
      <c r="O1034" s="8">
        <f>'Zarrah-Conversion'!P199</f>
        <v/>
      </c>
    </row>
    <row r="1035" ht="18" customHeight="1" s="96">
      <c r="A1035" s="2" t="inlineStr">
        <is>
          <t>Person B</t>
        </is>
      </c>
      <c r="B1035" s="2">
        <f>'Zarrah-Conversion'!A200</f>
        <v/>
      </c>
      <c r="C1035" s="3">
        <f>'Zarrah-Conversion'!B200</f>
        <v/>
      </c>
      <c r="D1035" s="3">
        <f>'Zarrah-Conversion'!C200</f>
        <v/>
      </c>
      <c r="E1035" s="3">
        <f>'Zarrah-Conversion'!D200</f>
        <v/>
      </c>
      <c r="F1035" s="3">
        <f>'Zarrah-Conversion'!E200</f>
        <v/>
      </c>
      <c r="G1035" s="4">
        <f>'Zarrah-Conversion'!F200</f>
        <v/>
      </c>
      <c r="H1035" s="3">
        <f>'Zarrah-Conversion'!G200</f>
        <v/>
      </c>
      <c r="I1035" s="5">
        <f>'Zarrah-Conversion'!H200</f>
        <v/>
      </c>
      <c r="J1035" s="5">
        <f>'Zarrah-Conversion'!I200</f>
        <v/>
      </c>
      <c r="K1035" s="6">
        <f>'Zarrah-Conversion'!J200</f>
        <v/>
      </c>
      <c r="L1035" s="13">
        <f>'Zarrah-Conversion'!K200</f>
        <v/>
      </c>
      <c r="M1035" s="6">
        <f>'Zarrah-Conversion'!N200</f>
        <v/>
      </c>
      <c r="N1035" s="3">
        <f>'Zarrah-Conversion'!O200</f>
        <v/>
      </c>
      <c r="O1035" s="3">
        <f>'Zarrah-Conversion'!P200</f>
        <v/>
      </c>
    </row>
    <row r="1036" ht="18" customHeight="1" s="96">
      <c r="A1036" s="93" t="inlineStr">
        <is>
          <t>Person B</t>
        </is>
      </c>
      <c r="B1036" s="93">
        <f>'Zarrah-Conversion'!A201</f>
        <v/>
      </c>
      <c r="C1036" s="8">
        <f>'Zarrah-Conversion'!B201</f>
        <v/>
      </c>
      <c r="D1036" s="8">
        <f>'Zarrah-Conversion'!C201</f>
        <v/>
      </c>
      <c r="E1036" s="8">
        <f>'Zarrah-Conversion'!D201</f>
        <v/>
      </c>
      <c r="F1036" s="8">
        <f>'Zarrah-Conversion'!E201</f>
        <v/>
      </c>
      <c r="G1036" s="9">
        <f>'Zarrah-Conversion'!F201</f>
        <v/>
      </c>
      <c r="H1036" s="8">
        <f>'Zarrah-Conversion'!G201</f>
        <v/>
      </c>
      <c r="I1036" s="10">
        <f>'Zarrah-Conversion'!H201</f>
        <v/>
      </c>
      <c r="J1036" s="10">
        <f>'Zarrah-Conversion'!I201</f>
        <v/>
      </c>
      <c r="K1036" s="11">
        <f>'Zarrah-Conversion'!J201</f>
        <v/>
      </c>
      <c r="L1036" s="12">
        <f>'Zarrah-Conversion'!K201</f>
        <v/>
      </c>
      <c r="M1036" s="11">
        <f>'Zarrah-Conversion'!N201</f>
        <v/>
      </c>
      <c r="N1036" s="8">
        <f>'Zarrah-Conversion'!O201</f>
        <v/>
      </c>
      <c r="O1036" s="8">
        <f>'Zarrah-Conversion'!P201</f>
        <v/>
      </c>
    </row>
    <row r="1037" ht="18" customHeight="1" s="96">
      <c r="A1037" s="2" t="inlineStr">
        <is>
          <t>Person C</t>
        </is>
      </c>
      <c r="B1037" s="2">
        <f>'Home-Conversion'!A3</f>
        <v/>
      </c>
      <c r="C1037" s="3">
        <f>'Home-Conversion'!B3</f>
        <v/>
      </c>
      <c r="D1037" s="3">
        <f>'Home-Conversion'!C3</f>
        <v/>
      </c>
      <c r="E1037" s="3">
        <f>'Home-Conversion'!D3</f>
        <v/>
      </c>
      <c r="F1037" s="3">
        <f>'Home-Conversion'!E3</f>
        <v/>
      </c>
      <c r="G1037" s="4">
        <f>'Home-Conversion'!F3</f>
        <v/>
      </c>
      <c r="H1037" s="3">
        <f>'Home-Conversion'!G3</f>
        <v/>
      </c>
      <c r="I1037" s="5">
        <f>'Home-Conversion'!H3</f>
        <v/>
      </c>
      <c r="J1037" s="5">
        <f>'Home-Conversion'!I3</f>
        <v/>
      </c>
      <c r="K1037" s="6">
        <f>'Home-Conversion'!J3</f>
        <v/>
      </c>
      <c r="L1037" s="13">
        <f>'Home-Conversion'!K3</f>
        <v/>
      </c>
      <c r="M1037" s="6">
        <f>'Home-Conversion'!N3</f>
        <v/>
      </c>
      <c r="N1037" s="3">
        <f>'Home-Conversion'!O3</f>
        <v/>
      </c>
      <c r="O1037" s="3">
        <f>'Home-Conversion'!P3</f>
        <v/>
      </c>
    </row>
    <row r="1038" ht="18" customHeight="1" s="96">
      <c r="A1038" s="93" t="inlineStr">
        <is>
          <t>Person C</t>
        </is>
      </c>
      <c r="B1038" s="93">
        <f>'Home-Conversion'!A4</f>
        <v/>
      </c>
      <c r="C1038" s="8">
        <f>'Home-Conversion'!B4</f>
        <v/>
      </c>
      <c r="D1038" s="8">
        <f>'Home-Conversion'!C4</f>
        <v/>
      </c>
      <c r="E1038" s="8">
        <f>'Home-Conversion'!D4</f>
        <v/>
      </c>
      <c r="F1038" s="8">
        <f>'Home-Conversion'!E4</f>
        <v/>
      </c>
      <c r="G1038" s="9">
        <f>'Home-Conversion'!F4</f>
        <v/>
      </c>
      <c r="H1038" s="8">
        <f>'Home-Conversion'!G4</f>
        <v/>
      </c>
      <c r="I1038" s="10">
        <f>'Home-Conversion'!H4</f>
        <v/>
      </c>
      <c r="J1038" s="10">
        <f>'Home-Conversion'!I4</f>
        <v/>
      </c>
      <c r="K1038" s="11">
        <f>'Home-Conversion'!J4</f>
        <v/>
      </c>
      <c r="L1038" s="12">
        <f>'Home-Conversion'!K4</f>
        <v/>
      </c>
      <c r="M1038" s="11">
        <f>'Home-Conversion'!N4</f>
        <v/>
      </c>
      <c r="N1038" s="8">
        <f>'Home-Conversion'!O4</f>
        <v/>
      </c>
      <c r="O1038" s="8">
        <f>'Home-Conversion'!P4</f>
        <v/>
      </c>
    </row>
    <row r="1039" ht="18" customHeight="1" s="96">
      <c r="A1039" s="2" t="inlineStr">
        <is>
          <t>Person C</t>
        </is>
      </c>
      <c r="B1039" s="2">
        <f>'Home-Conversion'!A5</f>
        <v/>
      </c>
      <c r="C1039" s="3">
        <f>'Home-Conversion'!B5</f>
        <v/>
      </c>
      <c r="D1039" s="3">
        <f>'Home-Conversion'!C5</f>
        <v/>
      </c>
      <c r="E1039" s="3">
        <f>'Home-Conversion'!D5</f>
        <v/>
      </c>
      <c r="F1039" s="3">
        <f>'Home-Conversion'!E5</f>
        <v/>
      </c>
      <c r="G1039" s="4">
        <f>'Home-Conversion'!F5</f>
        <v/>
      </c>
      <c r="H1039" s="3">
        <f>'Home-Conversion'!G5</f>
        <v/>
      </c>
      <c r="I1039" s="5">
        <f>'Home-Conversion'!H5</f>
        <v/>
      </c>
      <c r="J1039" s="5">
        <f>'Home-Conversion'!I5</f>
        <v/>
      </c>
      <c r="K1039" s="6">
        <f>'Home-Conversion'!J5</f>
        <v/>
      </c>
      <c r="L1039" s="13">
        <f>'Home-Conversion'!K5</f>
        <v/>
      </c>
      <c r="M1039" s="6">
        <f>'Home-Conversion'!N5</f>
        <v/>
      </c>
      <c r="N1039" s="3">
        <f>'Home-Conversion'!O5</f>
        <v/>
      </c>
      <c r="O1039" s="3">
        <f>'Home-Conversion'!P5</f>
        <v/>
      </c>
    </row>
    <row r="1040" ht="18" customHeight="1" s="96">
      <c r="A1040" s="93" t="inlineStr">
        <is>
          <t>Person C</t>
        </is>
      </c>
      <c r="B1040" s="93">
        <f>'Home-Conversion'!A6</f>
        <v/>
      </c>
      <c r="C1040" s="8">
        <f>'Home-Conversion'!B6</f>
        <v/>
      </c>
      <c r="D1040" s="8">
        <f>'Home-Conversion'!C6</f>
        <v/>
      </c>
      <c r="E1040" s="8">
        <f>'Home-Conversion'!D6</f>
        <v/>
      </c>
      <c r="F1040" s="8">
        <f>'Home-Conversion'!E6</f>
        <v/>
      </c>
      <c r="G1040" s="9">
        <f>'Home-Conversion'!F6</f>
        <v/>
      </c>
      <c r="H1040" s="8">
        <f>'Home-Conversion'!G6</f>
        <v/>
      </c>
      <c r="I1040" s="10">
        <f>'Home-Conversion'!H6</f>
        <v/>
      </c>
      <c r="J1040" s="10">
        <f>'Home-Conversion'!I6</f>
        <v/>
      </c>
      <c r="K1040" s="11">
        <f>'Home-Conversion'!J6</f>
        <v/>
      </c>
      <c r="L1040" s="12">
        <f>'Home-Conversion'!K6</f>
        <v/>
      </c>
      <c r="M1040" s="11">
        <f>'Home-Conversion'!N6</f>
        <v/>
      </c>
      <c r="N1040" s="8">
        <f>'Home-Conversion'!O6</f>
        <v/>
      </c>
      <c r="O1040" s="8">
        <f>'Home-Conversion'!P6</f>
        <v/>
      </c>
    </row>
    <row r="1041" ht="18" customHeight="1" s="96">
      <c r="A1041" s="2" t="inlineStr">
        <is>
          <t>Person C</t>
        </is>
      </c>
      <c r="B1041" s="2">
        <f>'Home-Conversion'!A7</f>
        <v/>
      </c>
      <c r="C1041" s="3">
        <f>'Home-Conversion'!B7</f>
        <v/>
      </c>
      <c r="D1041" s="3">
        <f>'Home-Conversion'!C7</f>
        <v/>
      </c>
      <c r="E1041" s="3">
        <f>'Home-Conversion'!D7</f>
        <v/>
      </c>
      <c r="F1041" s="3">
        <f>'Home-Conversion'!E7</f>
        <v/>
      </c>
      <c r="G1041" s="4">
        <f>'Home-Conversion'!F7</f>
        <v/>
      </c>
      <c r="H1041" s="3">
        <f>'Home-Conversion'!G7</f>
        <v/>
      </c>
      <c r="I1041" s="5">
        <f>'Home-Conversion'!H7</f>
        <v/>
      </c>
      <c r="J1041" s="5">
        <f>'Home-Conversion'!I7</f>
        <v/>
      </c>
      <c r="K1041" s="6">
        <f>'Home-Conversion'!J7</f>
        <v/>
      </c>
      <c r="L1041" s="13">
        <f>'Home-Conversion'!K7</f>
        <v/>
      </c>
      <c r="M1041" s="6">
        <f>'Home-Conversion'!N7</f>
        <v/>
      </c>
      <c r="N1041" s="3">
        <f>'Home-Conversion'!O7</f>
        <v/>
      </c>
      <c r="O1041" s="3">
        <f>'Home-Conversion'!P7</f>
        <v/>
      </c>
    </row>
    <row r="1042" ht="18" customHeight="1" s="96">
      <c r="A1042" s="93" t="inlineStr">
        <is>
          <t>Person C</t>
        </is>
      </c>
      <c r="B1042" s="93">
        <f>'Home-Conversion'!A8</f>
        <v/>
      </c>
      <c r="C1042" s="8">
        <f>'Home-Conversion'!B8</f>
        <v/>
      </c>
      <c r="D1042" s="8">
        <f>'Home-Conversion'!C8</f>
        <v/>
      </c>
      <c r="E1042" s="8">
        <f>'Home-Conversion'!D8</f>
        <v/>
      </c>
      <c r="F1042" s="8">
        <f>'Home-Conversion'!E8</f>
        <v/>
      </c>
      <c r="G1042" s="9">
        <f>'Home-Conversion'!F8</f>
        <v/>
      </c>
      <c r="H1042" s="8">
        <f>'Home-Conversion'!G8</f>
        <v/>
      </c>
      <c r="I1042" s="10">
        <f>'Home-Conversion'!H8</f>
        <v/>
      </c>
      <c r="J1042" s="10">
        <f>'Home-Conversion'!I8</f>
        <v/>
      </c>
      <c r="K1042" s="11">
        <f>'Home-Conversion'!J8</f>
        <v/>
      </c>
      <c r="L1042" s="12">
        <f>'Home-Conversion'!K8</f>
        <v/>
      </c>
      <c r="M1042" s="11">
        <f>'Home-Conversion'!N8</f>
        <v/>
      </c>
      <c r="N1042" s="8">
        <f>'Home-Conversion'!O8</f>
        <v/>
      </c>
      <c r="O1042" s="8">
        <f>'Home-Conversion'!P8</f>
        <v/>
      </c>
    </row>
    <row r="1043" ht="18" customHeight="1" s="96">
      <c r="A1043" s="2" t="inlineStr">
        <is>
          <t>Person C</t>
        </is>
      </c>
      <c r="B1043" s="2">
        <f>'Home-Conversion'!A9</f>
        <v/>
      </c>
      <c r="C1043" s="3">
        <f>'Home-Conversion'!B9</f>
        <v/>
      </c>
      <c r="D1043" s="3">
        <f>'Home-Conversion'!C9</f>
        <v/>
      </c>
      <c r="E1043" s="3">
        <f>'Home-Conversion'!D9</f>
        <v/>
      </c>
      <c r="F1043" s="3">
        <f>'Home-Conversion'!E9</f>
        <v/>
      </c>
      <c r="G1043" s="4">
        <f>'Home-Conversion'!F9</f>
        <v/>
      </c>
      <c r="H1043" s="3">
        <f>'Home-Conversion'!G9</f>
        <v/>
      </c>
      <c r="I1043" s="5">
        <f>'Home-Conversion'!H9</f>
        <v/>
      </c>
      <c r="J1043" s="5">
        <f>'Home-Conversion'!I9</f>
        <v/>
      </c>
      <c r="K1043" s="6">
        <f>'Home-Conversion'!J9</f>
        <v/>
      </c>
      <c r="L1043" s="13">
        <f>'Home-Conversion'!K9</f>
        <v/>
      </c>
      <c r="M1043" s="6">
        <f>'Home-Conversion'!N9</f>
        <v/>
      </c>
      <c r="N1043" s="3">
        <f>'Home-Conversion'!O9</f>
        <v/>
      </c>
      <c r="O1043" s="3">
        <f>'Home-Conversion'!P9</f>
        <v/>
      </c>
    </row>
    <row r="1044" ht="18" customHeight="1" s="96">
      <c r="A1044" s="93" t="inlineStr">
        <is>
          <t>Person C</t>
        </is>
      </c>
      <c r="B1044" s="93">
        <f>'Home-Conversion'!A10</f>
        <v/>
      </c>
      <c r="C1044" s="8">
        <f>'Home-Conversion'!B10</f>
        <v/>
      </c>
      <c r="D1044" s="8">
        <f>'Home-Conversion'!C10</f>
        <v/>
      </c>
      <c r="E1044" s="8">
        <f>'Home-Conversion'!D10</f>
        <v/>
      </c>
      <c r="F1044" s="8">
        <f>'Home-Conversion'!E10</f>
        <v/>
      </c>
      <c r="G1044" s="9">
        <f>'Home-Conversion'!F10</f>
        <v/>
      </c>
      <c r="H1044" s="8">
        <f>'Home-Conversion'!G10</f>
        <v/>
      </c>
      <c r="I1044" s="10">
        <f>'Home-Conversion'!H10</f>
        <v/>
      </c>
      <c r="J1044" s="10">
        <f>'Home-Conversion'!I10</f>
        <v/>
      </c>
      <c r="K1044" s="11">
        <f>'Home-Conversion'!J10</f>
        <v/>
      </c>
      <c r="L1044" s="12">
        <f>'Home-Conversion'!K10</f>
        <v/>
      </c>
      <c r="M1044" s="11">
        <f>'Home-Conversion'!N10</f>
        <v/>
      </c>
      <c r="N1044" s="8">
        <f>'Home-Conversion'!O10</f>
        <v/>
      </c>
      <c r="O1044" s="8">
        <f>'Home-Conversion'!P10</f>
        <v/>
      </c>
    </row>
    <row r="1045" ht="18" customHeight="1" s="96">
      <c r="A1045" s="2" t="inlineStr">
        <is>
          <t>Person C</t>
        </is>
      </c>
      <c r="B1045" s="2">
        <f>'Home-Conversion'!A11</f>
        <v/>
      </c>
      <c r="C1045" s="3">
        <f>'Home-Conversion'!B11</f>
        <v/>
      </c>
      <c r="D1045" s="3">
        <f>'Home-Conversion'!C11</f>
        <v/>
      </c>
      <c r="E1045" s="3">
        <f>'Home-Conversion'!D11</f>
        <v/>
      </c>
      <c r="F1045" s="3">
        <f>'Home-Conversion'!E11</f>
        <v/>
      </c>
      <c r="G1045" s="4">
        <f>'Home-Conversion'!F11</f>
        <v/>
      </c>
      <c r="H1045" s="3">
        <f>'Home-Conversion'!G11</f>
        <v/>
      </c>
      <c r="I1045" s="5">
        <f>'Home-Conversion'!H11</f>
        <v/>
      </c>
      <c r="J1045" s="5">
        <f>'Home-Conversion'!I11</f>
        <v/>
      </c>
      <c r="K1045" s="6">
        <f>'Home-Conversion'!J11</f>
        <v/>
      </c>
      <c r="L1045" s="13">
        <f>'Home-Conversion'!K11</f>
        <v/>
      </c>
      <c r="M1045" s="6">
        <f>'Home-Conversion'!N11</f>
        <v/>
      </c>
      <c r="N1045" s="3">
        <f>'Home-Conversion'!O11</f>
        <v/>
      </c>
      <c r="O1045" s="3">
        <f>'Home-Conversion'!P11</f>
        <v/>
      </c>
    </row>
    <row r="1046" ht="18" customHeight="1" s="96">
      <c r="A1046" s="93" t="inlineStr">
        <is>
          <t>Person C</t>
        </is>
      </c>
      <c r="B1046" s="93">
        <f>'Home-Conversion'!A12</f>
        <v/>
      </c>
      <c r="C1046" s="8">
        <f>'Home-Conversion'!B12</f>
        <v/>
      </c>
      <c r="D1046" s="8">
        <f>'Home-Conversion'!C12</f>
        <v/>
      </c>
      <c r="E1046" s="8">
        <f>'Home-Conversion'!D12</f>
        <v/>
      </c>
      <c r="F1046" s="8">
        <f>'Home-Conversion'!E12</f>
        <v/>
      </c>
      <c r="G1046" s="9">
        <f>'Home-Conversion'!F12</f>
        <v/>
      </c>
      <c r="H1046" s="8">
        <f>'Home-Conversion'!G12</f>
        <v/>
      </c>
      <c r="I1046" s="10">
        <f>'Home-Conversion'!H12</f>
        <v/>
      </c>
      <c r="J1046" s="10">
        <f>'Home-Conversion'!I12</f>
        <v/>
      </c>
      <c r="K1046" s="11">
        <f>'Home-Conversion'!J12</f>
        <v/>
      </c>
      <c r="L1046" s="12">
        <f>'Home-Conversion'!K12</f>
        <v/>
      </c>
      <c r="M1046" s="11">
        <f>'Home-Conversion'!N12</f>
        <v/>
      </c>
      <c r="N1046" s="8">
        <f>'Home-Conversion'!O12</f>
        <v/>
      </c>
      <c r="O1046" s="8">
        <f>'Home-Conversion'!P12</f>
        <v/>
      </c>
    </row>
    <row r="1047" ht="18" customHeight="1" s="96">
      <c r="A1047" s="2" t="inlineStr">
        <is>
          <t>Person C</t>
        </is>
      </c>
      <c r="B1047" s="2">
        <f>'Home-Conversion'!A13</f>
        <v/>
      </c>
      <c r="C1047" s="3">
        <f>'Home-Conversion'!B13</f>
        <v/>
      </c>
      <c r="D1047" s="3">
        <f>'Home-Conversion'!C13</f>
        <v/>
      </c>
      <c r="E1047" s="3">
        <f>'Home-Conversion'!D13</f>
        <v/>
      </c>
      <c r="F1047" s="3">
        <f>'Home-Conversion'!E13</f>
        <v/>
      </c>
      <c r="G1047" s="4">
        <f>'Home-Conversion'!F13</f>
        <v/>
      </c>
      <c r="H1047" s="3">
        <f>'Home-Conversion'!G13</f>
        <v/>
      </c>
      <c r="I1047" s="5">
        <f>'Home-Conversion'!H13</f>
        <v/>
      </c>
      <c r="J1047" s="5">
        <f>'Home-Conversion'!I13</f>
        <v/>
      </c>
      <c r="K1047" s="6">
        <f>'Home-Conversion'!J13</f>
        <v/>
      </c>
      <c r="L1047" s="13">
        <f>'Home-Conversion'!K13</f>
        <v/>
      </c>
      <c r="M1047" s="6">
        <f>'Home-Conversion'!N13</f>
        <v/>
      </c>
      <c r="N1047" s="3">
        <f>'Home-Conversion'!O13</f>
        <v/>
      </c>
      <c r="O1047" s="3">
        <f>'Home-Conversion'!P13</f>
        <v/>
      </c>
    </row>
    <row r="1048" ht="18" customHeight="1" s="96">
      <c r="A1048" s="93" t="inlineStr">
        <is>
          <t>Person C</t>
        </is>
      </c>
      <c r="B1048" s="93">
        <f>'Home-Conversion'!A14</f>
        <v/>
      </c>
      <c r="C1048" s="8">
        <f>'Home-Conversion'!B14</f>
        <v/>
      </c>
      <c r="D1048" s="8">
        <f>'Home-Conversion'!C14</f>
        <v/>
      </c>
      <c r="E1048" s="8">
        <f>'Home-Conversion'!D14</f>
        <v/>
      </c>
      <c r="F1048" s="8">
        <f>'Home-Conversion'!E14</f>
        <v/>
      </c>
      <c r="G1048" s="9">
        <f>'Home-Conversion'!F14</f>
        <v/>
      </c>
      <c r="H1048" s="8">
        <f>'Home-Conversion'!G14</f>
        <v/>
      </c>
      <c r="I1048" s="10">
        <f>'Home-Conversion'!H14</f>
        <v/>
      </c>
      <c r="J1048" s="10">
        <f>'Home-Conversion'!I14</f>
        <v/>
      </c>
      <c r="K1048" s="11">
        <f>'Home-Conversion'!J14</f>
        <v/>
      </c>
      <c r="L1048" s="12">
        <f>'Home-Conversion'!K14</f>
        <v/>
      </c>
      <c r="M1048" s="11">
        <f>'Home-Conversion'!N14</f>
        <v/>
      </c>
      <c r="N1048" s="8">
        <f>'Home-Conversion'!O14</f>
        <v/>
      </c>
      <c r="O1048" s="8">
        <f>'Home-Conversion'!P14</f>
        <v/>
      </c>
    </row>
    <row r="1049" ht="18" customHeight="1" s="96">
      <c r="A1049" s="2" t="inlineStr">
        <is>
          <t>Person C</t>
        </is>
      </c>
      <c r="B1049" s="2">
        <f>'Home-Conversion'!A15</f>
        <v/>
      </c>
      <c r="C1049" s="3">
        <f>'Home-Conversion'!B15</f>
        <v/>
      </c>
      <c r="D1049" s="3">
        <f>'Home-Conversion'!C15</f>
        <v/>
      </c>
      <c r="E1049" s="3">
        <f>'Home-Conversion'!D15</f>
        <v/>
      </c>
      <c r="F1049" s="3">
        <f>'Home-Conversion'!E15</f>
        <v/>
      </c>
      <c r="G1049" s="4">
        <f>'Home-Conversion'!F15</f>
        <v/>
      </c>
      <c r="H1049" s="3">
        <f>'Home-Conversion'!G15</f>
        <v/>
      </c>
      <c r="I1049" s="5">
        <f>'Home-Conversion'!H15</f>
        <v/>
      </c>
      <c r="J1049" s="5">
        <f>'Home-Conversion'!I15</f>
        <v/>
      </c>
      <c r="K1049" s="6">
        <f>'Home-Conversion'!J15</f>
        <v/>
      </c>
      <c r="L1049" s="13">
        <f>'Home-Conversion'!K15</f>
        <v/>
      </c>
      <c r="M1049" s="6">
        <f>'Home-Conversion'!N15</f>
        <v/>
      </c>
      <c r="N1049" s="3">
        <f>'Home-Conversion'!O15</f>
        <v/>
      </c>
      <c r="O1049" s="3">
        <f>'Home-Conversion'!P15</f>
        <v/>
      </c>
    </row>
    <row r="1050" ht="18" customHeight="1" s="96">
      <c r="A1050" s="93" t="inlineStr">
        <is>
          <t>Person C</t>
        </is>
      </c>
      <c r="B1050" s="93">
        <f>'Home-Conversion'!A16</f>
        <v/>
      </c>
      <c r="C1050" s="8">
        <f>'Home-Conversion'!B16</f>
        <v/>
      </c>
      <c r="D1050" s="8">
        <f>'Home-Conversion'!C16</f>
        <v/>
      </c>
      <c r="E1050" s="8">
        <f>'Home-Conversion'!D16</f>
        <v/>
      </c>
      <c r="F1050" s="8">
        <f>'Home-Conversion'!E16</f>
        <v/>
      </c>
      <c r="G1050" s="9">
        <f>'Home-Conversion'!F16</f>
        <v/>
      </c>
      <c r="H1050" s="8">
        <f>'Home-Conversion'!G16</f>
        <v/>
      </c>
      <c r="I1050" s="10">
        <f>'Home-Conversion'!H16</f>
        <v/>
      </c>
      <c r="J1050" s="10">
        <f>'Home-Conversion'!I16</f>
        <v/>
      </c>
      <c r="K1050" s="11">
        <f>'Home-Conversion'!J16</f>
        <v/>
      </c>
      <c r="L1050" s="12">
        <f>'Home-Conversion'!K16</f>
        <v/>
      </c>
      <c r="M1050" s="11">
        <f>'Home-Conversion'!N16</f>
        <v/>
      </c>
      <c r="N1050" s="8">
        <f>'Home-Conversion'!O16</f>
        <v/>
      </c>
      <c r="O1050" s="8">
        <f>'Home-Conversion'!P16</f>
        <v/>
      </c>
    </row>
    <row r="1051" ht="18" customHeight="1" s="96">
      <c r="A1051" s="2" t="inlineStr">
        <is>
          <t>Person C</t>
        </is>
      </c>
      <c r="B1051" s="2">
        <f>'Home-Conversion'!A17</f>
        <v/>
      </c>
      <c r="C1051" s="3">
        <f>'Home-Conversion'!B17</f>
        <v/>
      </c>
      <c r="D1051" s="3">
        <f>'Home-Conversion'!C17</f>
        <v/>
      </c>
      <c r="E1051" s="3">
        <f>'Home-Conversion'!D17</f>
        <v/>
      </c>
      <c r="F1051" s="3">
        <f>'Home-Conversion'!E17</f>
        <v/>
      </c>
      <c r="G1051" s="4">
        <f>'Home-Conversion'!F17</f>
        <v/>
      </c>
      <c r="H1051" s="3">
        <f>'Home-Conversion'!G17</f>
        <v/>
      </c>
      <c r="I1051" s="5">
        <f>'Home-Conversion'!H17</f>
        <v/>
      </c>
      <c r="J1051" s="5">
        <f>'Home-Conversion'!I17</f>
        <v/>
      </c>
      <c r="K1051" s="6">
        <f>'Home-Conversion'!J17</f>
        <v/>
      </c>
      <c r="L1051" s="13">
        <f>'Home-Conversion'!K17</f>
        <v/>
      </c>
      <c r="M1051" s="6">
        <f>'Home-Conversion'!N17</f>
        <v/>
      </c>
      <c r="N1051" s="3">
        <f>'Home-Conversion'!O17</f>
        <v/>
      </c>
      <c r="O1051" s="3">
        <f>'Home-Conversion'!P17</f>
        <v/>
      </c>
    </row>
    <row r="1052" ht="18" customHeight="1" s="96">
      <c r="A1052" s="93" t="inlineStr">
        <is>
          <t>Person C</t>
        </is>
      </c>
      <c r="B1052" s="93">
        <f>'Home-Conversion'!A18</f>
        <v/>
      </c>
      <c r="C1052" s="8">
        <f>'Home-Conversion'!B18</f>
        <v/>
      </c>
      <c r="D1052" s="8">
        <f>'Home-Conversion'!C18</f>
        <v/>
      </c>
      <c r="E1052" s="8">
        <f>'Home-Conversion'!D18</f>
        <v/>
      </c>
      <c r="F1052" s="8">
        <f>'Home-Conversion'!E18</f>
        <v/>
      </c>
      <c r="G1052" s="9">
        <f>'Home-Conversion'!F18</f>
        <v/>
      </c>
      <c r="H1052" s="8">
        <f>'Home-Conversion'!G18</f>
        <v/>
      </c>
      <c r="I1052" s="10">
        <f>'Home-Conversion'!H18</f>
        <v/>
      </c>
      <c r="J1052" s="10">
        <f>'Home-Conversion'!I18</f>
        <v/>
      </c>
      <c r="K1052" s="11">
        <f>'Home-Conversion'!J18</f>
        <v/>
      </c>
      <c r="L1052" s="12">
        <f>'Home-Conversion'!K18</f>
        <v/>
      </c>
      <c r="M1052" s="11">
        <f>'Home-Conversion'!N18</f>
        <v/>
      </c>
      <c r="N1052" s="8">
        <f>'Home-Conversion'!O18</f>
        <v/>
      </c>
      <c r="O1052" s="8">
        <f>'Home-Conversion'!P18</f>
        <v/>
      </c>
    </row>
    <row r="1053" ht="18" customHeight="1" s="96">
      <c r="A1053" s="2" t="inlineStr">
        <is>
          <t>Person C</t>
        </is>
      </c>
      <c r="B1053" s="2">
        <f>'Home-Conversion'!A19</f>
        <v/>
      </c>
      <c r="C1053" s="3">
        <f>'Home-Conversion'!B19</f>
        <v/>
      </c>
      <c r="D1053" s="3">
        <f>'Home-Conversion'!C19</f>
        <v/>
      </c>
      <c r="E1053" s="3">
        <f>'Home-Conversion'!D19</f>
        <v/>
      </c>
      <c r="F1053" s="3">
        <f>'Home-Conversion'!E19</f>
        <v/>
      </c>
      <c r="G1053" s="4">
        <f>'Home-Conversion'!F19</f>
        <v/>
      </c>
      <c r="H1053" s="3">
        <f>'Home-Conversion'!G19</f>
        <v/>
      </c>
      <c r="I1053" s="5">
        <f>'Home-Conversion'!H19</f>
        <v/>
      </c>
      <c r="J1053" s="5">
        <f>'Home-Conversion'!I19</f>
        <v/>
      </c>
      <c r="K1053" s="6">
        <f>'Home-Conversion'!J19</f>
        <v/>
      </c>
      <c r="L1053" s="13">
        <f>'Home-Conversion'!K19</f>
        <v/>
      </c>
      <c r="M1053" s="6">
        <f>'Home-Conversion'!N19</f>
        <v/>
      </c>
      <c r="N1053" s="3">
        <f>'Home-Conversion'!O19</f>
        <v/>
      </c>
      <c r="O1053" s="3">
        <f>'Home-Conversion'!P19</f>
        <v/>
      </c>
    </row>
    <row r="1054" ht="18" customHeight="1" s="96">
      <c r="A1054" s="93" t="inlineStr">
        <is>
          <t>Person C</t>
        </is>
      </c>
      <c r="B1054" s="93">
        <f>'Home-Conversion'!A20</f>
        <v/>
      </c>
      <c r="C1054" s="8">
        <f>'Home-Conversion'!B20</f>
        <v/>
      </c>
      <c r="D1054" s="8">
        <f>'Home-Conversion'!C20</f>
        <v/>
      </c>
      <c r="E1054" s="8">
        <f>'Home-Conversion'!D20</f>
        <v/>
      </c>
      <c r="F1054" s="8">
        <f>'Home-Conversion'!E20</f>
        <v/>
      </c>
      <c r="G1054" s="9">
        <f>'Home-Conversion'!F20</f>
        <v/>
      </c>
      <c r="H1054" s="8">
        <f>'Home-Conversion'!G20</f>
        <v/>
      </c>
      <c r="I1054" s="10">
        <f>'Home-Conversion'!H20</f>
        <v/>
      </c>
      <c r="J1054" s="10">
        <f>'Home-Conversion'!I20</f>
        <v/>
      </c>
      <c r="K1054" s="11">
        <f>'Home-Conversion'!J20</f>
        <v/>
      </c>
      <c r="L1054" s="12">
        <f>'Home-Conversion'!K20</f>
        <v/>
      </c>
      <c r="M1054" s="11">
        <f>'Home-Conversion'!N20</f>
        <v/>
      </c>
      <c r="N1054" s="8">
        <f>'Home-Conversion'!O20</f>
        <v/>
      </c>
      <c r="O1054" s="8">
        <f>'Home-Conversion'!P20</f>
        <v/>
      </c>
    </row>
    <row r="1055" ht="18" customHeight="1" s="96">
      <c r="A1055" s="2" t="inlineStr">
        <is>
          <t>Person C</t>
        </is>
      </c>
      <c r="B1055" s="2">
        <f>'Home-Conversion'!A21</f>
        <v/>
      </c>
      <c r="C1055" s="3">
        <f>'Home-Conversion'!B21</f>
        <v/>
      </c>
      <c r="D1055" s="3">
        <f>'Home-Conversion'!C21</f>
        <v/>
      </c>
      <c r="E1055" s="3">
        <f>'Home-Conversion'!D21</f>
        <v/>
      </c>
      <c r="F1055" s="3">
        <f>'Home-Conversion'!E21</f>
        <v/>
      </c>
      <c r="G1055" s="4">
        <f>'Home-Conversion'!F21</f>
        <v/>
      </c>
      <c r="H1055" s="3">
        <f>'Home-Conversion'!G21</f>
        <v/>
      </c>
      <c r="I1055" s="5">
        <f>'Home-Conversion'!H21</f>
        <v/>
      </c>
      <c r="J1055" s="5">
        <f>'Home-Conversion'!I21</f>
        <v/>
      </c>
      <c r="K1055" s="6">
        <f>'Home-Conversion'!J21</f>
        <v/>
      </c>
      <c r="L1055" s="13">
        <f>'Home-Conversion'!K21</f>
        <v/>
      </c>
      <c r="M1055" s="6">
        <f>'Home-Conversion'!N21</f>
        <v/>
      </c>
      <c r="N1055" s="3">
        <f>'Home-Conversion'!O21</f>
        <v/>
      </c>
      <c r="O1055" s="3">
        <f>'Home-Conversion'!P21</f>
        <v/>
      </c>
    </row>
    <row r="1056" ht="18" customHeight="1" s="96">
      <c r="A1056" s="93" t="inlineStr">
        <is>
          <t>Person C</t>
        </is>
      </c>
      <c r="B1056" s="93">
        <f>'Home-Conversion'!A22</f>
        <v/>
      </c>
      <c r="C1056" s="8">
        <f>'Home-Conversion'!B22</f>
        <v/>
      </c>
      <c r="D1056" s="8">
        <f>'Home-Conversion'!C22</f>
        <v/>
      </c>
      <c r="E1056" s="8">
        <f>'Home-Conversion'!D22</f>
        <v/>
      </c>
      <c r="F1056" s="8">
        <f>'Home-Conversion'!E22</f>
        <v/>
      </c>
      <c r="G1056" s="9">
        <f>'Home-Conversion'!F22</f>
        <v/>
      </c>
      <c r="H1056" s="8">
        <f>'Home-Conversion'!G22</f>
        <v/>
      </c>
      <c r="I1056" s="10">
        <f>'Home-Conversion'!H22</f>
        <v/>
      </c>
      <c r="J1056" s="10">
        <f>'Home-Conversion'!I22</f>
        <v/>
      </c>
      <c r="K1056" s="11">
        <f>'Home-Conversion'!J22</f>
        <v/>
      </c>
      <c r="L1056" s="12">
        <f>'Home-Conversion'!K22</f>
        <v/>
      </c>
      <c r="M1056" s="11">
        <f>'Home-Conversion'!N22</f>
        <v/>
      </c>
      <c r="N1056" s="8">
        <f>'Home-Conversion'!O22</f>
        <v/>
      </c>
      <c r="O1056" s="8">
        <f>'Home-Conversion'!P22</f>
        <v/>
      </c>
    </row>
    <row r="1057" ht="18" customHeight="1" s="96">
      <c r="A1057" s="2" t="inlineStr">
        <is>
          <t>Person C</t>
        </is>
      </c>
      <c r="B1057" s="2">
        <f>'Home-Conversion'!A23</f>
        <v/>
      </c>
      <c r="C1057" s="3">
        <f>'Home-Conversion'!B23</f>
        <v/>
      </c>
      <c r="D1057" s="3">
        <f>'Home-Conversion'!C23</f>
        <v/>
      </c>
      <c r="E1057" s="3">
        <f>'Home-Conversion'!D23</f>
        <v/>
      </c>
      <c r="F1057" s="3">
        <f>'Home-Conversion'!E23</f>
        <v/>
      </c>
      <c r="G1057" s="4">
        <f>'Home-Conversion'!F23</f>
        <v/>
      </c>
      <c r="H1057" s="3">
        <f>'Home-Conversion'!G23</f>
        <v/>
      </c>
      <c r="I1057" s="5">
        <f>'Home-Conversion'!H23</f>
        <v/>
      </c>
      <c r="J1057" s="5">
        <f>'Home-Conversion'!I23</f>
        <v/>
      </c>
      <c r="K1057" s="6">
        <f>'Home-Conversion'!J23</f>
        <v/>
      </c>
      <c r="L1057" s="13">
        <f>'Home-Conversion'!K23</f>
        <v/>
      </c>
      <c r="M1057" s="6">
        <f>'Home-Conversion'!N23</f>
        <v/>
      </c>
      <c r="N1057" s="3">
        <f>'Home-Conversion'!O23</f>
        <v/>
      </c>
      <c r="O1057" s="3">
        <f>'Home-Conversion'!P23</f>
        <v/>
      </c>
    </row>
    <row r="1058" ht="18" customHeight="1" s="96">
      <c r="A1058" s="93" t="inlineStr">
        <is>
          <t>Person C</t>
        </is>
      </c>
      <c r="B1058" s="93">
        <f>'Home-Conversion'!A24</f>
        <v/>
      </c>
      <c r="C1058" s="8">
        <f>'Home-Conversion'!B24</f>
        <v/>
      </c>
      <c r="D1058" s="8">
        <f>'Home-Conversion'!C24</f>
        <v/>
      </c>
      <c r="E1058" s="8">
        <f>'Home-Conversion'!D24</f>
        <v/>
      </c>
      <c r="F1058" s="8">
        <f>'Home-Conversion'!E24</f>
        <v/>
      </c>
      <c r="G1058" s="9">
        <f>'Home-Conversion'!F24</f>
        <v/>
      </c>
      <c r="H1058" s="8">
        <f>'Home-Conversion'!G24</f>
        <v/>
      </c>
      <c r="I1058" s="10">
        <f>'Home-Conversion'!H24</f>
        <v/>
      </c>
      <c r="J1058" s="10">
        <f>'Home-Conversion'!I24</f>
        <v/>
      </c>
      <c r="K1058" s="11">
        <f>'Home-Conversion'!J24</f>
        <v/>
      </c>
      <c r="L1058" s="12">
        <f>'Home-Conversion'!K24</f>
        <v/>
      </c>
      <c r="M1058" s="11">
        <f>'Home-Conversion'!N24</f>
        <v/>
      </c>
      <c r="N1058" s="8">
        <f>'Home-Conversion'!O24</f>
        <v/>
      </c>
      <c r="O1058" s="8">
        <f>'Home-Conversion'!P24</f>
        <v/>
      </c>
    </row>
    <row r="1059" ht="18" customHeight="1" s="96">
      <c r="A1059" s="2" t="inlineStr">
        <is>
          <t>Person C</t>
        </is>
      </c>
      <c r="B1059" s="2">
        <f>'Home-Conversion'!A25</f>
        <v/>
      </c>
      <c r="C1059" s="3">
        <f>'Home-Conversion'!B25</f>
        <v/>
      </c>
      <c r="D1059" s="3">
        <f>'Home-Conversion'!C25</f>
        <v/>
      </c>
      <c r="E1059" s="3">
        <f>'Home-Conversion'!D25</f>
        <v/>
      </c>
      <c r="F1059" s="3">
        <f>'Home-Conversion'!E25</f>
        <v/>
      </c>
      <c r="G1059" s="4">
        <f>'Home-Conversion'!F25</f>
        <v/>
      </c>
      <c r="H1059" s="3">
        <f>'Home-Conversion'!G25</f>
        <v/>
      </c>
      <c r="I1059" s="5">
        <f>'Home-Conversion'!H25</f>
        <v/>
      </c>
      <c r="J1059" s="5">
        <f>'Home-Conversion'!I25</f>
        <v/>
      </c>
      <c r="K1059" s="6">
        <f>'Home-Conversion'!J25</f>
        <v/>
      </c>
      <c r="L1059" s="13">
        <f>'Home-Conversion'!K25</f>
        <v/>
      </c>
      <c r="M1059" s="6">
        <f>'Home-Conversion'!N25</f>
        <v/>
      </c>
      <c r="N1059" s="3">
        <f>'Home-Conversion'!O25</f>
        <v/>
      </c>
      <c r="O1059" s="3">
        <f>'Home-Conversion'!P25</f>
        <v/>
      </c>
    </row>
    <row r="1060" ht="18" customHeight="1" s="96">
      <c r="A1060" s="93" t="inlineStr">
        <is>
          <t>Person C</t>
        </is>
      </c>
      <c r="B1060" s="93">
        <f>'Home-Conversion'!A26</f>
        <v/>
      </c>
      <c r="C1060" s="8">
        <f>'Home-Conversion'!B26</f>
        <v/>
      </c>
      <c r="D1060" s="8">
        <f>'Home-Conversion'!C26</f>
        <v/>
      </c>
      <c r="E1060" s="8">
        <f>'Home-Conversion'!D26</f>
        <v/>
      </c>
      <c r="F1060" s="8">
        <f>'Home-Conversion'!E26</f>
        <v/>
      </c>
      <c r="G1060" s="9">
        <f>'Home-Conversion'!F26</f>
        <v/>
      </c>
      <c r="H1060" s="8">
        <f>'Home-Conversion'!G26</f>
        <v/>
      </c>
      <c r="I1060" s="10">
        <f>'Home-Conversion'!H26</f>
        <v/>
      </c>
      <c r="J1060" s="10">
        <f>'Home-Conversion'!I26</f>
        <v/>
      </c>
      <c r="K1060" s="11">
        <f>'Home-Conversion'!J26</f>
        <v/>
      </c>
      <c r="L1060" s="12">
        <f>'Home-Conversion'!K26</f>
        <v/>
      </c>
      <c r="M1060" s="11">
        <f>'Home-Conversion'!N26</f>
        <v/>
      </c>
      <c r="N1060" s="8">
        <f>'Home-Conversion'!O26</f>
        <v/>
      </c>
      <c r="O1060" s="8">
        <f>'Home-Conversion'!P26</f>
        <v/>
      </c>
    </row>
    <row r="1061" ht="18" customHeight="1" s="96">
      <c r="A1061" s="2" t="inlineStr">
        <is>
          <t>Person C</t>
        </is>
      </c>
      <c r="B1061" s="2">
        <f>'Home-Conversion'!A27</f>
        <v/>
      </c>
      <c r="C1061" s="3">
        <f>'Home-Conversion'!B27</f>
        <v/>
      </c>
      <c r="D1061" s="3">
        <f>'Home-Conversion'!C27</f>
        <v/>
      </c>
      <c r="E1061" s="3">
        <f>'Home-Conversion'!D27</f>
        <v/>
      </c>
      <c r="F1061" s="3">
        <f>'Home-Conversion'!E27</f>
        <v/>
      </c>
      <c r="G1061" s="4">
        <f>'Home-Conversion'!F27</f>
        <v/>
      </c>
      <c r="H1061" s="3">
        <f>'Home-Conversion'!G27</f>
        <v/>
      </c>
      <c r="I1061" s="5">
        <f>'Home-Conversion'!H27</f>
        <v/>
      </c>
      <c r="J1061" s="5">
        <f>'Home-Conversion'!I27</f>
        <v/>
      </c>
      <c r="K1061" s="6">
        <f>'Home-Conversion'!J27</f>
        <v/>
      </c>
      <c r="L1061" s="13">
        <f>'Home-Conversion'!K27</f>
        <v/>
      </c>
      <c r="M1061" s="6">
        <f>'Home-Conversion'!N27</f>
        <v/>
      </c>
      <c r="N1061" s="3">
        <f>'Home-Conversion'!O27</f>
        <v/>
      </c>
      <c r="O1061" s="3">
        <f>'Home-Conversion'!P27</f>
        <v/>
      </c>
    </row>
    <row r="1062" ht="18" customHeight="1" s="96">
      <c r="A1062" s="93" t="inlineStr">
        <is>
          <t>Person C</t>
        </is>
      </c>
      <c r="B1062" s="93">
        <f>'Home-Conversion'!A28</f>
        <v/>
      </c>
      <c r="C1062" s="8">
        <f>'Home-Conversion'!B28</f>
        <v/>
      </c>
      <c r="D1062" s="8">
        <f>'Home-Conversion'!C28</f>
        <v/>
      </c>
      <c r="E1062" s="8">
        <f>'Home-Conversion'!D28</f>
        <v/>
      </c>
      <c r="F1062" s="8">
        <f>'Home-Conversion'!E28</f>
        <v/>
      </c>
      <c r="G1062" s="9">
        <f>'Home-Conversion'!F28</f>
        <v/>
      </c>
      <c r="H1062" s="8">
        <f>'Home-Conversion'!G28</f>
        <v/>
      </c>
      <c r="I1062" s="10">
        <f>'Home-Conversion'!H28</f>
        <v/>
      </c>
      <c r="J1062" s="10">
        <f>'Home-Conversion'!I28</f>
        <v/>
      </c>
      <c r="K1062" s="11">
        <f>'Home-Conversion'!J28</f>
        <v/>
      </c>
      <c r="L1062" s="12">
        <f>'Home-Conversion'!K28</f>
        <v/>
      </c>
      <c r="M1062" s="11">
        <f>'Home-Conversion'!N28</f>
        <v/>
      </c>
      <c r="N1062" s="8">
        <f>'Home-Conversion'!O28</f>
        <v/>
      </c>
      <c r="O1062" s="8">
        <f>'Home-Conversion'!P28</f>
        <v/>
      </c>
    </row>
    <row r="1063" ht="18" customHeight="1" s="96">
      <c r="A1063" s="2" t="inlineStr">
        <is>
          <t>Person C</t>
        </is>
      </c>
      <c r="B1063" s="2">
        <f>'Home-Conversion'!A29</f>
        <v/>
      </c>
      <c r="C1063" s="3">
        <f>'Home-Conversion'!B29</f>
        <v/>
      </c>
      <c r="D1063" s="3">
        <f>'Home-Conversion'!C29</f>
        <v/>
      </c>
      <c r="E1063" s="3">
        <f>'Home-Conversion'!D29</f>
        <v/>
      </c>
      <c r="F1063" s="3">
        <f>'Home-Conversion'!E29</f>
        <v/>
      </c>
      <c r="G1063" s="4">
        <f>'Home-Conversion'!F29</f>
        <v/>
      </c>
      <c r="H1063" s="3">
        <f>'Home-Conversion'!G29</f>
        <v/>
      </c>
      <c r="I1063" s="5">
        <f>'Home-Conversion'!H29</f>
        <v/>
      </c>
      <c r="J1063" s="5">
        <f>'Home-Conversion'!I29</f>
        <v/>
      </c>
      <c r="K1063" s="6">
        <f>'Home-Conversion'!J29</f>
        <v/>
      </c>
      <c r="L1063" s="13">
        <f>'Home-Conversion'!K29</f>
        <v/>
      </c>
      <c r="M1063" s="6">
        <f>'Home-Conversion'!N29</f>
        <v/>
      </c>
      <c r="N1063" s="3">
        <f>'Home-Conversion'!O29</f>
        <v/>
      </c>
      <c r="O1063" s="3">
        <f>'Home-Conversion'!P29</f>
        <v/>
      </c>
    </row>
    <row r="1064" ht="18" customHeight="1" s="96">
      <c r="A1064" s="93" t="inlineStr">
        <is>
          <t>Person C</t>
        </is>
      </c>
      <c r="B1064" s="93">
        <f>'Home-Conversion'!A30</f>
        <v/>
      </c>
      <c r="C1064" s="8">
        <f>'Home-Conversion'!B30</f>
        <v/>
      </c>
      <c r="D1064" s="8">
        <f>'Home-Conversion'!C30</f>
        <v/>
      </c>
      <c r="E1064" s="8">
        <f>'Home-Conversion'!D30</f>
        <v/>
      </c>
      <c r="F1064" s="8">
        <f>'Home-Conversion'!E30</f>
        <v/>
      </c>
      <c r="G1064" s="9">
        <f>'Home-Conversion'!F30</f>
        <v/>
      </c>
      <c r="H1064" s="8">
        <f>'Home-Conversion'!G30</f>
        <v/>
      </c>
      <c r="I1064" s="10">
        <f>'Home-Conversion'!H30</f>
        <v/>
      </c>
      <c r="J1064" s="10">
        <f>'Home-Conversion'!I30</f>
        <v/>
      </c>
      <c r="K1064" s="11">
        <f>'Home-Conversion'!J30</f>
        <v/>
      </c>
      <c r="L1064" s="12">
        <f>'Home-Conversion'!K30</f>
        <v/>
      </c>
      <c r="M1064" s="11">
        <f>'Home-Conversion'!N30</f>
        <v/>
      </c>
      <c r="N1064" s="8">
        <f>'Home-Conversion'!O30</f>
        <v/>
      </c>
      <c r="O1064" s="8">
        <f>'Home-Conversion'!P30</f>
        <v/>
      </c>
    </row>
    <row r="1065" ht="18" customHeight="1" s="96">
      <c r="A1065" s="2" t="inlineStr">
        <is>
          <t>Person C</t>
        </is>
      </c>
      <c r="B1065" s="2">
        <f>'Home-Conversion'!A31</f>
        <v/>
      </c>
      <c r="C1065" s="3">
        <f>'Home-Conversion'!B31</f>
        <v/>
      </c>
      <c r="D1065" s="3">
        <f>'Home-Conversion'!C31</f>
        <v/>
      </c>
      <c r="E1065" s="3">
        <f>'Home-Conversion'!D31</f>
        <v/>
      </c>
      <c r="F1065" s="3">
        <f>'Home-Conversion'!E31</f>
        <v/>
      </c>
      <c r="G1065" s="4">
        <f>'Home-Conversion'!F31</f>
        <v/>
      </c>
      <c r="H1065" s="3">
        <f>'Home-Conversion'!G31</f>
        <v/>
      </c>
      <c r="I1065" s="5">
        <f>'Home-Conversion'!H31</f>
        <v/>
      </c>
      <c r="J1065" s="5">
        <f>'Home-Conversion'!I31</f>
        <v/>
      </c>
      <c r="K1065" s="6">
        <f>'Home-Conversion'!J31</f>
        <v/>
      </c>
      <c r="L1065" s="13">
        <f>'Home-Conversion'!K31</f>
        <v/>
      </c>
      <c r="M1065" s="6">
        <f>'Home-Conversion'!N31</f>
        <v/>
      </c>
      <c r="N1065" s="3">
        <f>'Home-Conversion'!O31</f>
        <v/>
      </c>
      <c r="O1065" s="3">
        <f>'Home-Conversion'!P31</f>
        <v/>
      </c>
    </row>
    <row r="1066" ht="18" customHeight="1" s="96">
      <c r="A1066" s="93" t="inlineStr">
        <is>
          <t>Person C</t>
        </is>
      </c>
      <c r="B1066" s="93">
        <f>'Home-Conversion'!A32</f>
        <v/>
      </c>
      <c r="C1066" s="8">
        <f>'Home-Conversion'!B32</f>
        <v/>
      </c>
      <c r="D1066" s="8">
        <f>'Home-Conversion'!C32</f>
        <v/>
      </c>
      <c r="E1066" s="8">
        <f>'Home-Conversion'!D32</f>
        <v/>
      </c>
      <c r="F1066" s="8">
        <f>'Home-Conversion'!E32</f>
        <v/>
      </c>
      <c r="G1066" s="9">
        <f>'Home-Conversion'!F32</f>
        <v/>
      </c>
      <c r="H1066" s="8">
        <f>'Home-Conversion'!G32</f>
        <v/>
      </c>
      <c r="I1066" s="10">
        <f>'Home-Conversion'!H32</f>
        <v/>
      </c>
      <c r="J1066" s="10">
        <f>'Home-Conversion'!I32</f>
        <v/>
      </c>
      <c r="K1066" s="11">
        <f>'Home-Conversion'!J32</f>
        <v/>
      </c>
      <c r="L1066" s="12">
        <f>'Home-Conversion'!K32</f>
        <v/>
      </c>
      <c r="M1066" s="11">
        <f>'Home-Conversion'!N32</f>
        <v/>
      </c>
      <c r="N1066" s="8">
        <f>'Home-Conversion'!O32</f>
        <v/>
      </c>
      <c r="O1066" s="8">
        <f>'Home-Conversion'!P32</f>
        <v/>
      </c>
    </row>
    <row r="1067" ht="18" customHeight="1" s="96">
      <c r="A1067" s="2" t="inlineStr">
        <is>
          <t>Person C</t>
        </is>
      </c>
      <c r="B1067" s="2">
        <f>'Home-Conversion'!A33</f>
        <v/>
      </c>
      <c r="C1067" s="3">
        <f>'Home-Conversion'!B33</f>
        <v/>
      </c>
      <c r="D1067" s="3">
        <f>'Home-Conversion'!C33</f>
        <v/>
      </c>
      <c r="E1067" s="3">
        <f>'Home-Conversion'!D33</f>
        <v/>
      </c>
      <c r="F1067" s="3">
        <f>'Home-Conversion'!E33</f>
        <v/>
      </c>
      <c r="G1067" s="4">
        <f>'Home-Conversion'!F33</f>
        <v/>
      </c>
      <c r="H1067" s="3">
        <f>'Home-Conversion'!G33</f>
        <v/>
      </c>
      <c r="I1067" s="5">
        <f>'Home-Conversion'!H33</f>
        <v/>
      </c>
      <c r="J1067" s="5">
        <f>'Home-Conversion'!I33</f>
        <v/>
      </c>
      <c r="K1067" s="6">
        <f>'Home-Conversion'!J33</f>
        <v/>
      </c>
      <c r="L1067" s="13">
        <f>'Home-Conversion'!K33</f>
        <v/>
      </c>
      <c r="M1067" s="6">
        <f>'Home-Conversion'!N33</f>
        <v/>
      </c>
      <c r="N1067" s="3">
        <f>'Home-Conversion'!O33</f>
        <v/>
      </c>
      <c r="O1067" s="3">
        <f>'Home-Conversion'!P33</f>
        <v/>
      </c>
    </row>
    <row r="1068" ht="18" customHeight="1" s="96">
      <c r="A1068" s="93" t="inlineStr">
        <is>
          <t>Person C</t>
        </is>
      </c>
      <c r="B1068" s="93">
        <f>'Home-Conversion'!A34</f>
        <v/>
      </c>
      <c r="C1068" s="8">
        <f>'Home-Conversion'!B34</f>
        <v/>
      </c>
      <c r="D1068" s="8">
        <f>'Home-Conversion'!C34</f>
        <v/>
      </c>
      <c r="E1068" s="8">
        <f>'Home-Conversion'!D34</f>
        <v/>
      </c>
      <c r="F1068" s="8">
        <f>'Home-Conversion'!E34</f>
        <v/>
      </c>
      <c r="G1068" s="9">
        <f>'Home-Conversion'!F34</f>
        <v/>
      </c>
      <c r="H1068" s="8">
        <f>'Home-Conversion'!G34</f>
        <v/>
      </c>
      <c r="I1068" s="10">
        <f>'Home-Conversion'!H34</f>
        <v/>
      </c>
      <c r="J1068" s="10">
        <f>'Home-Conversion'!I34</f>
        <v/>
      </c>
      <c r="K1068" s="11">
        <f>'Home-Conversion'!J34</f>
        <v/>
      </c>
      <c r="L1068" s="12">
        <f>'Home-Conversion'!K34</f>
        <v/>
      </c>
      <c r="M1068" s="11">
        <f>'Home-Conversion'!N34</f>
        <v/>
      </c>
      <c r="N1068" s="8">
        <f>'Home-Conversion'!O34</f>
        <v/>
      </c>
      <c r="O1068" s="8">
        <f>'Home-Conversion'!P34</f>
        <v/>
      </c>
    </row>
    <row r="1069" ht="18" customHeight="1" s="96">
      <c r="A1069" s="2" t="inlineStr">
        <is>
          <t>Person C</t>
        </is>
      </c>
      <c r="B1069" s="2">
        <f>'Home-Conversion'!A35</f>
        <v/>
      </c>
      <c r="C1069" s="3">
        <f>'Home-Conversion'!B35</f>
        <v/>
      </c>
      <c r="D1069" s="3">
        <f>'Home-Conversion'!C35</f>
        <v/>
      </c>
      <c r="E1069" s="3">
        <f>'Home-Conversion'!D35</f>
        <v/>
      </c>
      <c r="F1069" s="3">
        <f>'Home-Conversion'!E35</f>
        <v/>
      </c>
      <c r="G1069" s="4">
        <f>'Home-Conversion'!F35</f>
        <v/>
      </c>
      <c r="H1069" s="3">
        <f>'Home-Conversion'!G35</f>
        <v/>
      </c>
      <c r="I1069" s="5">
        <f>'Home-Conversion'!H35</f>
        <v/>
      </c>
      <c r="J1069" s="5">
        <f>'Home-Conversion'!I35</f>
        <v/>
      </c>
      <c r="K1069" s="6">
        <f>'Home-Conversion'!J35</f>
        <v/>
      </c>
      <c r="L1069" s="13">
        <f>'Home-Conversion'!K35</f>
        <v/>
      </c>
      <c r="M1069" s="6">
        <f>'Home-Conversion'!N35</f>
        <v/>
      </c>
      <c r="N1069" s="3">
        <f>'Home-Conversion'!O35</f>
        <v/>
      </c>
      <c r="O1069" s="3">
        <f>'Home-Conversion'!P35</f>
        <v/>
      </c>
    </row>
    <row r="1070" ht="18" customHeight="1" s="96">
      <c r="A1070" s="93" t="inlineStr">
        <is>
          <t>Person C</t>
        </is>
      </c>
      <c r="B1070" s="93">
        <f>'Home-Conversion'!A36</f>
        <v/>
      </c>
      <c r="C1070" s="8">
        <f>'Home-Conversion'!B36</f>
        <v/>
      </c>
      <c r="D1070" s="8">
        <f>'Home-Conversion'!C36</f>
        <v/>
      </c>
      <c r="E1070" s="8">
        <f>'Home-Conversion'!D36</f>
        <v/>
      </c>
      <c r="F1070" s="8">
        <f>'Home-Conversion'!E36</f>
        <v/>
      </c>
      <c r="G1070" s="9">
        <f>'Home-Conversion'!F36</f>
        <v/>
      </c>
      <c r="H1070" s="8">
        <f>'Home-Conversion'!G36</f>
        <v/>
      </c>
      <c r="I1070" s="10">
        <f>'Home-Conversion'!H36</f>
        <v/>
      </c>
      <c r="J1070" s="10">
        <f>'Home-Conversion'!I36</f>
        <v/>
      </c>
      <c r="K1070" s="11">
        <f>'Home-Conversion'!J36</f>
        <v/>
      </c>
      <c r="L1070" s="12">
        <f>'Home-Conversion'!K36</f>
        <v/>
      </c>
      <c r="M1070" s="11">
        <f>'Home-Conversion'!N36</f>
        <v/>
      </c>
      <c r="N1070" s="8">
        <f>'Home-Conversion'!O36</f>
        <v/>
      </c>
      <c r="O1070" s="8">
        <f>'Home-Conversion'!P36</f>
        <v/>
      </c>
    </row>
    <row r="1071" ht="18" customHeight="1" s="96">
      <c r="A1071" s="2" t="inlineStr">
        <is>
          <t>Person C</t>
        </is>
      </c>
      <c r="B1071" s="2">
        <f>'Home-Conversion'!A37</f>
        <v/>
      </c>
      <c r="C1071" s="3">
        <f>'Home-Conversion'!B37</f>
        <v/>
      </c>
      <c r="D1071" s="3">
        <f>'Home-Conversion'!C37</f>
        <v/>
      </c>
      <c r="E1071" s="3">
        <f>'Home-Conversion'!D37</f>
        <v/>
      </c>
      <c r="F1071" s="3">
        <f>'Home-Conversion'!E37</f>
        <v/>
      </c>
      <c r="G1071" s="4">
        <f>'Home-Conversion'!F37</f>
        <v/>
      </c>
      <c r="H1071" s="3">
        <f>'Home-Conversion'!G37</f>
        <v/>
      </c>
      <c r="I1071" s="5">
        <f>'Home-Conversion'!H37</f>
        <v/>
      </c>
      <c r="J1071" s="5">
        <f>'Home-Conversion'!I37</f>
        <v/>
      </c>
      <c r="K1071" s="6">
        <f>'Home-Conversion'!J37</f>
        <v/>
      </c>
      <c r="L1071" s="13">
        <f>'Home-Conversion'!K37</f>
        <v/>
      </c>
      <c r="M1071" s="6">
        <f>'Home-Conversion'!N37</f>
        <v/>
      </c>
      <c r="N1071" s="3">
        <f>'Home-Conversion'!O37</f>
        <v/>
      </c>
      <c r="O1071" s="3">
        <f>'Home-Conversion'!P37</f>
        <v/>
      </c>
    </row>
    <row r="1072" ht="18" customHeight="1" s="96">
      <c r="A1072" s="93" t="inlineStr">
        <is>
          <t>Person C</t>
        </is>
      </c>
      <c r="B1072" s="93">
        <f>'Home-Conversion'!A38</f>
        <v/>
      </c>
      <c r="C1072" s="8">
        <f>'Home-Conversion'!B38</f>
        <v/>
      </c>
      <c r="D1072" s="8">
        <f>'Home-Conversion'!C38</f>
        <v/>
      </c>
      <c r="E1072" s="8">
        <f>'Home-Conversion'!D38</f>
        <v/>
      </c>
      <c r="F1072" s="8">
        <f>'Home-Conversion'!E38</f>
        <v/>
      </c>
      <c r="G1072" s="9">
        <f>'Home-Conversion'!F38</f>
        <v/>
      </c>
      <c r="H1072" s="8">
        <f>'Home-Conversion'!G38</f>
        <v/>
      </c>
      <c r="I1072" s="10">
        <f>'Home-Conversion'!H38</f>
        <v/>
      </c>
      <c r="J1072" s="10">
        <f>'Home-Conversion'!I38</f>
        <v/>
      </c>
      <c r="K1072" s="11">
        <f>'Home-Conversion'!J38</f>
        <v/>
      </c>
      <c r="L1072" s="12">
        <f>'Home-Conversion'!K38</f>
        <v/>
      </c>
      <c r="M1072" s="11">
        <f>'Home-Conversion'!N38</f>
        <v/>
      </c>
      <c r="N1072" s="8">
        <f>'Home-Conversion'!O38</f>
        <v/>
      </c>
      <c r="O1072" s="8">
        <f>'Home-Conversion'!P38</f>
        <v/>
      </c>
    </row>
    <row r="1073" ht="18" customHeight="1" s="96">
      <c r="A1073" s="2" t="inlineStr">
        <is>
          <t>Person C</t>
        </is>
      </c>
      <c r="B1073" s="2">
        <f>'Home-Conversion'!A39</f>
        <v/>
      </c>
      <c r="C1073" s="3">
        <f>'Home-Conversion'!B39</f>
        <v/>
      </c>
      <c r="D1073" s="3">
        <f>'Home-Conversion'!C39</f>
        <v/>
      </c>
      <c r="E1073" s="3">
        <f>'Home-Conversion'!D39</f>
        <v/>
      </c>
      <c r="F1073" s="3">
        <f>'Home-Conversion'!E39</f>
        <v/>
      </c>
      <c r="G1073" s="4">
        <f>'Home-Conversion'!F39</f>
        <v/>
      </c>
      <c r="H1073" s="3">
        <f>'Home-Conversion'!G39</f>
        <v/>
      </c>
      <c r="I1073" s="5">
        <f>'Home-Conversion'!H39</f>
        <v/>
      </c>
      <c r="J1073" s="5">
        <f>'Home-Conversion'!I39</f>
        <v/>
      </c>
      <c r="K1073" s="6">
        <f>'Home-Conversion'!J39</f>
        <v/>
      </c>
      <c r="L1073" s="13">
        <f>'Home-Conversion'!K39</f>
        <v/>
      </c>
      <c r="M1073" s="6">
        <f>'Home-Conversion'!N39</f>
        <v/>
      </c>
      <c r="N1073" s="3">
        <f>'Home-Conversion'!O39</f>
        <v/>
      </c>
      <c r="O1073" s="3">
        <f>'Home-Conversion'!P39</f>
        <v/>
      </c>
    </row>
    <row r="1074" ht="18" customHeight="1" s="96">
      <c r="A1074" s="93" t="inlineStr">
        <is>
          <t>Person C</t>
        </is>
      </c>
      <c r="B1074" s="93">
        <f>'Home-Conversion'!A40</f>
        <v/>
      </c>
      <c r="C1074" s="8">
        <f>'Home-Conversion'!B40</f>
        <v/>
      </c>
      <c r="D1074" s="8">
        <f>'Home-Conversion'!C40</f>
        <v/>
      </c>
      <c r="E1074" s="8">
        <f>'Home-Conversion'!D40</f>
        <v/>
      </c>
      <c r="F1074" s="8">
        <f>'Home-Conversion'!E40</f>
        <v/>
      </c>
      <c r="G1074" s="9">
        <f>'Home-Conversion'!F40</f>
        <v/>
      </c>
      <c r="H1074" s="8">
        <f>'Home-Conversion'!G40</f>
        <v/>
      </c>
      <c r="I1074" s="10">
        <f>'Home-Conversion'!H40</f>
        <v/>
      </c>
      <c r="J1074" s="10">
        <f>'Home-Conversion'!I40</f>
        <v/>
      </c>
      <c r="K1074" s="11">
        <f>'Home-Conversion'!J40</f>
        <v/>
      </c>
      <c r="L1074" s="12">
        <f>'Home-Conversion'!K40</f>
        <v/>
      </c>
      <c r="M1074" s="11">
        <f>'Home-Conversion'!N40</f>
        <v/>
      </c>
      <c r="N1074" s="8">
        <f>'Home-Conversion'!O40</f>
        <v/>
      </c>
      <c r="O1074" s="8">
        <f>'Home-Conversion'!P40</f>
        <v/>
      </c>
    </row>
    <row r="1075" ht="18" customHeight="1" s="96">
      <c r="A1075" s="2" t="inlineStr">
        <is>
          <t>Person C</t>
        </is>
      </c>
      <c r="B1075" s="2">
        <f>'Home-Conversion'!A41</f>
        <v/>
      </c>
      <c r="C1075" s="3">
        <f>'Home-Conversion'!B41</f>
        <v/>
      </c>
      <c r="D1075" s="3">
        <f>'Home-Conversion'!C41</f>
        <v/>
      </c>
      <c r="E1075" s="3">
        <f>'Home-Conversion'!D41</f>
        <v/>
      </c>
      <c r="F1075" s="3">
        <f>'Home-Conversion'!E41</f>
        <v/>
      </c>
      <c r="G1075" s="4">
        <f>'Home-Conversion'!F41</f>
        <v/>
      </c>
      <c r="H1075" s="3">
        <f>'Home-Conversion'!G41</f>
        <v/>
      </c>
      <c r="I1075" s="5">
        <f>'Home-Conversion'!H41</f>
        <v/>
      </c>
      <c r="J1075" s="5">
        <f>'Home-Conversion'!I41</f>
        <v/>
      </c>
      <c r="K1075" s="6">
        <f>'Home-Conversion'!J41</f>
        <v/>
      </c>
      <c r="L1075" s="13">
        <f>'Home-Conversion'!K41</f>
        <v/>
      </c>
      <c r="M1075" s="6">
        <f>'Home-Conversion'!N41</f>
        <v/>
      </c>
      <c r="N1075" s="3">
        <f>'Home-Conversion'!O41</f>
        <v/>
      </c>
      <c r="O1075" s="3">
        <f>'Home-Conversion'!P41</f>
        <v/>
      </c>
    </row>
    <row r="1076" ht="18" customHeight="1" s="96">
      <c r="A1076" s="93" t="inlineStr">
        <is>
          <t>Person C</t>
        </is>
      </c>
      <c r="B1076" s="93">
        <f>'Home-Conversion'!A42</f>
        <v/>
      </c>
      <c r="C1076" s="8">
        <f>'Home-Conversion'!B42</f>
        <v/>
      </c>
      <c r="D1076" s="8">
        <f>'Home-Conversion'!C42</f>
        <v/>
      </c>
      <c r="E1076" s="8">
        <f>'Home-Conversion'!D42</f>
        <v/>
      </c>
      <c r="F1076" s="8">
        <f>'Home-Conversion'!E42</f>
        <v/>
      </c>
      <c r="G1076" s="9">
        <f>'Home-Conversion'!F42</f>
        <v/>
      </c>
      <c r="H1076" s="8">
        <f>'Home-Conversion'!G42</f>
        <v/>
      </c>
      <c r="I1076" s="10">
        <f>'Home-Conversion'!H42</f>
        <v/>
      </c>
      <c r="J1076" s="10">
        <f>'Home-Conversion'!I42</f>
        <v/>
      </c>
      <c r="K1076" s="11">
        <f>'Home-Conversion'!J42</f>
        <v/>
      </c>
      <c r="L1076" s="12">
        <f>'Home-Conversion'!K42</f>
        <v/>
      </c>
      <c r="M1076" s="11">
        <f>'Home-Conversion'!N42</f>
        <v/>
      </c>
      <c r="N1076" s="8">
        <f>'Home-Conversion'!O42</f>
        <v/>
      </c>
      <c r="O1076" s="8">
        <f>'Home-Conversion'!P42</f>
        <v/>
      </c>
    </row>
    <row r="1077" ht="18" customHeight="1" s="96">
      <c r="A1077" s="2" t="inlineStr">
        <is>
          <t>Person C</t>
        </is>
      </c>
      <c r="B1077" s="2">
        <f>'Home-Conversion'!A43</f>
        <v/>
      </c>
      <c r="C1077" s="3">
        <f>'Home-Conversion'!B43</f>
        <v/>
      </c>
      <c r="D1077" s="3">
        <f>'Home-Conversion'!C43</f>
        <v/>
      </c>
      <c r="E1077" s="3">
        <f>'Home-Conversion'!D43</f>
        <v/>
      </c>
      <c r="F1077" s="3">
        <f>'Home-Conversion'!E43</f>
        <v/>
      </c>
      <c r="G1077" s="4">
        <f>'Home-Conversion'!F43</f>
        <v/>
      </c>
      <c r="H1077" s="3">
        <f>'Home-Conversion'!G43</f>
        <v/>
      </c>
      <c r="I1077" s="5">
        <f>'Home-Conversion'!H43</f>
        <v/>
      </c>
      <c r="J1077" s="5">
        <f>'Home-Conversion'!I43</f>
        <v/>
      </c>
      <c r="K1077" s="6">
        <f>'Home-Conversion'!J43</f>
        <v/>
      </c>
      <c r="L1077" s="13">
        <f>'Home-Conversion'!K43</f>
        <v/>
      </c>
      <c r="M1077" s="6">
        <f>'Home-Conversion'!N43</f>
        <v/>
      </c>
      <c r="N1077" s="3">
        <f>'Home-Conversion'!O43</f>
        <v/>
      </c>
      <c r="O1077" s="3">
        <f>'Home-Conversion'!P43</f>
        <v/>
      </c>
    </row>
    <row r="1078" ht="18" customHeight="1" s="96">
      <c r="A1078" s="93" t="inlineStr">
        <is>
          <t>Person C</t>
        </is>
      </c>
      <c r="B1078" s="93">
        <f>'Home-Conversion'!A44</f>
        <v/>
      </c>
      <c r="C1078" s="8">
        <f>'Home-Conversion'!B44</f>
        <v/>
      </c>
      <c r="D1078" s="8">
        <f>'Home-Conversion'!C44</f>
        <v/>
      </c>
      <c r="E1078" s="8">
        <f>'Home-Conversion'!D44</f>
        <v/>
      </c>
      <c r="F1078" s="8">
        <f>'Home-Conversion'!E44</f>
        <v/>
      </c>
      <c r="G1078" s="9">
        <f>'Home-Conversion'!F44</f>
        <v/>
      </c>
      <c r="H1078" s="8">
        <f>'Home-Conversion'!G44</f>
        <v/>
      </c>
      <c r="I1078" s="10">
        <f>'Home-Conversion'!H44</f>
        <v/>
      </c>
      <c r="J1078" s="10">
        <f>'Home-Conversion'!I44</f>
        <v/>
      </c>
      <c r="K1078" s="11">
        <f>'Home-Conversion'!J44</f>
        <v/>
      </c>
      <c r="L1078" s="12">
        <f>'Home-Conversion'!K44</f>
        <v/>
      </c>
      <c r="M1078" s="11">
        <f>'Home-Conversion'!N44</f>
        <v/>
      </c>
      <c r="N1078" s="8">
        <f>'Home-Conversion'!O44</f>
        <v/>
      </c>
      <c r="O1078" s="8">
        <f>'Home-Conversion'!P44</f>
        <v/>
      </c>
    </row>
    <row r="1079" ht="18" customHeight="1" s="96">
      <c r="A1079" s="2" t="inlineStr">
        <is>
          <t>Person C</t>
        </is>
      </c>
      <c r="B1079" s="2">
        <f>'Home-Conversion'!A45</f>
        <v/>
      </c>
      <c r="C1079" s="3">
        <f>'Home-Conversion'!B45</f>
        <v/>
      </c>
      <c r="D1079" s="3">
        <f>'Home-Conversion'!C45</f>
        <v/>
      </c>
      <c r="E1079" s="3">
        <f>'Home-Conversion'!D45</f>
        <v/>
      </c>
      <c r="F1079" s="3">
        <f>'Home-Conversion'!E45</f>
        <v/>
      </c>
      <c r="G1079" s="4">
        <f>'Home-Conversion'!F45</f>
        <v/>
      </c>
      <c r="H1079" s="3">
        <f>'Home-Conversion'!G45</f>
        <v/>
      </c>
      <c r="I1079" s="5">
        <f>'Home-Conversion'!H45</f>
        <v/>
      </c>
      <c r="J1079" s="5">
        <f>'Home-Conversion'!I45</f>
        <v/>
      </c>
      <c r="K1079" s="6">
        <f>'Home-Conversion'!J45</f>
        <v/>
      </c>
      <c r="L1079" s="13">
        <f>'Home-Conversion'!K45</f>
        <v/>
      </c>
      <c r="M1079" s="6">
        <f>'Home-Conversion'!N45</f>
        <v/>
      </c>
      <c r="N1079" s="3">
        <f>'Home-Conversion'!O45</f>
        <v/>
      </c>
      <c r="O1079" s="3">
        <f>'Home-Conversion'!P45</f>
        <v/>
      </c>
    </row>
    <row r="1080" ht="18" customHeight="1" s="96">
      <c r="A1080" s="93" t="inlineStr">
        <is>
          <t>Person C</t>
        </is>
      </c>
      <c r="B1080" s="93">
        <f>'Home-Conversion'!A46</f>
        <v/>
      </c>
      <c r="C1080" s="8">
        <f>'Home-Conversion'!B46</f>
        <v/>
      </c>
      <c r="D1080" s="8">
        <f>'Home-Conversion'!C46</f>
        <v/>
      </c>
      <c r="E1080" s="8">
        <f>'Home-Conversion'!D46</f>
        <v/>
      </c>
      <c r="F1080" s="8">
        <f>'Home-Conversion'!E46</f>
        <v/>
      </c>
      <c r="G1080" s="9">
        <f>'Home-Conversion'!F46</f>
        <v/>
      </c>
      <c r="H1080" s="8">
        <f>'Home-Conversion'!G46</f>
        <v/>
      </c>
      <c r="I1080" s="10">
        <f>'Home-Conversion'!H46</f>
        <v/>
      </c>
      <c r="J1080" s="10">
        <f>'Home-Conversion'!I46</f>
        <v/>
      </c>
      <c r="K1080" s="11">
        <f>'Home-Conversion'!J46</f>
        <v/>
      </c>
      <c r="L1080" s="12">
        <f>'Home-Conversion'!K46</f>
        <v/>
      </c>
      <c r="M1080" s="11">
        <f>'Home-Conversion'!N46</f>
        <v/>
      </c>
      <c r="N1080" s="8">
        <f>'Home-Conversion'!O46</f>
        <v/>
      </c>
      <c r="O1080" s="8">
        <f>'Home-Conversion'!P46</f>
        <v/>
      </c>
    </row>
    <row r="1081" ht="18" customHeight="1" s="96">
      <c r="A1081" s="2" t="inlineStr">
        <is>
          <t>Person C</t>
        </is>
      </c>
      <c r="B1081" s="2">
        <f>'Home-Conversion'!A47</f>
        <v/>
      </c>
      <c r="C1081" s="3">
        <f>'Home-Conversion'!B47</f>
        <v/>
      </c>
      <c r="D1081" s="3">
        <f>'Home-Conversion'!C47</f>
        <v/>
      </c>
      <c r="E1081" s="3">
        <f>'Home-Conversion'!D47</f>
        <v/>
      </c>
      <c r="F1081" s="3">
        <f>'Home-Conversion'!E47</f>
        <v/>
      </c>
      <c r="G1081" s="4">
        <f>'Home-Conversion'!F47</f>
        <v/>
      </c>
      <c r="H1081" s="3">
        <f>'Home-Conversion'!G47</f>
        <v/>
      </c>
      <c r="I1081" s="5">
        <f>'Home-Conversion'!H47</f>
        <v/>
      </c>
      <c r="J1081" s="5">
        <f>'Home-Conversion'!I47</f>
        <v/>
      </c>
      <c r="K1081" s="6">
        <f>'Home-Conversion'!J47</f>
        <v/>
      </c>
      <c r="L1081" s="13">
        <f>'Home-Conversion'!K47</f>
        <v/>
      </c>
      <c r="M1081" s="6">
        <f>'Home-Conversion'!N47</f>
        <v/>
      </c>
      <c r="N1081" s="3">
        <f>'Home-Conversion'!O47</f>
        <v/>
      </c>
      <c r="O1081" s="3">
        <f>'Home-Conversion'!P47</f>
        <v/>
      </c>
    </row>
    <row r="1082" ht="18" customHeight="1" s="96">
      <c r="A1082" s="93" t="inlineStr">
        <is>
          <t>Person C</t>
        </is>
      </c>
      <c r="B1082" s="93">
        <f>'Home-Conversion'!A48</f>
        <v/>
      </c>
      <c r="C1082" s="8">
        <f>'Home-Conversion'!B48</f>
        <v/>
      </c>
      <c r="D1082" s="8">
        <f>'Home-Conversion'!C48</f>
        <v/>
      </c>
      <c r="E1082" s="8">
        <f>'Home-Conversion'!D48</f>
        <v/>
      </c>
      <c r="F1082" s="8">
        <f>'Home-Conversion'!E48</f>
        <v/>
      </c>
      <c r="G1082" s="9">
        <f>'Home-Conversion'!F48</f>
        <v/>
      </c>
      <c r="H1082" s="8">
        <f>'Home-Conversion'!G48</f>
        <v/>
      </c>
      <c r="I1082" s="10">
        <f>'Home-Conversion'!H48</f>
        <v/>
      </c>
      <c r="J1082" s="10">
        <f>'Home-Conversion'!I48</f>
        <v/>
      </c>
      <c r="K1082" s="11">
        <f>'Home-Conversion'!J48</f>
        <v/>
      </c>
      <c r="L1082" s="12">
        <f>'Home-Conversion'!K48</f>
        <v/>
      </c>
      <c r="M1082" s="11">
        <f>'Home-Conversion'!N48</f>
        <v/>
      </c>
      <c r="N1082" s="8">
        <f>'Home-Conversion'!O48</f>
        <v/>
      </c>
      <c r="O1082" s="8">
        <f>'Home-Conversion'!P48</f>
        <v/>
      </c>
    </row>
    <row r="1083" ht="18" customHeight="1" s="96">
      <c r="A1083" s="2" t="inlineStr">
        <is>
          <t>Person C</t>
        </is>
      </c>
      <c r="B1083" s="2">
        <f>'Home-Conversion'!A49</f>
        <v/>
      </c>
      <c r="C1083" s="3">
        <f>'Home-Conversion'!B49</f>
        <v/>
      </c>
      <c r="D1083" s="3">
        <f>'Home-Conversion'!C49</f>
        <v/>
      </c>
      <c r="E1083" s="3">
        <f>'Home-Conversion'!D49</f>
        <v/>
      </c>
      <c r="F1083" s="3">
        <f>'Home-Conversion'!E49</f>
        <v/>
      </c>
      <c r="G1083" s="4">
        <f>'Home-Conversion'!F49</f>
        <v/>
      </c>
      <c r="H1083" s="3">
        <f>'Home-Conversion'!G49</f>
        <v/>
      </c>
      <c r="I1083" s="5">
        <f>'Home-Conversion'!H49</f>
        <v/>
      </c>
      <c r="J1083" s="5">
        <f>'Home-Conversion'!I49</f>
        <v/>
      </c>
      <c r="K1083" s="6">
        <f>'Home-Conversion'!J49</f>
        <v/>
      </c>
      <c r="L1083" s="13">
        <f>'Home-Conversion'!K49</f>
        <v/>
      </c>
      <c r="M1083" s="6">
        <f>'Home-Conversion'!N49</f>
        <v/>
      </c>
      <c r="N1083" s="3">
        <f>'Home-Conversion'!O49</f>
        <v/>
      </c>
      <c r="O1083" s="3">
        <f>'Home-Conversion'!P49</f>
        <v/>
      </c>
    </row>
    <row r="1084" ht="18" customHeight="1" s="96">
      <c r="A1084" s="93" t="inlineStr">
        <is>
          <t>Person C</t>
        </is>
      </c>
      <c r="B1084" s="93">
        <f>'Home-Conversion'!A50</f>
        <v/>
      </c>
      <c r="C1084" s="8">
        <f>'Home-Conversion'!B50</f>
        <v/>
      </c>
      <c r="D1084" s="8">
        <f>'Home-Conversion'!C50</f>
        <v/>
      </c>
      <c r="E1084" s="8">
        <f>'Home-Conversion'!D50</f>
        <v/>
      </c>
      <c r="F1084" s="8">
        <f>'Home-Conversion'!E50</f>
        <v/>
      </c>
      <c r="G1084" s="9">
        <f>'Home-Conversion'!F50</f>
        <v/>
      </c>
      <c r="H1084" s="8">
        <f>'Home-Conversion'!G50</f>
        <v/>
      </c>
      <c r="I1084" s="10">
        <f>'Home-Conversion'!H50</f>
        <v/>
      </c>
      <c r="J1084" s="10">
        <f>'Home-Conversion'!I50</f>
        <v/>
      </c>
      <c r="K1084" s="11">
        <f>'Home-Conversion'!J50</f>
        <v/>
      </c>
      <c r="L1084" s="12">
        <f>'Home-Conversion'!K50</f>
        <v/>
      </c>
      <c r="M1084" s="11">
        <f>'Home-Conversion'!N50</f>
        <v/>
      </c>
      <c r="N1084" s="8">
        <f>'Home-Conversion'!O50</f>
        <v/>
      </c>
      <c r="O1084" s="8">
        <f>'Home-Conversion'!P50</f>
        <v/>
      </c>
    </row>
    <row r="1085" ht="18" customHeight="1" s="96">
      <c r="A1085" s="2" t="inlineStr">
        <is>
          <t>Person C</t>
        </is>
      </c>
      <c r="B1085" s="2">
        <f>'Home-Conversion'!A51</f>
        <v/>
      </c>
      <c r="C1085" s="3">
        <f>'Home-Conversion'!B51</f>
        <v/>
      </c>
      <c r="D1085" s="3">
        <f>'Home-Conversion'!C51</f>
        <v/>
      </c>
      <c r="E1085" s="3">
        <f>'Home-Conversion'!D51</f>
        <v/>
      </c>
      <c r="F1085" s="3">
        <f>'Home-Conversion'!E51</f>
        <v/>
      </c>
      <c r="G1085" s="4">
        <f>'Home-Conversion'!F51</f>
        <v/>
      </c>
      <c r="H1085" s="3">
        <f>'Home-Conversion'!G51</f>
        <v/>
      </c>
      <c r="I1085" s="5">
        <f>'Home-Conversion'!H51</f>
        <v/>
      </c>
      <c r="J1085" s="5">
        <f>'Home-Conversion'!I51</f>
        <v/>
      </c>
      <c r="K1085" s="6">
        <f>'Home-Conversion'!J51</f>
        <v/>
      </c>
      <c r="L1085" s="13">
        <f>'Home-Conversion'!K51</f>
        <v/>
      </c>
      <c r="M1085" s="6">
        <f>'Home-Conversion'!N51</f>
        <v/>
      </c>
      <c r="N1085" s="3">
        <f>'Home-Conversion'!O51</f>
        <v/>
      </c>
      <c r="O1085" s="3">
        <f>'Home-Conversion'!P51</f>
        <v/>
      </c>
    </row>
    <row r="1086" ht="18" customHeight="1" s="96">
      <c r="A1086" s="93" t="inlineStr">
        <is>
          <t>Person C</t>
        </is>
      </c>
      <c r="B1086" s="93">
        <f>'Home-Conversion'!A52</f>
        <v/>
      </c>
      <c r="C1086" s="8">
        <f>'Home-Conversion'!B52</f>
        <v/>
      </c>
      <c r="D1086" s="8">
        <f>'Home-Conversion'!C52</f>
        <v/>
      </c>
      <c r="E1086" s="8">
        <f>'Home-Conversion'!D52</f>
        <v/>
      </c>
      <c r="F1086" s="8">
        <f>'Home-Conversion'!E52</f>
        <v/>
      </c>
      <c r="G1086" s="9">
        <f>'Home-Conversion'!F52</f>
        <v/>
      </c>
      <c r="H1086" s="8">
        <f>'Home-Conversion'!G52</f>
        <v/>
      </c>
      <c r="I1086" s="10">
        <f>'Home-Conversion'!H52</f>
        <v/>
      </c>
      <c r="J1086" s="10">
        <f>'Home-Conversion'!I52</f>
        <v/>
      </c>
      <c r="K1086" s="11">
        <f>'Home-Conversion'!J52</f>
        <v/>
      </c>
      <c r="L1086" s="12">
        <f>'Home-Conversion'!K52</f>
        <v/>
      </c>
      <c r="M1086" s="11">
        <f>'Home-Conversion'!N52</f>
        <v/>
      </c>
      <c r="N1086" s="8">
        <f>'Home-Conversion'!O52</f>
        <v/>
      </c>
      <c r="O1086" s="8">
        <f>'Home-Conversion'!P52</f>
        <v/>
      </c>
    </row>
    <row r="1087" ht="18" customHeight="1" s="96">
      <c r="A1087" s="2" t="inlineStr">
        <is>
          <t>Person C</t>
        </is>
      </c>
      <c r="B1087" s="2">
        <f>'Home-Conversion'!A53</f>
        <v/>
      </c>
      <c r="C1087" s="3">
        <f>'Home-Conversion'!B53</f>
        <v/>
      </c>
      <c r="D1087" s="3">
        <f>'Home-Conversion'!C53</f>
        <v/>
      </c>
      <c r="E1087" s="3">
        <f>'Home-Conversion'!D53</f>
        <v/>
      </c>
      <c r="F1087" s="3">
        <f>'Home-Conversion'!E53</f>
        <v/>
      </c>
      <c r="G1087" s="4">
        <f>'Home-Conversion'!F53</f>
        <v/>
      </c>
      <c r="H1087" s="3">
        <f>'Home-Conversion'!G53</f>
        <v/>
      </c>
      <c r="I1087" s="5">
        <f>'Home-Conversion'!H53</f>
        <v/>
      </c>
      <c r="J1087" s="5">
        <f>'Home-Conversion'!I53</f>
        <v/>
      </c>
      <c r="K1087" s="6">
        <f>'Home-Conversion'!J53</f>
        <v/>
      </c>
      <c r="L1087" s="13">
        <f>'Home-Conversion'!K53</f>
        <v/>
      </c>
      <c r="M1087" s="6">
        <f>'Home-Conversion'!N53</f>
        <v/>
      </c>
      <c r="N1087" s="3">
        <f>'Home-Conversion'!O53</f>
        <v/>
      </c>
      <c r="O1087" s="3">
        <f>'Home-Conversion'!P53</f>
        <v/>
      </c>
    </row>
    <row r="1088" ht="18" customHeight="1" s="96">
      <c r="A1088" s="93" t="inlineStr">
        <is>
          <t>Person C</t>
        </is>
      </c>
      <c r="B1088" s="93">
        <f>'Home-Conversion'!A54</f>
        <v/>
      </c>
      <c r="C1088" s="8">
        <f>'Home-Conversion'!B54</f>
        <v/>
      </c>
      <c r="D1088" s="8">
        <f>'Home-Conversion'!C54</f>
        <v/>
      </c>
      <c r="E1088" s="8">
        <f>'Home-Conversion'!D54</f>
        <v/>
      </c>
      <c r="F1088" s="8">
        <f>'Home-Conversion'!E54</f>
        <v/>
      </c>
      <c r="G1088" s="9">
        <f>'Home-Conversion'!F54</f>
        <v/>
      </c>
      <c r="H1088" s="8">
        <f>'Home-Conversion'!G54</f>
        <v/>
      </c>
      <c r="I1088" s="10">
        <f>'Home-Conversion'!H54</f>
        <v/>
      </c>
      <c r="J1088" s="10">
        <f>'Home-Conversion'!I54</f>
        <v/>
      </c>
      <c r="K1088" s="11">
        <f>'Home-Conversion'!J54</f>
        <v/>
      </c>
      <c r="L1088" s="12">
        <f>'Home-Conversion'!K54</f>
        <v/>
      </c>
      <c r="M1088" s="11">
        <f>'Home-Conversion'!N54</f>
        <v/>
      </c>
      <c r="N1088" s="8">
        <f>'Home-Conversion'!O54</f>
        <v/>
      </c>
      <c r="O1088" s="8">
        <f>'Home-Conversion'!P54</f>
        <v/>
      </c>
    </row>
    <row r="1089" ht="18" customHeight="1" s="96">
      <c r="A1089" s="2" t="inlineStr">
        <is>
          <t>Person C</t>
        </is>
      </c>
      <c r="B1089" s="2">
        <f>'Home-Conversion'!A55</f>
        <v/>
      </c>
      <c r="C1089" s="3">
        <f>'Home-Conversion'!B55</f>
        <v/>
      </c>
      <c r="D1089" s="3">
        <f>'Home-Conversion'!C55</f>
        <v/>
      </c>
      <c r="E1089" s="3">
        <f>'Home-Conversion'!D55</f>
        <v/>
      </c>
      <c r="F1089" s="3">
        <f>'Home-Conversion'!E55</f>
        <v/>
      </c>
      <c r="G1089" s="4">
        <f>'Home-Conversion'!F55</f>
        <v/>
      </c>
      <c r="H1089" s="3">
        <f>'Home-Conversion'!G55</f>
        <v/>
      </c>
      <c r="I1089" s="5">
        <f>'Home-Conversion'!H55</f>
        <v/>
      </c>
      <c r="J1089" s="5">
        <f>'Home-Conversion'!I55</f>
        <v/>
      </c>
      <c r="K1089" s="6">
        <f>'Home-Conversion'!J55</f>
        <v/>
      </c>
      <c r="L1089" s="13">
        <f>'Home-Conversion'!K55</f>
        <v/>
      </c>
      <c r="M1089" s="6">
        <f>'Home-Conversion'!N55</f>
        <v/>
      </c>
      <c r="N1089" s="3">
        <f>'Home-Conversion'!O55</f>
        <v/>
      </c>
      <c r="O1089" s="3">
        <f>'Home-Conversion'!P55</f>
        <v/>
      </c>
    </row>
    <row r="1090" ht="18" customHeight="1" s="96">
      <c r="A1090" s="93" t="inlineStr">
        <is>
          <t>Person C</t>
        </is>
      </c>
      <c r="B1090" s="93">
        <f>'Home-Conversion'!A56</f>
        <v/>
      </c>
      <c r="C1090" s="8">
        <f>'Home-Conversion'!B56</f>
        <v/>
      </c>
      <c r="D1090" s="8">
        <f>'Home-Conversion'!C56</f>
        <v/>
      </c>
      <c r="E1090" s="8">
        <f>'Home-Conversion'!D56</f>
        <v/>
      </c>
      <c r="F1090" s="8">
        <f>'Home-Conversion'!E56</f>
        <v/>
      </c>
      <c r="G1090" s="9">
        <f>'Home-Conversion'!F56</f>
        <v/>
      </c>
      <c r="H1090" s="8">
        <f>'Home-Conversion'!G56</f>
        <v/>
      </c>
      <c r="I1090" s="10">
        <f>'Home-Conversion'!H56</f>
        <v/>
      </c>
      <c r="J1090" s="10">
        <f>'Home-Conversion'!I56</f>
        <v/>
      </c>
      <c r="K1090" s="11">
        <f>'Home-Conversion'!J56</f>
        <v/>
      </c>
      <c r="L1090" s="12">
        <f>'Home-Conversion'!K56</f>
        <v/>
      </c>
      <c r="M1090" s="11">
        <f>'Home-Conversion'!N56</f>
        <v/>
      </c>
      <c r="N1090" s="8">
        <f>'Home-Conversion'!O56</f>
        <v/>
      </c>
      <c r="O1090" s="8">
        <f>'Home-Conversion'!P56</f>
        <v/>
      </c>
    </row>
    <row r="1091" ht="18" customHeight="1" s="96">
      <c r="A1091" s="2" t="inlineStr">
        <is>
          <t>Person C</t>
        </is>
      </c>
      <c r="B1091" s="2">
        <f>'Home-Conversion'!A57</f>
        <v/>
      </c>
      <c r="C1091" s="3">
        <f>'Home-Conversion'!B57</f>
        <v/>
      </c>
      <c r="D1091" s="3">
        <f>'Home-Conversion'!C57</f>
        <v/>
      </c>
      <c r="E1091" s="3">
        <f>'Home-Conversion'!D57</f>
        <v/>
      </c>
      <c r="F1091" s="3">
        <f>'Home-Conversion'!E57</f>
        <v/>
      </c>
      <c r="G1091" s="4">
        <f>'Home-Conversion'!F57</f>
        <v/>
      </c>
      <c r="H1091" s="3">
        <f>'Home-Conversion'!G57</f>
        <v/>
      </c>
      <c r="I1091" s="5">
        <f>'Home-Conversion'!H57</f>
        <v/>
      </c>
      <c r="J1091" s="5">
        <f>'Home-Conversion'!I57</f>
        <v/>
      </c>
      <c r="K1091" s="6">
        <f>'Home-Conversion'!J57</f>
        <v/>
      </c>
      <c r="L1091" s="13">
        <f>'Home-Conversion'!K57</f>
        <v/>
      </c>
      <c r="M1091" s="6">
        <f>'Home-Conversion'!N57</f>
        <v/>
      </c>
      <c r="N1091" s="3">
        <f>'Home-Conversion'!O57</f>
        <v/>
      </c>
      <c r="O1091" s="3">
        <f>'Home-Conversion'!P57</f>
        <v/>
      </c>
    </row>
    <row r="1092" ht="18" customHeight="1" s="96">
      <c r="A1092" s="93" t="inlineStr">
        <is>
          <t>Person C</t>
        </is>
      </c>
      <c r="B1092" s="93">
        <f>'Home-Conversion'!A58</f>
        <v/>
      </c>
      <c r="C1092" s="8">
        <f>'Home-Conversion'!B58</f>
        <v/>
      </c>
      <c r="D1092" s="8">
        <f>'Home-Conversion'!C58</f>
        <v/>
      </c>
      <c r="E1092" s="8">
        <f>'Home-Conversion'!D58</f>
        <v/>
      </c>
      <c r="F1092" s="8">
        <f>'Home-Conversion'!E58</f>
        <v/>
      </c>
      <c r="G1092" s="9">
        <f>'Home-Conversion'!F58</f>
        <v/>
      </c>
      <c r="H1092" s="8">
        <f>'Home-Conversion'!G58</f>
        <v/>
      </c>
      <c r="I1092" s="10">
        <f>'Home-Conversion'!H58</f>
        <v/>
      </c>
      <c r="J1092" s="10">
        <f>'Home-Conversion'!I58</f>
        <v/>
      </c>
      <c r="K1092" s="11">
        <f>'Home-Conversion'!J58</f>
        <v/>
      </c>
      <c r="L1092" s="12">
        <f>'Home-Conversion'!K58</f>
        <v/>
      </c>
      <c r="M1092" s="11">
        <f>'Home-Conversion'!N58</f>
        <v/>
      </c>
      <c r="N1092" s="8">
        <f>'Home-Conversion'!O58</f>
        <v/>
      </c>
      <c r="O1092" s="8">
        <f>'Home-Conversion'!P58</f>
        <v/>
      </c>
    </row>
    <row r="1093" ht="18" customHeight="1" s="96">
      <c r="A1093" s="2" t="inlineStr">
        <is>
          <t>Person C</t>
        </is>
      </c>
      <c r="B1093" s="2">
        <f>'Home-Conversion'!A59</f>
        <v/>
      </c>
      <c r="C1093" s="3">
        <f>'Home-Conversion'!B59</f>
        <v/>
      </c>
      <c r="D1093" s="3">
        <f>'Home-Conversion'!C59</f>
        <v/>
      </c>
      <c r="E1093" s="3">
        <f>'Home-Conversion'!D59</f>
        <v/>
      </c>
      <c r="F1093" s="3">
        <f>'Home-Conversion'!E59</f>
        <v/>
      </c>
      <c r="G1093" s="4">
        <f>'Home-Conversion'!F59</f>
        <v/>
      </c>
      <c r="H1093" s="3">
        <f>'Home-Conversion'!G59</f>
        <v/>
      </c>
      <c r="I1093" s="5">
        <f>'Home-Conversion'!H59</f>
        <v/>
      </c>
      <c r="J1093" s="5">
        <f>'Home-Conversion'!I59</f>
        <v/>
      </c>
      <c r="K1093" s="6">
        <f>'Home-Conversion'!J59</f>
        <v/>
      </c>
      <c r="L1093" s="13">
        <f>'Home-Conversion'!K59</f>
        <v/>
      </c>
      <c r="M1093" s="6">
        <f>'Home-Conversion'!N59</f>
        <v/>
      </c>
      <c r="N1093" s="3">
        <f>'Home-Conversion'!O59</f>
        <v/>
      </c>
      <c r="O1093" s="3">
        <f>'Home-Conversion'!P59</f>
        <v/>
      </c>
    </row>
    <row r="1094" ht="18" customHeight="1" s="96">
      <c r="A1094" s="93" t="inlineStr">
        <is>
          <t>Person C</t>
        </is>
      </c>
      <c r="B1094" s="93">
        <f>'Home-Conversion'!A60</f>
        <v/>
      </c>
      <c r="C1094" s="8">
        <f>'Home-Conversion'!B60</f>
        <v/>
      </c>
      <c r="D1094" s="8">
        <f>'Home-Conversion'!C60</f>
        <v/>
      </c>
      <c r="E1094" s="8">
        <f>'Home-Conversion'!D60</f>
        <v/>
      </c>
      <c r="F1094" s="8">
        <f>'Home-Conversion'!E60</f>
        <v/>
      </c>
      <c r="G1094" s="9">
        <f>'Home-Conversion'!F60</f>
        <v/>
      </c>
      <c r="H1094" s="8">
        <f>'Home-Conversion'!G60</f>
        <v/>
      </c>
      <c r="I1094" s="10">
        <f>'Home-Conversion'!H60</f>
        <v/>
      </c>
      <c r="J1094" s="10">
        <f>'Home-Conversion'!I60</f>
        <v/>
      </c>
      <c r="K1094" s="11">
        <f>'Home-Conversion'!J60</f>
        <v/>
      </c>
      <c r="L1094" s="12">
        <f>'Home-Conversion'!K60</f>
        <v/>
      </c>
      <c r="M1094" s="11">
        <f>'Home-Conversion'!N60</f>
        <v/>
      </c>
      <c r="N1094" s="8">
        <f>'Home-Conversion'!O60</f>
        <v/>
      </c>
      <c r="O1094" s="8">
        <f>'Home-Conversion'!P60</f>
        <v/>
      </c>
    </row>
    <row r="1095" ht="18" customHeight="1" s="96">
      <c r="A1095" s="2" t="inlineStr">
        <is>
          <t>Person C</t>
        </is>
      </c>
      <c r="B1095" s="2">
        <f>'Home-Conversion'!A61</f>
        <v/>
      </c>
      <c r="C1095" s="3">
        <f>'Home-Conversion'!B61</f>
        <v/>
      </c>
      <c r="D1095" s="3">
        <f>'Home-Conversion'!C61</f>
        <v/>
      </c>
      <c r="E1095" s="3">
        <f>'Home-Conversion'!D61</f>
        <v/>
      </c>
      <c r="F1095" s="3">
        <f>'Home-Conversion'!E61</f>
        <v/>
      </c>
      <c r="G1095" s="4">
        <f>'Home-Conversion'!F61</f>
        <v/>
      </c>
      <c r="H1095" s="3">
        <f>'Home-Conversion'!G61</f>
        <v/>
      </c>
      <c r="I1095" s="5">
        <f>'Home-Conversion'!H61</f>
        <v/>
      </c>
      <c r="J1095" s="5">
        <f>'Home-Conversion'!I61</f>
        <v/>
      </c>
      <c r="K1095" s="6">
        <f>'Home-Conversion'!J61</f>
        <v/>
      </c>
      <c r="L1095" s="13">
        <f>'Home-Conversion'!K61</f>
        <v/>
      </c>
      <c r="M1095" s="6">
        <f>'Home-Conversion'!N61</f>
        <v/>
      </c>
      <c r="N1095" s="3">
        <f>'Home-Conversion'!O61</f>
        <v/>
      </c>
      <c r="O1095" s="3">
        <f>'Home-Conversion'!P61</f>
        <v/>
      </c>
    </row>
    <row r="1096" ht="18" customHeight="1" s="96">
      <c r="A1096" s="93" t="inlineStr">
        <is>
          <t>Person C</t>
        </is>
      </c>
      <c r="B1096" s="93">
        <f>'Home-Conversion'!A62</f>
        <v/>
      </c>
      <c r="C1096" s="8">
        <f>'Home-Conversion'!B62</f>
        <v/>
      </c>
      <c r="D1096" s="8">
        <f>'Home-Conversion'!C62</f>
        <v/>
      </c>
      <c r="E1096" s="8">
        <f>'Home-Conversion'!D62</f>
        <v/>
      </c>
      <c r="F1096" s="8">
        <f>'Home-Conversion'!E62</f>
        <v/>
      </c>
      <c r="G1096" s="9">
        <f>'Home-Conversion'!F62</f>
        <v/>
      </c>
      <c r="H1096" s="8">
        <f>'Home-Conversion'!G62</f>
        <v/>
      </c>
      <c r="I1096" s="10">
        <f>'Home-Conversion'!H62</f>
        <v/>
      </c>
      <c r="J1096" s="10">
        <f>'Home-Conversion'!I62</f>
        <v/>
      </c>
      <c r="K1096" s="11">
        <f>'Home-Conversion'!J62</f>
        <v/>
      </c>
      <c r="L1096" s="12">
        <f>'Home-Conversion'!K62</f>
        <v/>
      </c>
      <c r="M1096" s="11">
        <f>'Home-Conversion'!N62</f>
        <v/>
      </c>
      <c r="N1096" s="8">
        <f>'Home-Conversion'!O62</f>
        <v/>
      </c>
      <c r="O1096" s="8">
        <f>'Home-Conversion'!P62</f>
        <v/>
      </c>
    </row>
    <row r="1097" ht="18" customHeight="1" s="96">
      <c r="A1097" s="2" t="inlineStr">
        <is>
          <t>Person C</t>
        </is>
      </c>
      <c r="B1097" s="2">
        <f>'Home-Conversion'!A63</f>
        <v/>
      </c>
      <c r="C1097" s="3">
        <f>'Home-Conversion'!B63</f>
        <v/>
      </c>
      <c r="D1097" s="3">
        <f>'Home-Conversion'!C63</f>
        <v/>
      </c>
      <c r="E1097" s="3">
        <f>'Home-Conversion'!D63</f>
        <v/>
      </c>
      <c r="F1097" s="3">
        <f>'Home-Conversion'!E63</f>
        <v/>
      </c>
      <c r="G1097" s="4">
        <f>'Home-Conversion'!F63</f>
        <v/>
      </c>
      <c r="H1097" s="3">
        <f>'Home-Conversion'!G63</f>
        <v/>
      </c>
      <c r="I1097" s="5">
        <f>'Home-Conversion'!H63</f>
        <v/>
      </c>
      <c r="J1097" s="5">
        <f>'Home-Conversion'!I63</f>
        <v/>
      </c>
      <c r="K1097" s="6">
        <f>'Home-Conversion'!J63</f>
        <v/>
      </c>
      <c r="L1097" s="13">
        <f>'Home-Conversion'!K63</f>
        <v/>
      </c>
      <c r="M1097" s="6">
        <f>'Home-Conversion'!N63</f>
        <v/>
      </c>
      <c r="N1097" s="3">
        <f>'Home-Conversion'!O63</f>
        <v/>
      </c>
      <c r="O1097" s="3">
        <f>'Home-Conversion'!P63</f>
        <v/>
      </c>
    </row>
    <row r="1098" ht="18" customHeight="1" s="96">
      <c r="A1098" s="93" t="inlineStr">
        <is>
          <t>Person C</t>
        </is>
      </c>
      <c r="B1098" s="93">
        <f>'Home-Conversion'!A64</f>
        <v/>
      </c>
      <c r="C1098" s="8">
        <f>'Home-Conversion'!B64</f>
        <v/>
      </c>
      <c r="D1098" s="8">
        <f>'Home-Conversion'!C64</f>
        <v/>
      </c>
      <c r="E1098" s="8">
        <f>'Home-Conversion'!D64</f>
        <v/>
      </c>
      <c r="F1098" s="8">
        <f>'Home-Conversion'!E64</f>
        <v/>
      </c>
      <c r="G1098" s="9">
        <f>'Home-Conversion'!F64</f>
        <v/>
      </c>
      <c r="H1098" s="8">
        <f>'Home-Conversion'!G64</f>
        <v/>
      </c>
      <c r="I1098" s="10">
        <f>'Home-Conversion'!H64</f>
        <v/>
      </c>
      <c r="J1098" s="10">
        <f>'Home-Conversion'!I64</f>
        <v/>
      </c>
      <c r="K1098" s="11">
        <f>'Home-Conversion'!J64</f>
        <v/>
      </c>
      <c r="L1098" s="12">
        <f>'Home-Conversion'!K64</f>
        <v/>
      </c>
      <c r="M1098" s="11">
        <f>'Home-Conversion'!N64</f>
        <v/>
      </c>
      <c r="N1098" s="8">
        <f>'Home-Conversion'!O64</f>
        <v/>
      </c>
      <c r="O1098" s="8">
        <f>'Home-Conversion'!P64</f>
        <v/>
      </c>
    </row>
    <row r="1099" ht="18" customHeight="1" s="96">
      <c r="A1099" s="2" t="inlineStr">
        <is>
          <t>Person C</t>
        </is>
      </c>
      <c r="B1099" s="2">
        <f>'Home-Conversion'!A65</f>
        <v/>
      </c>
      <c r="C1099" s="3">
        <f>'Home-Conversion'!B65</f>
        <v/>
      </c>
      <c r="D1099" s="3">
        <f>'Home-Conversion'!C65</f>
        <v/>
      </c>
      <c r="E1099" s="3">
        <f>'Home-Conversion'!D65</f>
        <v/>
      </c>
      <c r="F1099" s="3">
        <f>'Home-Conversion'!E65</f>
        <v/>
      </c>
      <c r="G1099" s="4">
        <f>'Home-Conversion'!F65</f>
        <v/>
      </c>
      <c r="H1099" s="3">
        <f>'Home-Conversion'!G65</f>
        <v/>
      </c>
      <c r="I1099" s="5">
        <f>'Home-Conversion'!H65</f>
        <v/>
      </c>
      <c r="J1099" s="5">
        <f>'Home-Conversion'!I65</f>
        <v/>
      </c>
      <c r="K1099" s="6">
        <f>'Home-Conversion'!J65</f>
        <v/>
      </c>
      <c r="L1099" s="13">
        <f>'Home-Conversion'!K65</f>
        <v/>
      </c>
      <c r="M1099" s="6">
        <f>'Home-Conversion'!N65</f>
        <v/>
      </c>
      <c r="N1099" s="3">
        <f>'Home-Conversion'!O65</f>
        <v/>
      </c>
      <c r="O1099" s="3">
        <f>'Home-Conversion'!P65</f>
        <v/>
      </c>
    </row>
    <row r="1100" ht="18" customHeight="1" s="96">
      <c r="A1100" s="93" t="inlineStr">
        <is>
          <t>Person C</t>
        </is>
      </c>
      <c r="B1100" s="93">
        <f>'Home-Conversion'!A66</f>
        <v/>
      </c>
      <c r="C1100" s="8">
        <f>'Home-Conversion'!B66</f>
        <v/>
      </c>
      <c r="D1100" s="8">
        <f>'Home-Conversion'!C66</f>
        <v/>
      </c>
      <c r="E1100" s="8">
        <f>'Home-Conversion'!D66</f>
        <v/>
      </c>
      <c r="F1100" s="8">
        <f>'Home-Conversion'!E66</f>
        <v/>
      </c>
      <c r="G1100" s="9">
        <f>'Home-Conversion'!F66</f>
        <v/>
      </c>
      <c r="H1100" s="8">
        <f>'Home-Conversion'!G66</f>
        <v/>
      </c>
      <c r="I1100" s="10">
        <f>'Home-Conversion'!H66</f>
        <v/>
      </c>
      <c r="J1100" s="10">
        <f>'Home-Conversion'!I66</f>
        <v/>
      </c>
      <c r="K1100" s="11">
        <f>'Home-Conversion'!J66</f>
        <v/>
      </c>
      <c r="L1100" s="12">
        <f>'Home-Conversion'!K66</f>
        <v/>
      </c>
      <c r="M1100" s="11">
        <f>'Home-Conversion'!N66</f>
        <v/>
      </c>
      <c r="N1100" s="8">
        <f>'Home-Conversion'!O66</f>
        <v/>
      </c>
      <c r="O1100" s="8">
        <f>'Home-Conversion'!P66</f>
        <v/>
      </c>
    </row>
    <row r="1101" ht="18" customHeight="1" s="96">
      <c r="A1101" s="2" t="inlineStr">
        <is>
          <t>Person C</t>
        </is>
      </c>
      <c r="B1101" s="2">
        <f>'Home-Conversion'!A67</f>
        <v/>
      </c>
      <c r="C1101" s="3">
        <f>'Home-Conversion'!B67</f>
        <v/>
      </c>
      <c r="D1101" s="3">
        <f>'Home-Conversion'!C67</f>
        <v/>
      </c>
      <c r="E1101" s="3">
        <f>'Home-Conversion'!D67</f>
        <v/>
      </c>
      <c r="F1101" s="3">
        <f>'Home-Conversion'!E67</f>
        <v/>
      </c>
      <c r="G1101" s="4">
        <f>'Home-Conversion'!F67</f>
        <v/>
      </c>
      <c r="H1101" s="3">
        <f>'Home-Conversion'!G67</f>
        <v/>
      </c>
      <c r="I1101" s="5">
        <f>'Home-Conversion'!H67</f>
        <v/>
      </c>
      <c r="J1101" s="5">
        <f>'Home-Conversion'!I67</f>
        <v/>
      </c>
      <c r="K1101" s="6">
        <f>'Home-Conversion'!J67</f>
        <v/>
      </c>
      <c r="L1101" s="13">
        <f>'Home-Conversion'!K67</f>
        <v/>
      </c>
      <c r="M1101" s="6">
        <f>'Home-Conversion'!N67</f>
        <v/>
      </c>
      <c r="N1101" s="3">
        <f>'Home-Conversion'!O67</f>
        <v/>
      </c>
      <c r="O1101" s="3">
        <f>'Home-Conversion'!P67</f>
        <v/>
      </c>
    </row>
    <row r="1102" ht="18" customHeight="1" s="96">
      <c r="A1102" s="93" t="inlineStr">
        <is>
          <t>Person C</t>
        </is>
      </c>
      <c r="B1102" s="93">
        <f>'Home-Conversion'!A68</f>
        <v/>
      </c>
      <c r="C1102" s="8">
        <f>'Home-Conversion'!B68</f>
        <v/>
      </c>
      <c r="D1102" s="8">
        <f>'Home-Conversion'!C68</f>
        <v/>
      </c>
      <c r="E1102" s="8">
        <f>'Home-Conversion'!D68</f>
        <v/>
      </c>
      <c r="F1102" s="8">
        <f>'Home-Conversion'!E68</f>
        <v/>
      </c>
      <c r="G1102" s="9">
        <f>'Home-Conversion'!F68</f>
        <v/>
      </c>
      <c r="H1102" s="8">
        <f>'Home-Conversion'!G68</f>
        <v/>
      </c>
      <c r="I1102" s="10">
        <f>'Home-Conversion'!H68</f>
        <v/>
      </c>
      <c r="J1102" s="10">
        <f>'Home-Conversion'!I68</f>
        <v/>
      </c>
      <c r="K1102" s="11">
        <f>'Home-Conversion'!J68</f>
        <v/>
      </c>
      <c r="L1102" s="12">
        <f>'Home-Conversion'!K68</f>
        <v/>
      </c>
      <c r="M1102" s="11">
        <f>'Home-Conversion'!N68</f>
        <v/>
      </c>
      <c r="N1102" s="8">
        <f>'Home-Conversion'!O68</f>
        <v/>
      </c>
      <c r="O1102" s="8">
        <f>'Home-Conversion'!P68</f>
        <v/>
      </c>
    </row>
    <row r="1103" ht="18" customHeight="1" s="96">
      <c r="A1103" s="2" t="inlineStr">
        <is>
          <t>Person C</t>
        </is>
      </c>
      <c r="B1103" s="2">
        <f>'Home-Conversion'!A69</f>
        <v/>
      </c>
      <c r="C1103" s="3">
        <f>'Home-Conversion'!B69</f>
        <v/>
      </c>
      <c r="D1103" s="3">
        <f>'Home-Conversion'!C69</f>
        <v/>
      </c>
      <c r="E1103" s="3">
        <f>'Home-Conversion'!D69</f>
        <v/>
      </c>
      <c r="F1103" s="3">
        <f>'Home-Conversion'!E69</f>
        <v/>
      </c>
      <c r="G1103" s="4">
        <f>'Home-Conversion'!F69</f>
        <v/>
      </c>
      <c r="H1103" s="3">
        <f>'Home-Conversion'!G69</f>
        <v/>
      </c>
      <c r="I1103" s="5">
        <f>'Home-Conversion'!H69</f>
        <v/>
      </c>
      <c r="J1103" s="5">
        <f>'Home-Conversion'!I69</f>
        <v/>
      </c>
      <c r="K1103" s="6">
        <f>'Home-Conversion'!J69</f>
        <v/>
      </c>
      <c r="L1103" s="13">
        <f>'Home-Conversion'!K69</f>
        <v/>
      </c>
      <c r="M1103" s="6">
        <f>'Home-Conversion'!N69</f>
        <v/>
      </c>
      <c r="N1103" s="3">
        <f>'Home-Conversion'!O69</f>
        <v/>
      </c>
      <c r="O1103" s="3">
        <f>'Home-Conversion'!P69</f>
        <v/>
      </c>
    </row>
    <row r="1104" ht="18" customHeight="1" s="96">
      <c r="A1104" s="93" t="inlineStr">
        <is>
          <t>Person C</t>
        </is>
      </c>
      <c r="B1104" s="93">
        <f>'Home-Conversion'!A70</f>
        <v/>
      </c>
      <c r="C1104" s="8">
        <f>'Home-Conversion'!B70</f>
        <v/>
      </c>
      <c r="D1104" s="8">
        <f>'Home-Conversion'!C70</f>
        <v/>
      </c>
      <c r="E1104" s="8">
        <f>'Home-Conversion'!D70</f>
        <v/>
      </c>
      <c r="F1104" s="8">
        <f>'Home-Conversion'!E70</f>
        <v/>
      </c>
      <c r="G1104" s="9">
        <f>'Home-Conversion'!F70</f>
        <v/>
      </c>
      <c r="H1104" s="8">
        <f>'Home-Conversion'!G70</f>
        <v/>
      </c>
      <c r="I1104" s="10">
        <f>'Home-Conversion'!H70</f>
        <v/>
      </c>
      <c r="J1104" s="10">
        <f>'Home-Conversion'!I70</f>
        <v/>
      </c>
      <c r="K1104" s="11">
        <f>'Home-Conversion'!J70</f>
        <v/>
      </c>
      <c r="L1104" s="12">
        <f>'Home-Conversion'!K70</f>
        <v/>
      </c>
      <c r="M1104" s="11">
        <f>'Home-Conversion'!N70</f>
        <v/>
      </c>
      <c r="N1104" s="8">
        <f>'Home-Conversion'!O70</f>
        <v/>
      </c>
      <c r="O1104" s="8">
        <f>'Home-Conversion'!P70</f>
        <v/>
      </c>
    </row>
    <row r="1105" ht="18" customHeight="1" s="96">
      <c r="A1105" s="2" t="inlineStr">
        <is>
          <t>Person C</t>
        </is>
      </c>
      <c r="B1105" s="2">
        <f>'Home-Conversion'!A71</f>
        <v/>
      </c>
      <c r="C1105" s="3">
        <f>'Home-Conversion'!B71</f>
        <v/>
      </c>
      <c r="D1105" s="3">
        <f>'Home-Conversion'!C71</f>
        <v/>
      </c>
      <c r="E1105" s="3">
        <f>'Home-Conversion'!D71</f>
        <v/>
      </c>
      <c r="F1105" s="3">
        <f>'Home-Conversion'!E71</f>
        <v/>
      </c>
      <c r="G1105" s="4">
        <f>'Home-Conversion'!F71</f>
        <v/>
      </c>
      <c r="H1105" s="3">
        <f>'Home-Conversion'!G71</f>
        <v/>
      </c>
      <c r="I1105" s="5">
        <f>'Home-Conversion'!H71</f>
        <v/>
      </c>
      <c r="J1105" s="5">
        <f>'Home-Conversion'!I71</f>
        <v/>
      </c>
      <c r="K1105" s="6">
        <f>'Home-Conversion'!J71</f>
        <v/>
      </c>
      <c r="L1105" s="13">
        <f>'Home-Conversion'!K71</f>
        <v/>
      </c>
      <c r="M1105" s="6">
        <f>'Home-Conversion'!N71</f>
        <v/>
      </c>
      <c r="N1105" s="3">
        <f>'Home-Conversion'!O71</f>
        <v/>
      </c>
      <c r="O1105" s="3">
        <f>'Home-Conversion'!P71</f>
        <v/>
      </c>
    </row>
    <row r="1106" ht="18" customHeight="1" s="96">
      <c r="A1106" s="93" t="inlineStr">
        <is>
          <t>Person C</t>
        </is>
      </c>
      <c r="B1106" s="93">
        <f>'Home-Conversion'!A72</f>
        <v/>
      </c>
      <c r="C1106" s="8">
        <f>'Home-Conversion'!B72</f>
        <v/>
      </c>
      <c r="D1106" s="8">
        <f>'Home-Conversion'!C72</f>
        <v/>
      </c>
      <c r="E1106" s="8">
        <f>'Home-Conversion'!D72</f>
        <v/>
      </c>
      <c r="F1106" s="8">
        <f>'Home-Conversion'!E72</f>
        <v/>
      </c>
      <c r="G1106" s="9">
        <f>'Home-Conversion'!F72</f>
        <v/>
      </c>
      <c r="H1106" s="8">
        <f>'Home-Conversion'!G72</f>
        <v/>
      </c>
      <c r="I1106" s="10">
        <f>'Home-Conversion'!H72</f>
        <v/>
      </c>
      <c r="J1106" s="10">
        <f>'Home-Conversion'!I72</f>
        <v/>
      </c>
      <c r="K1106" s="11">
        <f>'Home-Conversion'!J72</f>
        <v/>
      </c>
      <c r="L1106" s="12">
        <f>'Home-Conversion'!K72</f>
        <v/>
      </c>
      <c r="M1106" s="11">
        <f>'Home-Conversion'!N72</f>
        <v/>
      </c>
      <c r="N1106" s="8">
        <f>'Home-Conversion'!O72</f>
        <v/>
      </c>
      <c r="O1106" s="8">
        <f>'Home-Conversion'!P72</f>
        <v/>
      </c>
    </row>
    <row r="1107" ht="18" customHeight="1" s="96">
      <c r="A1107" s="2" t="inlineStr">
        <is>
          <t>Person C</t>
        </is>
      </c>
      <c r="B1107" s="2">
        <f>'Home-Conversion'!A73</f>
        <v/>
      </c>
      <c r="C1107" s="3">
        <f>'Home-Conversion'!B73</f>
        <v/>
      </c>
      <c r="D1107" s="3">
        <f>'Home-Conversion'!C73</f>
        <v/>
      </c>
      <c r="E1107" s="3">
        <f>'Home-Conversion'!D73</f>
        <v/>
      </c>
      <c r="F1107" s="3">
        <f>'Home-Conversion'!E73</f>
        <v/>
      </c>
      <c r="G1107" s="4">
        <f>'Home-Conversion'!F73</f>
        <v/>
      </c>
      <c r="H1107" s="3">
        <f>'Home-Conversion'!G73</f>
        <v/>
      </c>
      <c r="I1107" s="5">
        <f>'Home-Conversion'!H73</f>
        <v/>
      </c>
      <c r="J1107" s="5">
        <f>'Home-Conversion'!I73</f>
        <v/>
      </c>
      <c r="K1107" s="6">
        <f>'Home-Conversion'!J73</f>
        <v/>
      </c>
      <c r="L1107" s="13">
        <f>'Home-Conversion'!K73</f>
        <v/>
      </c>
      <c r="M1107" s="6">
        <f>'Home-Conversion'!N73</f>
        <v/>
      </c>
      <c r="N1107" s="3">
        <f>'Home-Conversion'!O73</f>
        <v/>
      </c>
      <c r="O1107" s="3">
        <f>'Home-Conversion'!P73</f>
        <v/>
      </c>
    </row>
    <row r="1108" ht="18" customHeight="1" s="96">
      <c r="A1108" s="93" t="inlineStr">
        <is>
          <t>Person C</t>
        </is>
      </c>
      <c r="B1108" s="93">
        <f>'Home-Conversion'!A74</f>
        <v/>
      </c>
      <c r="C1108" s="8">
        <f>'Home-Conversion'!B74</f>
        <v/>
      </c>
      <c r="D1108" s="8">
        <f>'Home-Conversion'!C74</f>
        <v/>
      </c>
      <c r="E1108" s="8">
        <f>'Home-Conversion'!D74</f>
        <v/>
      </c>
      <c r="F1108" s="8">
        <f>'Home-Conversion'!E74</f>
        <v/>
      </c>
      <c r="G1108" s="9">
        <f>'Home-Conversion'!F74</f>
        <v/>
      </c>
      <c r="H1108" s="8">
        <f>'Home-Conversion'!G74</f>
        <v/>
      </c>
      <c r="I1108" s="10">
        <f>'Home-Conversion'!H74</f>
        <v/>
      </c>
      <c r="J1108" s="10">
        <f>'Home-Conversion'!I74</f>
        <v/>
      </c>
      <c r="K1108" s="11">
        <f>'Home-Conversion'!J74</f>
        <v/>
      </c>
      <c r="L1108" s="12">
        <f>'Home-Conversion'!K74</f>
        <v/>
      </c>
      <c r="M1108" s="11">
        <f>'Home-Conversion'!N74</f>
        <v/>
      </c>
      <c r="N1108" s="8">
        <f>'Home-Conversion'!O74</f>
        <v/>
      </c>
      <c r="O1108" s="8">
        <f>'Home-Conversion'!P74</f>
        <v/>
      </c>
    </row>
    <row r="1109" ht="18" customHeight="1" s="96">
      <c r="A1109" s="2" t="inlineStr">
        <is>
          <t>Person C</t>
        </is>
      </c>
      <c r="B1109" s="2">
        <f>'Home-Conversion'!A75</f>
        <v/>
      </c>
      <c r="C1109" s="3">
        <f>'Home-Conversion'!B75</f>
        <v/>
      </c>
      <c r="D1109" s="3">
        <f>'Home-Conversion'!C75</f>
        <v/>
      </c>
      <c r="E1109" s="3">
        <f>'Home-Conversion'!D75</f>
        <v/>
      </c>
      <c r="F1109" s="3">
        <f>'Home-Conversion'!E75</f>
        <v/>
      </c>
      <c r="G1109" s="4">
        <f>'Home-Conversion'!F75</f>
        <v/>
      </c>
      <c r="H1109" s="3">
        <f>'Home-Conversion'!G75</f>
        <v/>
      </c>
      <c r="I1109" s="5">
        <f>'Home-Conversion'!H75</f>
        <v/>
      </c>
      <c r="J1109" s="5">
        <f>'Home-Conversion'!I75</f>
        <v/>
      </c>
      <c r="K1109" s="6">
        <f>'Home-Conversion'!J75</f>
        <v/>
      </c>
      <c r="L1109" s="13">
        <f>'Home-Conversion'!K75</f>
        <v/>
      </c>
      <c r="M1109" s="6">
        <f>'Home-Conversion'!N75</f>
        <v/>
      </c>
      <c r="N1109" s="3">
        <f>'Home-Conversion'!O75</f>
        <v/>
      </c>
      <c r="O1109" s="3">
        <f>'Home-Conversion'!P75</f>
        <v/>
      </c>
    </row>
    <row r="1110" ht="18" customHeight="1" s="96">
      <c r="A1110" s="93" t="inlineStr">
        <is>
          <t>Person C</t>
        </is>
      </c>
      <c r="B1110" s="93">
        <f>'Home-Conversion'!A76</f>
        <v/>
      </c>
      <c r="C1110" s="8">
        <f>'Home-Conversion'!B76</f>
        <v/>
      </c>
      <c r="D1110" s="8">
        <f>'Home-Conversion'!C76</f>
        <v/>
      </c>
      <c r="E1110" s="8">
        <f>'Home-Conversion'!D76</f>
        <v/>
      </c>
      <c r="F1110" s="8">
        <f>'Home-Conversion'!E76</f>
        <v/>
      </c>
      <c r="G1110" s="9">
        <f>'Home-Conversion'!F76</f>
        <v/>
      </c>
      <c r="H1110" s="8">
        <f>'Home-Conversion'!G76</f>
        <v/>
      </c>
      <c r="I1110" s="10">
        <f>'Home-Conversion'!H76</f>
        <v/>
      </c>
      <c r="J1110" s="10">
        <f>'Home-Conversion'!I76</f>
        <v/>
      </c>
      <c r="K1110" s="11">
        <f>'Home-Conversion'!J76</f>
        <v/>
      </c>
      <c r="L1110" s="12">
        <f>'Home-Conversion'!K76</f>
        <v/>
      </c>
      <c r="M1110" s="11">
        <f>'Home-Conversion'!N76</f>
        <v/>
      </c>
      <c r="N1110" s="8">
        <f>'Home-Conversion'!O76</f>
        <v/>
      </c>
      <c r="O1110" s="8">
        <f>'Home-Conversion'!P76</f>
        <v/>
      </c>
    </row>
    <row r="1111" ht="18" customHeight="1" s="96">
      <c r="A1111" s="2" t="inlineStr">
        <is>
          <t>Person C</t>
        </is>
      </c>
      <c r="B1111" s="2">
        <f>'Home-Conversion'!A77</f>
        <v/>
      </c>
      <c r="C1111" s="3">
        <f>'Home-Conversion'!B77</f>
        <v/>
      </c>
      <c r="D1111" s="3">
        <f>'Home-Conversion'!C77</f>
        <v/>
      </c>
      <c r="E1111" s="3">
        <f>'Home-Conversion'!D77</f>
        <v/>
      </c>
      <c r="F1111" s="3">
        <f>'Home-Conversion'!E77</f>
        <v/>
      </c>
      <c r="G1111" s="4">
        <f>'Home-Conversion'!F77</f>
        <v/>
      </c>
      <c r="H1111" s="3">
        <f>'Home-Conversion'!G77</f>
        <v/>
      </c>
      <c r="I1111" s="5">
        <f>'Home-Conversion'!H77</f>
        <v/>
      </c>
      <c r="J1111" s="5">
        <f>'Home-Conversion'!I77</f>
        <v/>
      </c>
      <c r="K1111" s="6">
        <f>'Home-Conversion'!J77</f>
        <v/>
      </c>
      <c r="L1111" s="13">
        <f>'Home-Conversion'!K77</f>
        <v/>
      </c>
      <c r="M1111" s="6">
        <f>'Home-Conversion'!N77</f>
        <v/>
      </c>
      <c r="N1111" s="3">
        <f>'Home-Conversion'!O77</f>
        <v/>
      </c>
      <c r="O1111" s="3">
        <f>'Home-Conversion'!P77</f>
        <v/>
      </c>
    </row>
    <row r="1112" ht="18" customHeight="1" s="96">
      <c r="A1112" s="93" t="inlineStr">
        <is>
          <t>Person C</t>
        </is>
      </c>
      <c r="B1112" s="93">
        <f>'Home-Conversion'!A78</f>
        <v/>
      </c>
      <c r="C1112" s="8">
        <f>'Home-Conversion'!B78</f>
        <v/>
      </c>
      <c r="D1112" s="8">
        <f>'Home-Conversion'!C78</f>
        <v/>
      </c>
      <c r="E1112" s="8">
        <f>'Home-Conversion'!D78</f>
        <v/>
      </c>
      <c r="F1112" s="8">
        <f>'Home-Conversion'!E78</f>
        <v/>
      </c>
      <c r="G1112" s="9">
        <f>'Home-Conversion'!F78</f>
        <v/>
      </c>
      <c r="H1112" s="8">
        <f>'Home-Conversion'!G78</f>
        <v/>
      </c>
      <c r="I1112" s="10">
        <f>'Home-Conversion'!H78</f>
        <v/>
      </c>
      <c r="J1112" s="10">
        <f>'Home-Conversion'!I78</f>
        <v/>
      </c>
      <c r="K1112" s="11">
        <f>'Home-Conversion'!J78</f>
        <v/>
      </c>
      <c r="L1112" s="12">
        <f>'Home-Conversion'!K78</f>
        <v/>
      </c>
      <c r="M1112" s="11">
        <f>'Home-Conversion'!N78</f>
        <v/>
      </c>
      <c r="N1112" s="8">
        <f>'Home-Conversion'!O78</f>
        <v/>
      </c>
      <c r="O1112" s="8">
        <f>'Home-Conversion'!P78</f>
        <v/>
      </c>
    </row>
    <row r="1113" ht="18" customHeight="1" s="96">
      <c r="A1113" s="2" t="inlineStr">
        <is>
          <t>Person C</t>
        </is>
      </c>
      <c r="B1113" s="2">
        <f>'Home-Conversion'!A79</f>
        <v/>
      </c>
      <c r="C1113" s="3">
        <f>'Home-Conversion'!B79</f>
        <v/>
      </c>
      <c r="D1113" s="3">
        <f>'Home-Conversion'!C79</f>
        <v/>
      </c>
      <c r="E1113" s="3">
        <f>'Home-Conversion'!D79</f>
        <v/>
      </c>
      <c r="F1113" s="3">
        <f>'Home-Conversion'!E79</f>
        <v/>
      </c>
      <c r="G1113" s="4">
        <f>'Home-Conversion'!F79</f>
        <v/>
      </c>
      <c r="H1113" s="3">
        <f>'Home-Conversion'!G79</f>
        <v/>
      </c>
      <c r="I1113" s="5">
        <f>'Home-Conversion'!H79</f>
        <v/>
      </c>
      <c r="J1113" s="5">
        <f>'Home-Conversion'!I79</f>
        <v/>
      </c>
      <c r="K1113" s="6">
        <f>'Home-Conversion'!J79</f>
        <v/>
      </c>
      <c r="L1113" s="13">
        <f>'Home-Conversion'!K79</f>
        <v/>
      </c>
      <c r="M1113" s="6">
        <f>'Home-Conversion'!N79</f>
        <v/>
      </c>
      <c r="N1113" s="3">
        <f>'Home-Conversion'!O79</f>
        <v/>
      </c>
      <c r="O1113" s="3">
        <f>'Home-Conversion'!P79</f>
        <v/>
      </c>
    </row>
    <row r="1114" ht="18" customHeight="1" s="96">
      <c r="A1114" s="93" t="inlineStr">
        <is>
          <t>Person C</t>
        </is>
      </c>
      <c r="B1114" s="93">
        <f>'Home-Conversion'!A80</f>
        <v/>
      </c>
      <c r="C1114" s="8">
        <f>'Home-Conversion'!B80</f>
        <v/>
      </c>
      <c r="D1114" s="8">
        <f>'Home-Conversion'!C80</f>
        <v/>
      </c>
      <c r="E1114" s="8">
        <f>'Home-Conversion'!D80</f>
        <v/>
      </c>
      <c r="F1114" s="8">
        <f>'Home-Conversion'!E80</f>
        <v/>
      </c>
      <c r="G1114" s="9">
        <f>'Home-Conversion'!F80</f>
        <v/>
      </c>
      <c r="H1114" s="8">
        <f>'Home-Conversion'!G80</f>
        <v/>
      </c>
      <c r="I1114" s="10">
        <f>'Home-Conversion'!H80</f>
        <v/>
      </c>
      <c r="J1114" s="10">
        <f>'Home-Conversion'!I80</f>
        <v/>
      </c>
      <c r="K1114" s="11">
        <f>'Home-Conversion'!J80</f>
        <v/>
      </c>
      <c r="L1114" s="12">
        <f>'Home-Conversion'!K80</f>
        <v/>
      </c>
      <c r="M1114" s="11">
        <f>'Home-Conversion'!N80</f>
        <v/>
      </c>
      <c r="N1114" s="8">
        <f>'Home-Conversion'!O80</f>
        <v/>
      </c>
      <c r="O1114" s="8">
        <f>'Home-Conversion'!P80</f>
        <v/>
      </c>
    </row>
    <row r="1115" ht="18" customHeight="1" s="96">
      <c r="A1115" s="2" t="inlineStr">
        <is>
          <t>Person C</t>
        </is>
      </c>
      <c r="B1115" s="2">
        <f>'Home-Conversion'!A81</f>
        <v/>
      </c>
      <c r="C1115" s="3">
        <f>'Home-Conversion'!B81</f>
        <v/>
      </c>
      <c r="D1115" s="3">
        <f>'Home-Conversion'!C81</f>
        <v/>
      </c>
      <c r="E1115" s="3">
        <f>'Home-Conversion'!D81</f>
        <v/>
      </c>
      <c r="F1115" s="3">
        <f>'Home-Conversion'!E81</f>
        <v/>
      </c>
      <c r="G1115" s="4">
        <f>'Home-Conversion'!F81</f>
        <v/>
      </c>
      <c r="H1115" s="3">
        <f>'Home-Conversion'!G81</f>
        <v/>
      </c>
      <c r="I1115" s="5">
        <f>'Home-Conversion'!H81</f>
        <v/>
      </c>
      <c r="J1115" s="5">
        <f>'Home-Conversion'!I81</f>
        <v/>
      </c>
      <c r="K1115" s="6">
        <f>'Home-Conversion'!J81</f>
        <v/>
      </c>
      <c r="L1115" s="13">
        <f>'Home-Conversion'!K81</f>
        <v/>
      </c>
      <c r="M1115" s="6">
        <f>'Home-Conversion'!N81</f>
        <v/>
      </c>
      <c r="N1115" s="3">
        <f>'Home-Conversion'!O81</f>
        <v/>
      </c>
      <c r="O1115" s="3">
        <f>'Home-Conversion'!P81</f>
        <v/>
      </c>
    </row>
    <row r="1116" ht="18" customHeight="1" s="96">
      <c r="A1116" s="93" t="inlineStr">
        <is>
          <t>Person C</t>
        </is>
      </c>
      <c r="B1116" s="93">
        <f>'Home-Conversion'!A82</f>
        <v/>
      </c>
      <c r="C1116" s="8">
        <f>'Home-Conversion'!B82</f>
        <v/>
      </c>
      <c r="D1116" s="8">
        <f>'Home-Conversion'!C82</f>
        <v/>
      </c>
      <c r="E1116" s="8">
        <f>'Home-Conversion'!D82</f>
        <v/>
      </c>
      <c r="F1116" s="8">
        <f>'Home-Conversion'!E82</f>
        <v/>
      </c>
      <c r="G1116" s="9">
        <f>'Home-Conversion'!F82</f>
        <v/>
      </c>
      <c r="H1116" s="8">
        <f>'Home-Conversion'!G82</f>
        <v/>
      </c>
      <c r="I1116" s="10">
        <f>'Home-Conversion'!H82</f>
        <v/>
      </c>
      <c r="J1116" s="10">
        <f>'Home-Conversion'!I82</f>
        <v/>
      </c>
      <c r="K1116" s="11">
        <f>'Home-Conversion'!J82</f>
        <v/>
      </c>
      <c r="L1116" s="12">
        <f>'Home-Conversion'!K82</f>
        <v/>
      </c>
      <c r="M1116" s="11">
        <f>'Home-Conversion'!N82</f>
        <v/>
      </c>
      <c r="N1116" s="8">
        <f>'Home-Conversion'!O82</f>
        <v/>
      </c>
      <c r="O1116" s="8">
        <f>'Home-Conversion'!P82</f>
        <v/>
      </c>
    </row>
    <row r="1117" ht="18" customHeight="1" s="96">
      <c r="A1117" s="2" t="inlineStr">
        <is>
          <t>Person C</t>
        </is>
      </c>
      <c r="B1117" s="2">
        <f>'Home-Conversion'!A83</f>
        <v/>
      </c>
      <c r="C1117" s="3">
        <f>'Home-Conversion'!B83</f>
        <v/>
      </c>
      <c r="D1117" s="3">
        <f>'Home-Conversion'!C83</f>
        <v/>
      </c>
      <c r="E1117" s="3">
        <f>'Home-Conversion'!D83</f>
        <v/>
      </c>
      <c r="F1117" s="3">
        <f>'Home-Conversion'!E83</f>
        <v/>
      </c>
      <c r="G1117" s="4">
        <f>'Home-Conversion'!F83</f>
        <v/>
      </c>
      <c r="H1117" s="3">
        <f>'Home-Conversion'!G83</f>
        <v/>
      </c>
      <c r="I1117" s="5">
        <f>'Home-Conversion'!H83</f>
        <v/>
      </c>
      <c r="J1117" s="5">
        <f>'Home-Conversion'!I83</f>
        <v/>
      </c>
      <c r="K1117" s="6">
        <f>'Home-Conversion'!J83</f>
        <v/>
      </c>
      <c r="L1117" s="13">
        <f>'Home-Conversion'!K83</f>
        <v/>
      </c>
      <c r="M1117" s="6">
        <f>'Home-Conversion'!N83</f>
        <v/>
      </c>
      <c r="N1117" s="3">
        <f>'Home-Conversion'!O83</f>
        <v/>
      </c>
      <c r="O1117" s="3">
        <f>'Home-Conversion'!P83</f>
        <v/>
      </c>
    </row>
    <row r="1118" ht="18" customHeight="1" s="96">
      <c r="A1118" s="93" t="inlineStr">
        <is>
          <t>Person C</t>
        </is>
      </c>
      <c r="B1118" s="93">
        <f>'Home-Conversion'!A84</f>
        <v/>
      </c>
      <c r="C1118" s="8">
        <f>'Home-Conversion'!B84</f>
        <v/>
      </c>
      <c r="D1118" s="8">
        <f>'Home-Conversion'!C84</f>
        <v/>
      </c>
      <c r="E1118" s="8">
        <f>'Home-Conversion'!D84</f>
        <v/>
      </c>
      <c r="F1118" s="8">
        <f>'Home-Conversion'!E84</f>
        <v/>
      </c>
      <c r="G1118" s="9">
        <f>'Home-Conversion'!F84</f>
        <v/>
      </c>
      <c r="H1118" s="8">
        <f>'Home-Conversion'!G84</f>
        <v/>
      </c>
      <c r="I1118" s="10">
        <f>'Home-Conversion'!H84</f>
        <v/>
      </c>
      <c r="J1118" s="10">
        <f>'Home-Conversion'!I84</f>
        <v/>
      </c>
      <c r="K1118" s="11">
        <f>'Home-Conversion'!J84</f>
        <v/>
      </c>
      <c r="L1118" s="12">
        <f>'Home-Conversion'!K84</f>
        <v/>
      </c>
      <c r="M1118" s="11">
        <f>'Home-Conversion'!N84</f>
        <v/>
      </c>
      <c r="N1118" s="8">
        <f>'Home-Conversion'!O84</f>
        <v/>
      </c>
      <c r="O1118" s="8">
        <f>'Home-Conversion'!P84</f>
        <v/>
      </c>
    </row>
    <row r="1119" ht="18" customHeight="1" s="96">
      <c r="A1119" s="2" t="inlineStr">
        <is>
          <t>Person C</t>
        </is>
      </c>
      <c r="B1119" s="2">
        <f>'Home-Conversion'!A85</f>
        <v/>
      </c>
      <c r="C1119" s="3">
        <f>'Home-Conversion'!B85</f>
        <v/>
      </c>
      <c r="D1119" s="3">
        <f>'Home-Conversion'!C85</f>
        <v/>
      </c>
      <c r="E1119" s="3">
        <f>'Home-Conversion'!D85</f>
        <v/>
      </c>
      <c r="F1119" s="3">
        <f>'Home-Conversion'!E85</f>
        <v/>
      </c>
      <c r="G1119" s="4">
        <f>'Home-Conversion'!F85</f>
        <v/>
      </c>
      <c r="H1119" s="3">
        <f>'Home-Conversion'!G85</f>
        <v/>
      </c>
      <c r="I1119" s="5">
        <f>'Home-Conversion'!H85</f>
        <v/>
      </c>
      <c r="J1119" s="5">
        <f>'Home-Conversion'!I85</f>
        <v/>
      </c>
      <c r="K1119" s="6">
        <f>'Home-Conversion'!J85</f>
        <v/>
      </c>
      <c r="L1119" s="13">
        <f>'Home-Conversion'!K85</f>
        <v/>
      </c>
      <c r="M1119" s="6">
        <f>'Home-Conversion'!N85</f>
        <v/>
      </c>
      <c r="N1119" s="3">
        <f>'Home-Conversion'!O85</f>
        <v/>
      </c>
      <c r="O1119" s="3">
        <f>'Home-Conversion'!P85</f>
        <v/>
      </c>
    </row>
    <row r="1120" ht="18" customHeight="1" s="96">
      <c r="A1120" s="93" t="inlineStr">
        <is>
          <t>Person C</t>
        </is>
      </c>
      <c r="B1120" s="93">
        <f>'Home-Conversion'!A86</f>
        <v/>
      </c>
      <c r="C1120" s="8">
        <f>'Home-Conversion'!B86</f>
        <v/>
      </c>
      <c r="D1120" s="8">
        <f>'Home-Conversion'!C86</f>
        <v/>
      </c>
      <c r="E1120" s="8">
        <f>'Home-Conversion'!D86</f>
        <v/>
      </c>
      <c r="F1120" s="8">
        <f>'Home-Conversion'!E86</f>
        <v/>
      </c>
      <c r="G1120" s="9">
        <f>'Home-Conversion'!F86</f>
        <v/>
      </c>
      <c r="H1120" s="8">
        <f>'Home-Conversion'!G86</f>
        <v/>
      </c>
      <c r="I1120" s="10">
        <f>'Home-Conversion'!H86</f>
        <v/>
      </c>
      <c r="J1120" s="10">
        <f>'Home-Conversion'!I86</f>
        <v/>
      </c>
      <c r="K1120" s="11">
        <f>'Home-Conversion'!J86</f>
        <v/>
      </c>
      <c r="L1120" s="12">
        <f>'Home-Conversion'!K86</f>
        <v/>
      </c>
      <c r="M1120" s="11">
        <f>'Home-Conversion'!N86</f>
        <v/>
      </c>
      <c r="N1120" s="8">
        <f>'Home-Conversion'!O86</f>
        <v/>
      </c>
      <c r="O1120" s="8">
        <f>'Home-Conversion'!P86</f>
        <v/>
      </c>
    </row>
    <row r="1121" ht="18" customHeight="1" s="96">
      <c r="A1121" s="2" t="inlineStr">
        <is>
          <t>Person C</t>
        </is>
      </c>
      <c r="B1121" s="2">
        <f>'Home-Conversion'!A87</f>
        <v/>
      </c>
      <c r="C1121" s="3">
        <f>'Home-Conversion'!B87</f>
        <v/>
      </c>
      <c r="D1121" s="3">
        <f>'Home-Conversion'!C87</f>
        <v/>
      </c>
      <c r="E1121" s="3">
        <f>'Home-Conversion'!D87</f>
        <v/>
      </c>
      <c r="F1121" s="3">
        <f>'Home-Conversion'!E87</f>
        <v/>
      </c>
      <c r="G1121" s="4">
        <f>'Home-Conversion'!F87</f>
        <v/>
      </c>
      <c r="H1121" s="3">
        <f>'Home-Conversion'!G87</f>
        <v/>
      </c>
      <c r="I1121" s="5">
        <f>'Home-Conversion'!H87</f>
        <v/>
      </c>
      <c r="J1121" s="5">
        <f>'Home-Conversion'!I87</f>
        <v/>
      </c>
      <c r="K1121" s="6">
        <f>'Home-Conversion'!J87</f>
        <v/>
      </c>
      <c r="L1121" s="13">
        <f>'Home-Conversion'!K87</f>
        <v/>
      </c>
      <c r="M1121" s="6">
        <f>'Home-Conversion'!N87</f>
        <v/>
      </c>
      <c r="N1121" s="3">
        <f>'Home-Conversion'!O87</f>
        <v/>
      </c>
      <c r="O1121" s="3">
        <f>'Home-Conversion'!P87</f>
        <v/>
      </c>
    </row>
    <row r="1122" ht="18" customHeight="1" s="96">
      <c r="A1122" s="93" t="inlineStr">
        <is>
          <t>Person C</t>
        </is>
      </c>
      <c r="B1122" s="93">
        <f>'Home-Conversion'!A88</f>
        <v/>
      </c>
      <c r="C1122" s="8">
        <f>'Home-Conversion'!B88</f>
        <v/>
      </c>
      <c r="D1122" s="8">
        <f>'Home-Conversion'!C88</f>
        <v/>
      </c>
      <c r="E1122" s="8">
        <f>'Home-Conversion'!D88</f>
        <v/>
      </c>
      <c r="F1122" s="8">
        <f>'Home-Conversion'!E88</f>
        <v/>
      </c>
      <c r="G1122" s="9">
        <f>'Home-Conversion'!F88</f>
        <v/>
      </c>
      <c r="H1122" s="8">
        <f>'Home-Conversion'!G88</f>
        <v/>
      </c>
      <c r="I1122" s="10">
        <f>'Home-Conversion'!H88</f>
        <v/>
      </c>
      <c r="J1122" s="10">
        <f>'Home-Conversion'!I88</f>
        <v/>
      </c>
      <c r="K1122" s="11">
        <f>'Home-Conversion'!J88</f>
        <v/>
      </c>
      <c r="L1122" s="12">
        <f>'Home-Conversion'!K88</f>
        <v/>
      </c>
      <c r="M1122" s="11">
        <f>'Home-Conversion'!N88</f>
        <v/>
      </c>
      <c r="N1122" s="8">
        <f>'Home-Conversion'!O88</f>
        <v/>
      </c>
      <c r="O1122" s="8">
        <f>'Home-Conversion'!P88</f>
        <v/>
      </c>
    </row>
    <row r="1123" ht="18" customHeight="1" s="96">
      <c r="A1123" s="2" t="inlineStr">
        <is>
          <t>Person C</t>
        </is>
      </c>
      <c r="B1123" s="2">
        <f>'Home-Conversion'!A89</f>
        <v/>
      </c>
      <c r="C1123" s="3">
        <f>'Home-Conversion'!B89</f>
        <v/>
      </c>
      <c r="D1123" s="3">
        <f>'Home-Conversion'!C89</f>
        <v/>
      </c>
      <c r="E1123" s="3">
        <f>'Home-Conversion'!D89</f>
        <v/>
      </c>
      <c r="F1123" s="3">
        <f>'Home-Conversion'!E89</f>
        <v/>
      </c>
      <c r="G1123" s="4">
        <f>'Home-Conversion'!F89</f>
        <v/>
      </c>
      <c r="H1123" s="3">
        <f>'Home-Conversion'!G89</f>
        <v/>
      </c>
      <c r="I1123" s="5">
        <f>'Home-Conversion'!H89</f>
        <v/>
      </c>
      <c r="J1123" s="5">
        <f>'Home-Conversion'!I89</f>
        <v/>
      </c>
      <c r="K1123" s="6">
        <f>'Home-Conversion'!J89</f>
        <v/>
      </c>
      <c r="L1123" s="13">
        <f>'Home-Conversion'!K89</f>
        <v/>
      </c>
      <c r="M1123" s="6">
        <f>'Home-Conversion'!N89</f>
        <v/>
      </c>
      <c r="N1123" s="3">
        <f>'Home-Conversion'!O89</f>
        <v/>
      </c>
      <c r="O1123" s="3">
        <f>'Home-Conversion'!P89</f>
        <v/>
      </c>
    </row>
    <row r="1124" ht="18" customHeight="1" s="96">
      <c r="A1124" s="93" t="inlineStr">
        <is>
          <t>Person C</t>
        </is>
      </c>
      <c r="B1124" s="93">
        <f>'Home-Conversion'!A90</f>
        <v/>
      </c>
      <c r="C1124" s="8">
        <f>'Home-Conversion'!B90</f>
        <v/>
      </c>
      <c r="D1124" s="8">
        <f>'Home-Conversion'!C90</f>
        <v/>
      </c>
      <c r="E1124" s="8">
        <f>'Home-Conversion'!D90</f>
        <v/>
      </c>
      <c r="F1124" s="8">
        <f>'Home-Conversion'!E90</f>
        <v/>
      </c>
      <c r="G1124" s="9">
        <f>'Home-Conversion'!F90</f>
        <v/>
      </c>
      <c r="H1124" s="8">
        <f>'Home-Conversion'!G90</f>
        <v/>
      </c>
      <c r="I1124" s="10">
        <f>'Home-Conversion'!H90</f>
        <v/>
      </c>
      <c r="J1124" s="10">
        <f>'Home-Conversion'!I90</f>
        <v/>
      </c>
      <c r="K1124" s="11">
        <f>'Home-Conversion'!J90</f>
        <v/>
      </c>
      <c r="L1124" s="12">
        <f>'Home-Conversion'!K90</f>
        <v/>
      </c>
      <c r="M1124" s="11">
        <f>'Home-Conversion'!N90</f>
        <v/>
      </c>
      <c r="N1124" s="8">
        <f>'Home-Conversion'!O90</f>
        <v/>
      </c>
      <c r="O1124" s="8">
        <f>'Home-Conversion'!P90</f>
        <v/>
      </c>
    </row>
    <row r="1125" ht="18" customHeight="1" s="96">
      <c r="A1125" s="2" t="inlineStr">
        <is>
          <t>Person C</t>
        </is>
      </c>
      <c r="B1125" s="2">
        <f>'Home-Conversion'!A91</f>
        <v/>
      </c>
      <c r="C1125" s="3">
        <f>'Home-Conversion'!B91</f>
        <v/>
      </c>
      <c r="D1125" s="3">
        <f>'Home-Conversion'!C91</f>
        <v/>
      </c>
      <c r="E1125" s="3">
        <f>'Home-Conversion'!D91</f>
        <v/>
      </c>
      <c r="F1125" s="3">
        <f>'Home-Conversion'!E91</f>
        <v/>
      </c>
      <c r="G1125" s="4">
        <f>'Home-Conversion'!F91</f>
        <v/>
      </c>
      <c r="H1125" s="3">
        <f>'Home-Conversion'!G91</f>
        <v/>
      </c>
      <c r="I1125" s="5">
        <f>'Home-Conversion'!H91</f>
        <v/>
      </c>
      <c r="J1125" s="5">
        <f>'Home-Conversion'!I91</f>
        <v/>
      </c>
      <c r="K1125" s="6">
        <f>'Home-Conversion'!J91</f>
        <v/>
      </c>
      <c r="L1125" s="13">
        <f>'Home-Conversion'!K91</f>
        <v/>
      </c>
      <c r="M1125" s="6">
        <f>'Home-Conversion'!N91</f>
        <v/>
      </c>
      <c r="N1125" s="3">
        <f>'Home-Conversion'!O91</f>
        <v/>
      </c>
      <c r="O1125" s="3">
        <f>'Home-Conversion'!P91</f>
        <v/>
      </c>
    </row>
    <row r="1126" ht="18" customHeight="1" s="96">
      <c r="A1126" s="93" t="inlineStr">
        <is>
          <t>Person C</t>
        </is>
      </c>
      <c r="B1126" s="93">
        <f>'Home-Conversion'!A92</f>
        <v/>
      </c>
      <c r="C1126" s="8">
        <f>'Home-Conversion'!B92</f>
        <v/>
      </c>
      <c r="D1126" s="8">
        <f>'Home-Conversion'!C92</f>
        <v/>
      </c>
      <c r="E1126" s="8">
        <f>'Home-Conversion'!D92</f>
        <v/>
      </c>
      <c r="F1126" s="8">
        <f>'Home-Conversion'!E92</f>
        <v/>
      </c>
      <c r="G1126" s="9">
        <f>'Home-Conversion'!F92</f>
        <v/>
      </c>
      <c r="H1126" s="8">
        <f>'Home-Conversion'!G92</f>
        <v/>
      </c>
      <c r="I1126" s="10">
        <f>'Home-Conversion'!H92</f>
        <v/>
      </c>
      <c r="J1126" s="10">
        <f>'Home-Conversion'!I92</f>
        <v/>
      </c>
      <c r="K1126" s="11">
        <f>'Home-Conversion'!J92</f>
        <v/>
      </c>
      <c r="L1126" s="12">
        <f>'Home-Conversion'!K92</f>
        <v/>
      </c>
      <c r="M1126" s="11">
        <f>'Home-Conversion'!N92</f>
        <v/>
      </c>
      <c r="N1126" s="8">
        <f>'Home-Conversion'!O92</f>
        <v/>
      </c>
      <c r="O1126" s="8">
        <f>'Home-Conversion'!P92</f>
        <v/>
      </c>
    </row>
    <row r="1127" ht="18" customHeight="1" s="96">
      <c r="A1127" s="2" t="inlineStr">
        <is>
          <t>Person C</t>
        </is>
      </c>
      <c r="B1127" s="2">
        <f>'Home-Conversion'!A93</f>
        <v/>
      </c>
      <c r="C1127" s="3">
        <f>'Home-Conversion'!B93</f>
        <v/>
      </c>
      <c r="D1127" s="3">
        <f>'Home-Conversion'!C93</f>
        <v/>
      </c>
      <c r="E1127" s="3">
        <f>'Home-Conversion'!D93</f>
        <v/>
      </c>
      <c r="F1127" s="3">
        <f>'Home-Conversion'!E93</f>
        <v/>
      </c>
      <c r="G1127" s="4">
        <f>'Home-Conversion'!F93</f>
        <v/>
      </c>
      <c r="H1127" s="3">
        <f>'Home-Conversion'!G93</f>
        <v/>
      </c>
      <c r="I1127" s="5">
        <f>'Home-Conversion'!H93</f>
        <v/>
      </c>
      <c r="J1127" s="5">
        <f>'Home-Conversion'!I93</f>
        <v/>
      </c>
      <c r="K1127" s="6">
        <f>'Home-Conversion'!J93</f>
        <v/>
      </c>
      <c r="L1127" s="13">
        <f>'Home-Conversion'!K93</f>
        <v/>
      </c>
      <c r="M1127" s="6">
        <f>'Home-Conversion'!N93</f>
        <v/>
      </c>
      <c r="N1127" s="3">
        <f>'Home-Conversion'!O93</f>
        <v/>
      </c>
      <c r="O1127" s="3">
        <f>'Home-Conversion'!P93</f>
        <v/>
      </c>
    </row>
    <row r="1128" ht="18" customHeight="1" s="96">
      <c r="A1128" s="93" t="inlineStr">
        <is>
          <t>Person C</t>
        </is>
      </c>
      <c r="B1128" s="93">
        <f>'Home-Conversion'!A94</f>
        <v/>
      </c>
      <c r="C1128" s="8">
        <f>'Home-Conversion'!B94</f>
        <v/>
      </c>
      <c r="D1128" s="8">
        <f>'Home-Conversion'!C94</f>
        <v/>
      </c>
      <c r="E1128" s="8">
        <f>'Home-Conversion'!D94</f>
        <v/>
      </c>
      <c r="F1128" s="8">
        <f>'Home-Conversion'!E94</f>
        <v/>
      </c>
      <c r="G1128" s="9">
        <f>'Home-Conversion'!F94</f>
        <v/>
      </c>
      <c r="H1128" s="8">
        <f>'Home-Conversion'!G94</f>
        <v/>
      </c>
      <c r="I1128" s="10">
        <f>'Home-Conversion'!H94</f>
        <v/>
      </c>
      <c r="J1128" s="10">
        <f>'Home-Conversion'!I94</f>
        <v/>
      </c>
      <c r="K1128" s="11">
        <f>'Home-Conversion'!J94</f>
        <v/>
      </c>
      <c r="L1128" s="12">
        <f>'Home-Conversion'!K94</f>
        <v/>
      </c>
      <c r="M1128" s="11">
        <f>'Home-Conversion'!N94</f>
        <v/>
      </c>
      <c r="N1128" s="8">
        <f>'Home-Conversion'!O94</f>
        <v/>
      </c>
      <c r="O1128" s="8">
        <f>'Home-Conversion'!P94</f>
        <v/>
      </c>
    </row>
    <row r="1129" ht="18" customHeight="1" s="96">
      <c r="A1129" s="2" t="inlineStr">
        <is>
          <t>Person C</t>
        </is>
      </c>
      <c r="B1129" s="2">
        <f>'Home-Conversion'!A95</f>
        <v/>
      </c>
      <c r="C1129" s="3">
        <f>'Home-Conversion'!B95</f>
        <v/>
      </c>
      <c r="D1129" s="3">
        <f>'Home-Conversion'!C95</f>
        <v/>
      </c>
      <c r="E1129" s="3">
        <f>'Home-Conversion'!D95</f>
        <v/>
      </c>
      <c r="F1129" s="3">
        <f>'Home-Conversion'!E95</f>
        <v/>
      </c>
      <c r="G1129" s="4">
        <f>'Home-Conversion'!F95</f>
        <v/>
      </c>
      <c r="H1129" s="3">
        <f>'Home-Conversion'!G95</f>
        <v/>
      </c>
      <c r="I1129" s="5">
        <f>'Home-Conversion'!H95</f>
        <v/>
      </c>
      <c r="J1129" s="5">
        <f>'Home-Conversion'!I95</f>
        <v/>
      </c>
      <c r="K1129" s="6">
        <f>'Home-Conversion'!J95</f>
        <v/>
      </c>
      <c r="L1129" s="13">
        <f>'Home-Conversion'!K95</f>
        <v/>
      </c>
      <c r="M1129" s="6">
        <f>'Home-Conversion'!N95</f>
        <v/>
      </c>
      <c r="N1129" s="3">
        <f>'Home-Conversion'!O95</f>
        <v/>
      </c>
      <c r="O1129" s="3">
        <f>'Home-Conversion'!P95</f>
        <v/>
      </c>
    </row>
    <row r="1130" ht="18" customHeight="1" s="96">
      <c r="A1130" s="93" t="inlineStr">
        <is>
          <t>Person C</t>
        </is>
      </c>
      <c r="B1130" s="93">
        <f>'Home-Conversion'!A96</f>
        <v/>
      </c>
      <c r="C1130" s="8">
        <f>'Home-Conversion'!B96</f>
        <v/>
      </c>
      <c r="D1130" s="8">
        <f>'Home-Conversion'!C96</f>
        <v/>
      </c>
      <c r="E1130" s="8">
        <f>'Home-Conversion'!D96</f>
        <v/>
      </c>
      <c r="F1130" s="8">
        <f>'Home-Conversion'!E96</f>
        <v/>
      </c>
      <c r="G1130" s="9">
        <f>'Home-Conversion'!F96</f>
        <v/>
      </c>
      <c r="H1130" s="8">
        <f>'Home-Conversion'!G96</f>
        <v/>
      </c>
      <c r="I1130" s="10">
        <f>'Home-Conversion'!H96</f>
        <v/>
      </c>
      <c r="J1130" s="10">
        <f>'Home-Conversion'!I96</f>
        <v/>
      </c>
      <c r="K1130" s="11">
        <f>'Home-Conversion'!J96</f>
        <v/>
      </c>
      <c r="L1130" s="12">
        <f>'Home-Conversion'!K96</f>
        <v/>
      </c>
      <c r="M1130" s="11">
        <f>'Home-Conversion'!N96</f>
        <v/>
      </c>
      <c r="N1130" s="8">
        <f>'Home-Conversion'!O96</f>
        <v/>
      </c>
      <c r="O1130" s="8">
        <f>'Home-Conversion'!P96</f>
        <v/>
      </c>
    </row>
    <row r="1131" ht="18" customHeight="1" s="96">
      <c r="A1131" s="2" t="inlineStr">
        <is>
          <t>Person C</t>
        </is>
      </c>
      <c r="B1131" s="2">
        <f>'Home-Conversion'!A97</f>
        <v/>
      </c>
      <c r="C1131" s="3">
        <f>'Home-Conversion'!B97</f>
        <v/>
      </c>
      <c r="D1131" s="3">
        <f>'Home-Conversion'!C97</f>
        <v/>
      </c>
      <c r="E1131" s="3">
        <f>'Home-Conversion'!D97</f>
        <v/>
      </c>
      <c r="F1131" s="3">
        <f>'Home-Conversion'!E97</f>
        <v/>
      </c>
      <c r="G1131" s="4">
        <f>'Home-Conversion'!F97</f>
        <v/>
      </c>
      <c r="H1131" s="3">
        <f>'Home-Conversion'!G97</f>
        <v/>
      </c>
      <c r="I1131" s="5">
        <f>'Home-Conversion'!H97</f>
        <v/>
      </c>
      <c r="J1131" s="5">
        <f>'Home-Conversion'!I97</f>
        <v/>
      </c>
      <c r="K1131" s="6">
        <f>'Home-Conversion'!J97</f>
        <v/>
      </c>
      <c r="L1131" s="13">
        <f>'Home-Conversion'!K97</f>
        <v/>
      </c>
      <c r="M1131" s="6">
        <f>'Home-Conversion'!N97</f>
        <v/>
      </c>
      <c r="N1131" s="3">
        <f>'Home-Conversion'!O97</f>
        <v/>
      </c>
      <c r="O1131" s="3">
        <f>'Home-Conversion'!P97</f>
        <v/>
      </c>
    </row>
    <row r="1132" ht="18" customHeight="1" s="96">
      <c r="A1132" s="93" t="inlineStr">
        <is>
          <t>Person C</t>
        </is>
      </c>
      <c r="B1132" s="93">
        <f>'Home-Conversion'!A98</f>
        <v/>
      </c>
      <c r="C1132" s="8">
        <f>'Home-Conversion'!B98</f>
        <v/>
      </c>
      <c r="D1132" s="8">
        <f>'Home-Conversion'!C98</f>
        <v/>
      </c>
      <c r="E1132" s="8">
        <f>'Home-Conversion'!D98</f>
        <v/>
      </c>
      <c r="F1132" s="8">
        <f>'Home-Conversion'!E98</f>
        <v/>
      </c>
      <c r="G1132" s="9">
        <f>'Home-Conversion'!F98</f>
        <v/>
      </c>
      <c r="H1132" s="8">
        <f>'Home-Conversion'!G98</f>
        <v/>
      </c>
      <c r="I1132" s="10">
        <f>'Home-Conversion'!H98</f>
        <v/>
      </c>
      <c r="J1132" s="10">
        <f>'Home-Conversion'!I98</f>
        <v/>
      </c>
      <c r="K1132" s="11">
        <f>'Home-Conversion'!J98</f>
        <v/>
      </c>
      <c r="L1132" s="12">
        <f>'Home-Conversion'!K98</f>
        <v/>
      </c>
      <c r="M1132" s="11">
        <f>'Home-Conversion'!N98</f>
        <v/>
      </c>
      <c r="N1132" s="8">
        <f>'Home-Conversion'!O98</f>
        <v/>
      </c>
      <c r="O1132" s="8">
        <f>'Home-Conversion'!P98</f>
        <v/>
      </c>
    </row>
    <row r="1133" ht="18" customHeight="1" s="96">
      <c r="A1133" s="2" t="inlineStr">
        <is>
          <t>Person C</t>
        </is>
      </c>
      <c r="B1133" s="2">
        <f>'Home-Conversion'!A99</f>
        <v/>
      </c>
      <c r="C1133" s="3">
        <f>'Home-Conversion'!B99</f>
        <v/>
      </c>
      <c r="D1133" s="3">
        <f>'Home-Conversion'!C99</f>
        <v/>
      </c>
      <c r="E1133" s="3">
        <f>'Home-Conversion'!D99</f>
        <v/>
      </c>
      <c r="F1133" s="3">
        <f>'Home-Conversion'!E99</f>
        <v/>
      </c>
      <c r="G1133" s="4">
        <f>'Home-Conversion'!F99</f>
        <v/>
      </c>
      <c r="H1133" s="3">
        <f>'Home-Conversion'!G99</f>
        <v/>
      </c>
      <c r="I1133" s="5">
        <f>'Home-Conversion'!H99</f>
        <v/>
      </c>
      <c r="J1133" s="5">
        <f>'Home-Conversion'!I99</f>
        <v/>
      </c>
      <c r="K1133" s="6">
        <f>'Home-Conversion'!J99</f>
        <v/>
      </c>
      <c r="L1133" s="13">
        <f>'Home-Conversion'!K99</f>
        <v/>
      </c>
      <c r="M1133" s="6">
        <f>'Home-Conversion'!N99</f>
        <v/>
      </c>
      <c r="N1133" s="3">
        <f>'Home-Conversion'!O99</f>
        <v/>
      </c>
      <c r="O1133" s="3">
        <f>'Home-Conversion'!P99</f>
        <v/>
      </c>
    </row>
    <row r="1134" ht="18" customHeight="1" s="96">
      <c r="A1134" s="93" t="inlineStr">
        <is>
          <t>Person C</t>
        </is>
      </c>
      <c r="B1134" s="93">
        <f>'Home-Conversion'!A100</f>
        <v/>
      </c>
      <c r="C1134" s="8">
        <f>'Home-Conversion'!B100</f>
        <v/>
      </c>
      <c r="D1134" s="8">
        <f>'Home-Conversion'!C100</f>
        <v/>
      </c>
      <c r="E1134" s="8">
        <f>'Home-Conversion'!D100</f>
        <v/>
      </c>
      <c r="F1134" s="8">
        <f>'Home-Conversion'!E100</f>
        <v/>
      </c>
      <c r="G1134" s="9">
        <f>'Home-Conversion'!F100</f>
        <v/>
      </c>
      <c r="H1134" s="8">
        <f>'Home-Conversion'!G100</f>
        <v/>
      </c>
      <c r="I1134" s="10">
        <f>'Home-Conversion'!H100</f>
        <v/>
      </c>
      <c r="J1134" s="10">
        <f>'Home-Conversion'!I100</f>
        <v/>
      </c>
      <c r="K1134" s="11">
        <f>'Home-Conversion'!J100</f>
        <v/>
      </c>
      <c r="L1134" s="12">
        <f>'Home-Conversion'!K100</f>
        <v/>
      </c>
      <c r="M1134" s="11">
        <f>'Home-Conversion'!N100</f>
        <v/>
      </c>
      <c r="N1134" s="8">
        <f>'Home-Conversion'!O100</f>
        <v/>
      </c>
      <c r="O1134" s="8">
        <f>'Home-Conversion'!P100</f>
        <v/>
      </c>
    </row>
    <row r="1135" ht="18" customHeight="1" s="96">
      <c r="A1135" s="2" t="inlineStr">
        <is>
          <t>Person C</t>
        </is>
      </c>
      <c r="B1135" s="2">
        <f>'Home-Conversion'!A101</f>
        <v/>
      </c>
      <c r="C1135" s="3">
        <f>'Home-Conversion'!B101</f>
        <v/>
      </c>
      <c r="D1135" s="3">
        <f>'Home-Conversion'!C101</f>
        <v/>
      </c>
      <c r="E1135" s="3">
        <f>'Home-Conversion'!D101</f>
        <v/>
      </c>
      <c r="F1135" s="3">
        <f>'Home-Conversion'!E101</f>
        <v/>
      </c>
      <c r="G1135" s="4">
        <f>'Home-Conversion'!F101</f>
        <v/>
      </c>
      <c r="H1135" s="3">
        <f>'Home-Conversion'!G101</f>
        <v/>
      </c>
      <c r="I1135" s="5">
        <f>'Home-Conversion'!H101</f>
        <v/>
      </c>
      <c r="J1135" s="5">
        <f>'Home-Conversion'!I101</f>
        <v/>
      </c>
      <c r="K1135" s="6">
        <f>'Home-Conversion'!J101</f>
        <v/>
      </c>
      <c r="L1135" s="13">
        <f>'Home-Conversion'!K101</f>
        <v/>
      </c>
      <c r="M1135" s="6">
        <f>'Home-Conversion'!N101</f>
        <v/>
      </c>
      <c r="N1135" s="3">
        <f>'Home-Conversion'!O101</f>
        <v/>
      </c>
      <c r="O1135" s="3">
        <f>'Home-Conversion'!P101</f>
        <v/>
      </c>
    </row>
    <row r="1136" ht="18" customHeight="1" s="96">
      <c r="A1136" s="93" t="inlineStr">
        <is>
          <t>Person C</t>
        </is>
      </c>
      <c r="B1136" s="93">
        <f>'Home-Conversion'!A102</f>
        <v/>
      </c>
      <c r="C1136" s="8">
        <f>'Home-Conversion'!B102</f>
        <v/>
      </c>
      <c r="D1136" s="8">
        <f>'Home-Conversion'!C102</f>
        <v/>
      </c>
      <c r="E1136" s="8">
        <f>'Home-Conversion'!D102</f>
        <v/>
      </c>
      <c r="F1136" s="8">
        <f>'Home-Conversion'!E102</f>
        <v/>
      </c>
      <c r="G1136" s="9">
        <f>'Home-Conversion'!F102</f>
        <v/>
      </c>
      <c r="H1136" s="8">
        <f>'Home-Conversion'!G102</f>
        <v/>
      </c>
      <c r="I1136" s="10">
        <f>'Home-Conversion'!H102</f>
        <v/>
      </c>
      <c r="J1136" s="10">
        <f>'Home-Conversion'!I102</f>
        <v/>
      </c>
      <c r="K1136" s="11">
        <f>'Home-Conversion'!J102</f>
        <v/>
      </c>
      <c r="L1136" s="12">
        <f>'Home-Conversion'!K102</f>
        <v/>
      </c>
      <c r="M1136" s="11">
        <f>'Home-Conversion'!N102</f>
        <v/>
      </c>
      <c r="N1136" s="8">
        <f>'Home-Conversion'!O102</f>
        <v/>
      </c>
      <c r="O1136" s="8">
        <f>'Home-Conversion'!P102</f>
        <v/>
      </c>
    </row>
    <row r="1137" ht="18" customHeight="1" s="96">
      <c r="A1137" s="2" t="inlineStr">
        <is>
          <t>Person C</t>
        </is>
      </c>
      <c r="B1137" s="2">
        <f>'Home-Conversion'!A103</f>
        <v/>
      </c>
      <c r="C1137" s="3">
        <f>'Home-Conversion'!B103</f>
        <v/>
      </c>
      <c r="D1137" s="3">
        <f>'Home-Conversion'!C103</f>
        <v/>
      </c>
      <c r="E1137" s="3">
        <f>'Home-Conversion'!D103</f>
        <v/>
      </c>
      <c r="F1137" s="3">
        <f>'Home-Conversion'!E103</f>
        <v/>
      </c>
      <c r="G1137" s="4">
        <f>'Home-Conversion'!F103</f>
        <v/>
      </c>
      <c r="H1137" s="3">
        <f>'Home-Conversion'!G103</f>
        <v/>
      </c>
      <c r="I1137" s="5">
        <f>'Home-Conversion'!H103</f>
        <v/>
      </c>
      <c r="J1137" s="5">
        <f>'Home-Conversion'!I103</f>
        <v/>
      </c>
      <c r="K1137" s="6">
        <f>'Home-Conversion'!J103</f>
        <v/>
      </c>
      <c r="L1137" s="13">
        <f>'Home-Conversion'!K103</f>
        <v/>
      </c>
      <c r="M1137" s="6">
        <f>'Home-Conversion'!N103</f>
        <v/>
      </c>
      <c r="N1137" s="3">
        <f>'Home-Conversion'!O103</f>
        <v/>
      </c>
      <c r="O1137" s="3">
        <f>'Home-Conversion'!P103</f>
        <v/>
      </c>
    </row>
    <row r="1138" ht="18" customHeight="1" s="96">
      <c r="A1138" s="93" t="inlineStr">
        <is>
          <t>Person C</t>
        </is>
      </c>
      <c r="B1138" s="93">
        <f>'Home-Conversion'!A104</f>
        <v/>
      </c>
      <c r="C1138" s="8">
        <f>'Home-Conversion'!B104</f>
        <v/>
      </c>
      <c r="D1138" s="8">
        <f>'Home-Conversion'!C104</f>
        <v/>
      </c>
      <c r="E1138" s="8">
        <f>'Home-Conversion'!D104</f>
        <v/>
      </c>
      <c r="F1138" s="8">
        <f>'Home-Conversion'!E104</f>
        <v/>
      </c>
      <c r="G1138" s="9">
        <f>'Home-Conversion'!F104</f>
        <v/>
      </c>
      <c r="H1138" s="8">
        <f>'Home-Conversion'!G104</f>
        <v/>
      </c>
      <c r="I1138" s="10">
        <f>'Home-Conversion'!H104</f>
        <v/>
      </c>
      <c r="J1138" s="10">
        <f>'Home-Conversion'!I104</f>
        <v/>
      </c>
      <c r="K1138" s="11">
        <f>'Home-Conversion'!J104</f>
        <v/>
      </c>
      <c r="L1138" s="12">
        <f>'Home-Conversion'!K104</f>
        <v/>
      </c>
      <c r="M1138" s="11">
        <f>'Home-Conversion'!N104</f>
        <v/>
      </c>
      <c r="N1138" s="8">
        <f>'Home-Conversion'!O104</f>
        <v/>
      </c>
      <c r="O1138" s="8">
        <f>'Home-Conversion'!P104</f>
        <v/>
      </c>
    </row>
    <row r="1139" ht="18" customHeight="1" s="96">
      <c r="A1139" s="2" t="inlineStr">
        <is>
          <t>Person C</t>
        </is>
      </c>
      <c r="B1139" s="2">
        <f>'Home-Conversion'!A105</f>
        <v/>
      </c>
      <c r="C1139" s="3">
        <f>'Home-Conversion'!B105</f>
        <v/>
      </c>
      <c r="D1139" s="3">
        <f>'Home-Conversion'!C105</f>
        <v/>
      </c>
      <c r="E1139" s="3">
        <f>'Home-Conversion'!D105</f>
        <v/>
      </c>
      <c r="F1139" s="3">
        <f>'Home-Conversion'!E105</f>
        <v/>
      </c>
      <c r="G1139" s="4">
        <f>'Home-Conversion'!F105</f>
        <v/>
      </c>
      <c r="H1139" s="3">
        <f>'Home-Conversion'!G105</f>
        <v/>
      </c>
      <c r="I1139" s="5">
        <f>'Home-Conversion'!H105</f>
        <v/>
      </c>
      <c r="J1139" s="5">
        <f>'Home-Conversion'!I105</f>
        <v/>
      </c>
      <c r="K1139" s="6">
        <f>'Home-Conversion'!J105</f>
        <v/>
      </c>
      <c r="L1139" s="13">
        <f>'Home-Conversion'!K105</f>
        <v/>
      </c>
      <c r="M1139" s="6">
        <f>'Home-Conversion'!N105</f>
        <v/>
      </c>
      <c r="N1139" s="3">
        <f>'Home-Conversion'!O105</f>
        <v/>
      </c>
      <c r="O1139" s="3">
        <f>'Home-Conversion'!P105</f>
        <v/>
      </c>
    </row>
    <row r="1140" ht="18" customHeight="1" s="96">
      <c r="A1140" s="93" t="inlineStr">
        <is>
          <t>Person C</t>
        </is>
      </c>
      <c r="B1140" s="93">
        <f>'Home-Conversion'!A106</f>
        <v/>
      </c>
      <c r="C1140" s="8">
        <f>'Home-Conversion'!B106</f>
        <v/>
      </c>
      <c r="D1140" s="8">
        <f>'Home-Conversion'!C106</f>
        <v/>
      </c>
      <c r="E1140" s="8">
        <f>'Home-Conversion'!D106</f>
        <v/>
      </c>
      <c r="F1140" s="8">
        <f>'Home-Conversion'!E106</f>
        <v/>
      </c>
      <c r="G1140" s="9">
        <f>'Home-Conversion'!F106</f>
        <v/>
      </c>
      <c r="H1140" s="8">
        <f>'Home-Conversion'!G106</f>
        <v/>
      </c>
      <c r="I1140" s="10">
        <f>'Home-Conversion'!H106</f>
        <v/>
      </c>
      <c r="J1140" s="10">
        <f>'Home-Conversion'!I106</f>
        <v/>
      </c>
      <c r="K1140" s="11">
        <f>'Home-Conversion'!J106</f>
        <v/>
      </c>
      <c r="L1140" s="12">
        <f>'Home-Conversion'!K106</f>
        <v/>
      </c>
      <c r="M1140" s="11">
        <f>'Home-Conversion'!N106</f>
        <v/>
      </c>
      <c r="N1140" s="8">
        <f>'Home-Conversion'!O106</f>
        <v/>
      </c>
      <c r="O1140" s="8">
        <f>'Home-Conversion'!P106</f>
        <v/>
      </c>
    </row>
    <row r="1141" ht="18" customHeight="1" s="96">
      <c r="A1141" s="2" t="inlineStr">
        <is>
          <t>Person C</t>
        </is>
      </c>
      <c r="B1141" s="2">
        <f>'Home-Conversion'!A107</f>
        <v/>
      </c>
      <c r="C1141" s="3">
        <f>'Home-Conversion'!B107</f>
        <v/>
      </c>
      <c r="D1141" s="3">
        <f>'Home-Conversion'!C107</f>
        <v/>
      </c>
      <c r="E1141" s="3">
        <f>'Home-Conversion'!D107</f>
        <v/>
      </c>
      <c r="F1141" s="3">
        <f>'Home-Conversion'!E107</f>
        <v/>
      </c>
      <c r="G1141" s="4">
        <f>'Home-Conversion'!F107</f>
        <v/>
      </c>
      <c r="H1141" s="3">
        <f>'Home-Conversion'!G107</f>
        <v/>
      </c>
      <c r="I1141" s="5">
        <f>'Home-Conversion'!H107</f>
        <v/>
      </c>
      <c r="J1141" s="5">
        <f>'Home-Conversion'!I107</f>
        <v/>
      </c>
      <c r="K1141" s="6">
        <f>'Home-Conversion'!J107</f>
        <v/>
      </c>
      <c r="L1141" s="13">
        <f>'Home-Conversion'!K107</f>
        <v/>
      </c>
      <c r="M1141" s="6">
        <f>'Home-Conversion'!N107</f>
        <v/>
      </c>
      <c r="N1141" s="3">
        <f>'Home-Conversion'!O107</f>
        <v/>
      </c>
      <c r="O1141" s="3">
        <f>'Home-Conversion'!P107</f>
        <v/>
      </c>
    </row>
    <row r="1142" ht="18" customHeight="1" s="96">
      <c r="A1142" s="93" t="inlineStr">
        <is>
          <t>Person C</t>
        </is>
      </c>
      <c r="B1142" s="93">
        <f>'Home-Conversion'!A108</f>
        <v/>
      </c>
      <c r="C1142" s="8">
        <f>'Home-Conversion'!B108</f>
        <v/>
      </c>
      <c r="D1142" s="8">
        <f>'Home-Conversion'!C108</f>
        <v/>
      </c>
      <c r="E1142" s="8">
        <f>'Home-Conversion'!D108</f>
        <v/>
      </c>
      <c r="F1142" s="8">
        <f>'Home-Conversion'!E108</f>
        <v/>
      </c>
      <c r="G1142" s="9">
        <f>'Home-Conversion'!F108</f>
        <v/>
      </c>
      <c r="H1142" s="8">
        <f>'Home-Conversion'!G108</f>
        <v/>
      </c>
      <c r="I1142" s="10">
        <f>'Home-Conversion'!H108</f>
        <v/>
      </c>
      <c r="J1142" s="10">
        <f>'Home-Conversion'!I108</f>
        <v/>
      </c>
      <c r="K1142" s="11">
        <f>'Home-Conversion'!J108</f>
        <v/>
      </c>
      <c r="L1142" s="12">
        <f>'Home-Conversion'!K108</f>
        <v/>
      </c>
      <c r="M1142" s="11">
        <f>'Home-Conversion'!N108</f>
        <v/>
      </c>
      <c r="N1142" s="8">
        <f>'Home-Conversion'!O108</f>
        <v/>
      </c>
      <c r="O1142" s="8">
        <f>'Home-Conversion'!P108</f>
        <v/>
      </c>
    </row>
    <row r="1143" ht="18" customHeight="1" s="96">
      <c r="A1143" s="2" t="inlineStr">
        <is>
          <t>Person C</t>
        </is>
      </c>
      <c r="B1143" s="2">
        <f>'Home-Conversion'!A109</f>
        <v/>
      </c>
      <c r="C1143" s="3">
        <f>'Home-Conversion'!B109</f>
        <v/>
      </c>
      <c r="D1143" s="3">
        <f>'Home-Conversion'!C109</f>
        <v/>
      </c>
      <c r="E1143" s="3">
        <f>'Home-Conversion'!D109</f>
        <v/>
      </c>
      <c r="F1143" s="3">
        <f>'Home-Conversion'!E109</f>
        <v/>
      </c>
      <c r="G1143" s="4">
        <f>'Home-Conversion'!F109</f>
        <v/>
      </c>
      <c r="H1143" s="3">
        <f>'Home-Conversion'!G109</f>
        <v/>
      </c>
      <c r="I1143" s="5">
        <f>'Home-Conversion'!H109</f>
        <v/>
      </c>
      <c r="J1143" s="5">
        <f>'Home-Conversion'!I109</f>
        <v/>
      </c>
      <c r="K1143" s="6">
        <f>'Home-Conversion'!J109</f>
        <v/>
      </c>
      <c r="L1143" s="13">
        <f>'Home-Conversion'!K109</f>
        <v/>
      </c>
      <c r="M1143" s="6">
        <f>'Home-Conversion'!N109</f>
        <v/>
      </c>
      <c r="N1143" s="3">
        <f>'Home-Conversion'!O109</f>
        <v/>
      </c>
      <c r="O1143" s="3">
        <f>'Home-Conversion'!P109</f>
        <v/>
      </c>
    </row>
    <row r="1144" ht="18" customHeight="1" s="96">
      <c r="A1144" s="93" t="inlineStr">
        <is>
          <t>Person C</t>
        </is>
      </c>
      <c r="B1144" s="93">
        <f>'Home-Conversion'!A110</f>
        <v/>
      </c>
      <c r="C1144" s="8">
        <f>'Home-Conversion'!B110</f>
        <v/>
      </c>
      <c r="D1144" s="8">
        <f>'Home-Conversion'!C110</f>
        <v/>
      </c>
      <c r="E1144" s="8">
        <f>'Home-Conversion'!D110</f>
        <v/>
      </c>
      <c r="F1144" s="8">
        <f>'Home-Conversion'!E110</f>
        <v/>
      </c>
      <c r="G1144" s="9">
        <f>'Home-Conversion'!F110</f>
        <v/>
      </c>
      <c r="H1144" s="8">
        <f>'Home-Conversion'!G110</f>
        <v/>
      </c>
      <c r="I1144" s="10">
        <f>'Home-Conversion'!H110</f>
        <v/>
      </c>
      <c r="J1144" s="10">
        <f>'Home-Conversion'!I110</f>
        <v/>
      </c>
      <c r="K1144" s="11">
        <f>'Home-Conversion'!J110</f>
        <v/>
      </c>
      <c r="L1144" s="12">
        <f>'Home-Conversion'!K110</f>
        <v/>
      </c>
      <c r="M1144" s="11">
        <f>'Home-Conversion'!N110</f>
        <v/>
      </c>
      <c r="N1144" s="8">
        <f>'Home-Conversion'!O110</f>
        <v/>
      </c>
      <c r="O1144" s="8">
        <f>'Home-Conversion'!P110</f>
        <v/>
      </c>
    </row>
    <row r="1145" ht="18" customHeight="1" s="96">
      <c r="A1145" s="2" t="inlineStr">
        <is>
          <t>Person C</t>
        </is>
      </c>
      <c r="B1145" s="2">
        <f>'Home-Conversion'!A111</f>
        <v/>
      </c>
      <c r="C1145" s="3">
        <f>'Home-Conversion'!B111</f>
        <v/>
      </c>
      <c r="D1145" s="3">
        <f>'Home-Conversion'!C111</f>
        <v/>
      </c>
      <c r="E1145" s="3">
        <f>'Home-Conversion'!D111</f>
        <v/>
      </c>
      <c r="F1145" s="3">
        <f>'Home-Conversion'!E111</f>
        <v/>
      </c>
      <c r="G1145" s="4">
        <f>'Home-Conversion'!F111</f>
        <v/>
      </c>
      <c r="H1145" s="3">
        <f>'Home-Conversion'!G111</f>
        <v/>
      </c>
      <c r="I1145" s="5">
        <f>'Home-Conversion'!H111</f>
        <v/>
      </c>
      <c r="J1145" s="5">
        <f>'Home-Conversion'!I111</f>
        <v/>
      </c>
      <c r="K1145" s="6">
        <f>'Home-Conversion'!J111</f>
        <v/>
      </c>
      <c r="L1145" s="13">
        <f>'Home-Conversion'!K111</f>
        <v/>
      </c>
      <c r="M1145" s="6">
        <f>'Home-Conversion'!N111</f>
        <v/>
      </c>
      <c r="N1145" s="3">
        <f>'Home-Conversion'!O111</f>
        <v/>
      </c>
      <c r="O1145" s="3">
        <f>'Home-Conversion'!P111</f>
        <v/>
      </c>
    </row>
    <row r="1146" ht="18" customHeight="1" s="96">
      <c r="A1146" s="93" t="inlineStr">
        <is>
          <t>Person C</t>
        </is>
      </c>
      <c r="B1146" s="93">
        <f>'Home-Conversion'!A112</f>
        <v/>
      </c>
      <c r="C1146" s="8">
        <f>'Home-Conversion'!B112</f>
        <v/>
      </c>
      <c r="D1146" s="8">
        <f>'Home-Conversion'!C112</f>
        <v/>
      </c>
      <c r="E1146" s="8">
        <f>'Home-Conversion'!D112</f>
        <v/>
      </c>
      <c r="F1146" s="8">
        <f>'Home-Conversion'!E112</f>
        <v/>
      </c>
      <c r="G1146" s="9">
        <f>'Home-Conversion'!F112</f>
        <v/>
      </c>
      <c r="H1146" s="8">
        <f>'Home-Conversion'!G112</f>
        <v/>
      </c>
      <c r="I1146" s="10">
        <f>'Home-Conversion'!H112</f>
        <v/>
      </c>
      <c r="J1146" s="10">
        <f>'Home-Conversion'!I112</f>
        <v/>
      </c>
      <c r="K1146" s="11">
        <f>'Home-Conversion'!J112</f>
        <v/>
      </c>
      <c r="L1146" s="12">
        <f>'Home-Conversion'!K112</f>
        <v/>
      </c>
      <c r="M1146" s="11">
        <f>'Home-Conversion'!N112</f>
        <v/>
      </c>
      <c r="N1146" s="8">
        <f>'Home-Conversion'!O112</f>
        <v/>
      </c>
      <c r="O1146" s="8">
        <f>'Home-Conversion'!P112</f>
        <v/>
      </c>
    </row>
    <row r="1147" ht="18" customHeight="1" s="96">
      <c r="A1147" s="2" t="inlineStr">
        <is>
          <t>Person C</t>
        </is>
      </c>
      <c r="B1147" s="2">
        <f>'Home-Conversion'!A113</f>
        <v/>
      </c>
      <c r="C1147" s="3">
        <f>'Home-Conversion'!B113</f>
        <v/>
      </c>
      <c r="D1147" s="3">
        <f>'Home-Conversion'!C113</f>
        <v/>
      </c>
      <c r="E1147" s="3">
        <f>'Home-Conversion'!D113</f>
        <v/>
      </c>
      <c r="F1147" s="3">
        <f>'Home-Conversion'!E113</f>
        <v/>
      </c>
      <c r="G1147" s="4">
        <f>'Home-Conversion'!F113</f>
        <v/>
      </c>
      <c r="H1147" s="3">
        <f>'Home-Conversion'!G113</f>
        <v/>
      </c>
      <c r="I1147" s="5">
        <f>'Home-Conversion'!H113</f>
        <v/>
      </c>
      <c r="J1147" s="5">
        <f>'Home-Conversion'!I113</f>
        <v/>
      </c>
      <c r="K1147" s="6">
        <f>'Home-Conversion'!J113</f>
        <v/>
      </c>
      <c r="L1147" s="13">
        <f>'Home-Conversion'!K113</f>
        <v/>
      </c>
      <c r="M1147" s="6">
        <f>'Home-Conversion'!N113</f>
        <v/>
      </c>
      <c r="N1147" s="3">
        <f>'Home-Conversion'!O113</f>
        <v/>
      </c>
      <c r="O1147" s="3">
        <f>'Home-Conversion'!P113</f>
        <v/>
      </c>
    </row>
    <row r="1148" ht="18" customHeight="1" s="96">
      <c r="A1148" s="93" t="inlineStr">
        <is>
          <t>Person C</t>
        </is>
      </c>
      <c r="B1148" s="93">
        <f>'Home-Conversion'!A114</f>
        <v/>
      </c>
      <c r="C1148" s="8">
        <f>'Home-Conversion'!B114</f>
        <v/>
      </c>
      <c r="D1148" s="8">
        <f>'Home-Conversion'!C114</f>
        <v/>
      </c>
      <c r="E1148" s="8">
        <f>'Home-Conversion'!D114</f>
        <v/>
      </c>
      <c r="F1148" s="8">
        <f>'Home-Conversion'!E114</f>
        <v/>
      </c>
      <c r="G1148" s="9">
        <f>'Home-Conversion'!F114</f>
        <v/>
      </c>
      <c r="H1148" s="8">
        <f>'Home-Conversion'!G114</f>
        <v/>
      </c>
      <c r="I1148" s="10">
        <f>'Home-Conversion'!H114</f>
        <v/>
      </c>
      <c r="J1148" s="10">
        <f>'Home-Conversion'!I114</f>
        <v/>
      </c>
      <c r="K1148" s="11">
        <f>'Home-Conversion'!J114</f>
        <v/>
      </c>
      <c r="L1148" s="12">
        <f>'Home-Conversion'!K114</f>
        <v/>
      </c>
      <c r="M1148" s="11">
        <f>'Home-Conversion'!N114</f>
        <v/>
      </c>
      <c r="N1148" s="8">
        <f>'Home-Conversion'!O114</f>
        <v/>
      </c>
      <c r="O1148" s="8">
        <f>'Home-Conversion'!P114</f>
        <v/>
      </c>
    </row>
    <row r="1149" ht="18" customHeight="1" s="96">
      <c r="A1149" s="2" t="inlineStr">
        <is>
          <t>Person C</t>
        </is>
      </c>
      <c r="B1149" s="2">
        <f>'Home-Conversion'!A115</f>
        <v/>
      </c>
      <c r="C1149" s="3">
        <f>'Home-Conversion'!B115</f>
        <v/>
      </c>
      <c r="D1149" s="3">
        <f>'Home-Conversion'!C115</f>
        <v/>
      </c>
      <c r="E1149" s="3">
        <f>'Home-Conversion'!D115</f>
        <v/>
      </c>
      <c r="F1149" s="3">
        <f>'Home-Conversion'!E115</f>
        <v/>
      </c>
      <c r="G1149" s="4">
        <f>'Home-Conversion'!F115</f>
        <v/>
      </c>
      <c r="H1149" s="3">
        <f>'Home-Conversion'!G115</f>
        <v/>
      </c>
      <c r="I1149" s="5">
        <f>'Home-Conversion'!H115</f>
        <v/>
      </c>
      <c r="J1149" s="5">
        <f>'Home-Conversion'!I115</f>
        <v/>
      </c>
      <c r="K1149" s="6">
        <f>'Home-Conversion'!J115</f>
        <v/>
      </c>
      <c r="L1149" s="13">
        <f>'Home-Conversion'!K115</f>
        <v/>
      </c>
      <c r="M1149" s="6">
        <f>'Home-Conversion'!N115</f>
        <v/>
      </c>
      <c r="N1149" s="3">
        <f>'Home-Conversion'!O115</f>
        <v/>
      </c>
      <c r="O1149" s="3">
        <f>'Home-Conversion'!P115</f>
        <v/>
      </c>
    </row>
    <row r="1150" ht="18" customHeight="1" s="96">
      <c r="A1150" s="93" t="inlineStr">
        <is>
          <t>Person C</t>
        </is>
      </c>
      <c r="B1150" s="93">
        <f>'Home-Conversion'!A116</f>
        <v/>
      </c>
      <c r="C1150" s="8">
        <f>'Home-Conversion'!B116</f>
        <v/>
      </c>
      <c r="D1150" s="8">
        <f>'Home-Conversion'!C116</f>
        <v/>
      </c>
      <c r="E1150" s="8">
        <f>'Home-Conversion'!D116</f>
        <v/>
      </c>
      <c r="F1150" s="8">
        <f>'Home-Conversion'!E116</f>
        <v/>
      </c>
      <c r="G1150" s="9">
        <f>'Home-Conversion'!F116</f>
        <v/>
      </c>
      <c r="H1150" s="8">
        <f>'Home-Conversion'!G116</f>
        <v/>
      </c>
      <c r="I1150" s="10">
        <f>'Home-Conversion'!H116</f>
        <v/>
      </c>
      <c r="J1150" s="10">
        <f>'Home-Conversion'!I116</f>
        <v/>
      </c>
      <c r="K1150" s="11">
        <f>'Home-Conversion'!J116</f>
        <v/>
      </c>
      <c r="L1150" s="12">
        <f>'Home-Conversion'!K116</f>
        <v/>
      </c>
      <c r="M1150" s="11">
        <f>'Home-Conversion'!N116</f>
        <v/>
      </c>
      <c r="N1150" s="8">
        <f>'Home-Conversion'!O116</f>
        <v/>
      </c>
      <c r="O1150" s="8">
        <f>'Home-Conversion'!P116</f>
        <v/>
      </c>
    </row>
    <row r="1151" ht="18" customHeight="1" s="96">
      <c r="A1151" s="2" t="inlineStr">
        <is>
          <t>Person C</t>
        </is>
      </c>
      <c r="B1151" s="2">
        <f>'Home-Conversion'!A117</f>
        <v/>
      </c>
      <c r="C1151" s="3">
        <f>'Home-Conversion'!B117</f>
        <v/>
      </c>
      <c r="D1151" s="3">
        <f>'Home-Conversion'!C117</f>
        <v/>
      </c>
      <c r="E1151" s="3">
        <f>'Home-Conversion'!D117</f>
        <v/>
      </c>
      <c r="F1151" s="3">
        <f>'Home-Conversion'!E117</f>
        <v/>
      </c>
      <c r="G1151" s="4">
        <f>'Home-Conversion'!F117</f>
        <v/>
      </c>
      <c r="H1151" s="3">
        <f>'Home-Conversion'!G117</f>
        <v/>
      </c>
      <c r="I1151" s="5">
        <f>'Home-Conversion'!H117</f>
        <v/>
      </c>
      <c r="J1151" s="5">
        <f>'Home-Conversion'!I117</f>
        <v/>
      </c>
      <c r="K1151" s="6">
        <f>'Home-Conversion'!J117</f>
        <v/>
      </c>
      <c r="L1151" s="13">
        <f>'Home-Conversion'!K117</f>
        <v/>
      </c>
      <c r="M1151" s="6">
        <f>'Home-Conversion'!N117</f>
        <v/>
      </c>
      <c r="N1151" s="3">
        <f>'Home-Conversion'!O117</f>
        <v/>
      </c>
      <c r="O1151" s="3">
        <f>'Home-Conversion'!P117</f>
        <v/>
      </c>
    </row>
    <row r="1152" ht="18" customHeight="1" s="96">
      <c r="A1152" s="93" t="inlineStr">
        <is>
          <t>Person C</t>
        </is>
      </c>
      <c r="B1152" s="93">
        <f>'Home-Conversion'!A118</f>
        <v/>
      </c>
      <c r="C1152" s="8">
        <f>'Home-Conversion'!B118</f>
        <v/>
      </c>
      <c r="D1152" s="8">
        <f>'Home-Conversion'!C118</f>
        <v/>
      </c>
      <c r="E1152" s="8">
        <f>'Home-Conversion'!D118</f>
        <v/>
      </c>
      <c r="F1152" s="8">
        <f>'Home-Conversion'!E118</f>
        <v/>
      </c>
      <c r="G1152" s="9">
        <f>'Home-Conversion'!F118</f>
        <v/>
      </c>
      <c r="H1152" s="8">
        <f>'Home-Conversion'!G118</f>
        <v/>
      </c>
      <c r="I1152" s="10">
        <f>'Home-Conversion'!H118</f>
        <v/>
      </c>
      <c r="J1152" s="10">
        <f>'Home-Conversion'!I118</f>
        <v/>
      </c>
      <c r="K1152" s="11">
        <f>'Home-Conversion'!J118</f>
        <v/>
      </c>
      <c r="L1152" s="12">
        <f>'Home-Conversion'!K118</f>
        <v/>
      </c>
      <c r="M1152" s="11">
        <f>'Home-Conversion'!N118</f>
        <v/>
      </c>
      <c r="N1152" s="8">
        <f>'Home-Conversion'!O118</f>
        <v/>
      </c>
      <c r="O1152" s="8">
        <f>'Home-Conversion'!P118</f>
        <v/>
      </c>
    </row>
    <row r="1153" ht="18" customHeight="1" s="96">
      <c r="A1153" s="2" t="inlineStr">
        <is>
          <t>Person C</t>
        </is>
      </c>
      <c r="B1153" s="2">
        <f>'Home-Conversion'!A119</f>
        <v/>
      </c>
      <c r="C1153" s="3">
        <f>'Home-Conversion'!B119</f>
        <v/>
      </c>
      <c r="D1153" s="3">
        <f>'Home-Conversion'!C119</f>
        <v/>
      </c>
      <c r="E1153" s="3">
        <f>'Home-Conversion'!D119</f>
        <v/>
      </c>
      <c r="F1153" s="3">
        <f>'Home-Conversion'!E119</f>
        <v/>
      </c>
      <c r="G1153" s="4">
        <f>'Home-Conversion'!F119</f>
        <v/>
      </c>
      <c r="H1153" s="3">
        <f>'Home-Conversion'!G119</f>
        <v/>
      </c>
      <c r="I1153" s="5">
        <f>'Home-Conversion'!H119</f>
        <v/>
      </c>
      <c r="J1153" s="5">
        <f>'Home-Conversion'!I119</f>
        <v/>
      </c>
      <c r="K1153" s="6">
        <f>'Home-Conversion'!J119</f>
        <v/>
      </c>
      <c r="L1153" s="13">
        <f>'Home-Conversion'!K119</f>
        <v/>
      </c>
      <c r="M1153" s="6">
        <f>'Home-Conversion'!N119</f>
        <v/>
      </c>
      <c r="N1153" s="3">
        <f>'Home-Conversion'!O119</f>
        <v/>
      </c>
      <c r="O1153" s="3">
        <f>'Home-Conversion'!P119</f>
        <v/>
      </c>
    </row>
    <row r="1154" ht="18" customHeight="1" s="96">
      <c r="A1154" s="93" t="inlineStr">
        <is>
          <t>Person C</t>
        </is>
      </c>
      <c r="B1154" s="93">
        <f>'Home-Conversion'!A120</f>
        <v/>
      </c>
      <c r="C1154" s="8">
        <f>'Home-Conversion'!B120</f>
        <v/>
      </c>
      <c r="D1154" s="8">
        <f>'Home-Conversion'!C120</f>
        <v/>
      </c>
      <c r="E1154" s="8">
        <f>'Home-Conversion'!D120</f>
        <v/>
      </c>
      <c r="F1154" s="8">
        <f>'Home-Conversion'!E120</f>
        <v/>
      </c>
      <c r="G1154" s="9">
        <f>'Home-Conversion'!F120</f>
        <v/>
      </c>
      <c r="H1154" s="8">
        <f>'Home-Conversion'!G120</f>
        <v/>
      </c>
      <c r="I1154" s="10">
        <f>'Home-Conversion'!H120</f>
        <v/>
      </c>
      <c r="J1154" s="10">
        <f>'Home-Conversion'!I120</f>
        <v/>
      </c>
      <c r="K1154" s="11">
        <f>'Home-Conversion'!J120</f>
        <v/>
      </c>
      <c r="L1154" s="12">
        <f>'Home-Conversion'!K120</f>
        <v/>
      </c>
      <c r="M1154" s="11">
        <f>'Home-Conversion'!N120</f>
        <v/>
      </c>
      <c r="N1154" s="8">
        <f>'Home-Conversion'!O120</f>
        <v/>
      </c>
      <c r="O1154" s="8">
        <f>'Home-Conversion'!P120</f>
        <v/>
      </c>
    </row>
    <row r="1155" ht="18" customHeight="1" s="96">
      <c r="A1155" s="2" t="inlineStr">
        <is>
          <t>Person C</t>
        </is>
      </c>
      <c r="B1155" s="2">
        <f>'Home-Conversion'!A121</f>
        <v/>
      </c>
      <c r="C1155" s="3">
        <f>'Home-Conversion'!B121</f>
        <v/>
      </c>
      <c r="D1155" s="3">
        <f>'Home-Conversion'!C121</f>
        <v/>
      </c>
      <c r="E1155" s="3">
        <f>'Home-Conversion'!D121</f>
        <v/>
      </c>
      <c r="F1155" s="3">
        <f>'Home-Conversion'!E121</f>
        <v/>
      </c>
      <c r="G1155" s="4">
        <f>'Home-Conversion'!F121</f>
        <v/>
      </c>
      <c r="H1155" s="3">
        <f>'Home-Conversion'!G121</f>
        <v/>
      </c>
      <c r="I1155" s="5">
        <f>'Home-Conversion'!H121</f>
        <v/>
      </c>
      <c r="J1155" s="5">
        <f>'Home-Conversion'!I121</f>
        <v/>
      </c>
      <c r="K1155" s="6">
        <f>'Home-Conversion'!J121</f>
        <v/>
      </c>
      <c r="L1155" s="13">
        <f>'Home-Conversion'!K121</f>
        <v/>
      </c>
      <c r="M1155" s="6">
        <f>'Home-Conversion'!N121</f>
        <v/>
      </c>
      <c r="N1155" s="3">
        <f>'Home-Conversion'!O121</f>
        <v/>
      </c>
      <c r="O1155" s="3">
        <f>'Home-Conversion'!P121</f>
        <v/>
      </c>
    </row>
    <row r="1156" ht="18" customHeight="1" s="96">
      <c r="A1156" s="93" t="inlineStr">
        <is>
          <t>Person C</t>
        </is>
      </c>
      <c r="B1156" s="93">
        <f>'Home-Conversion'!A122</f>
        <v/>
      </c>
      <c r="C1156" s="8">
        <f>'Home-Conversion'!B122</f>
        <v/>
      </c>
      <c r="D1156" s="8">
        <f>'Home-Conversion'!C122</f>
        <v/>
      </c>
      <c r="E1156" s="8">
        <f>'Home-Conversion'!D122</f>
        <v/>
      </c>
      <c r="F1156" s="8">
        <f>'Home-Conversion'!E122</f>
        <v/>
      </c>
      <c r="G1156" s="9">
        <f>'Home-Conversion'!F122</f>
        <v/>
      </c>
      <c r="H1156" s="8">
        <f>'Home-Conversion'!G122</f>
        <v/>
      </c>
      <c r="I1156" s="10">
        <f>'Home-Conversion'!H122</f>
        <v/>
      </c>
      <c r="J1156" s="10">
        <f>'Home-Conversion'!I122</f>
        <v/>
      </c>
      <c r="K1156" s="11">
        <f>'Home-Conversion'!J122</f>
        <v/>
      </c>
      <c r="L1156" s="12">
        <f>'Home-Conversion'!K122</f>
        <v/>
      </c>
      <c r="M1156" s="11">
        <f>'Home-Conversion'!N122</f>
        <v/>
      </c>
      <c r="N1156" s="8">
        <f>'Home-Conversion'!O122</f>
        <v/>
      </c>
      <c r="O1156" s="8">
        <f>'Home-Conversion'!P122</f>
        <v/>
      </c>
    </row>
    <row r="1157" ht="18" customHeight="1" s="96">
      <c r="A1157" s="2" t="inlineStr">
        <is>
          <t>Person C</t>
        </is>
      </c>
      <c r="B1157" s="2">
        <f>'Home-Conversion'!A123</f>
        <v/>
      </c>
      <c r="C1157" s="3">
        <f>'Home-Conversion'!B123</f>
        <v/>
      </c>
      <c r="D1157" s="3">
        <f>'Home-Conversion'!C123</f>
        <v/>
      </c>
      <c r="E1157" s="3">
        <f>'Home-Conversion'!D123</f>
        <v/>
      </c>
      <c r="F1157" s="3">
        <f>'Home-Conversion'!E123</f>
        <v/>
      </c>
      <c r="G1157" s="4">
        <f>'Home-Conversion'!F123</f>
        <v/>
      </c>
      <c r="H1157" s="3">
        <f>'Home-Conversion'!G123</f>
        <v/>
      </c>
      <c r="I1157" s="5">
        <f>'Home-Conversion'!H123</f>
        <v/>
      </c>
      <c r="J1157" s="5">
        <f>'Home-Conversion'!I123</f>
        <v/>
      </c>
      <c r="K1157" s="6">
        <f>'Home-Conversion'!J123</f>
        <v/>
      </c>
      <c r="L1157" s="13">
        <f>'Home-Conversion'!K123</f>
        <v/>
      </c>
      <c r="M1157" s="6">
        <f>'Home-Conversion'!N123</f>
        <v/>
      </c>
      <c r="N1157" s="3">
        <f>'Home-Conversion'!O123</f>
        <v/>
      </c>
      <c r="O1157" s="3">
        <f>'Home-Conversion'!P123</f>
        <v/>
      </c>
    </row>
    <row r="1158" ht="18" customHeight="1" s="96">
      <c r="A1158" s="93" t="inlineStr">
        <is>
          <t>Person C</t>
        </is>
      </c>
      <c r="B1158" s="93">
        <f>'Home-Conversion'!A124</f>
        <v/>
      </c>
      <c r="C1158" s="8">
        <f>'Home-Conversion'!B124</f>
        <v/>
      </c>
      <c r="D1158" s="8">
        <f>'Home-Conversion'!C124</f>
        <v/>
      </c>
      <c r="E1158" s="8">
        <f>'Home-Conversion'!D124</f>
        <v/>
      </c>
      <c r="F1158" s="8">
        <f>'Home-Conversion'!E124</f>
        <v/>
      </c>
      <c r="G1158" s="9">
        <f>'Home-Conversion'!F124</f>
        <v/>
      </c>
      <c r="H1158" s="8">
        <f>'Home-Conversion'!G124</f>
        <v/>
      </c>
      <c r="I1158" s="10">
        <f>'Home-Conversion'!H124</f>
        <v/>
      </c>
      <c r="J1158" s="10">
        <f>'Home-Conversion'!I124</f>
        <v/>
      </c>
      <c r="K1158" s="11">
        <f>'Home-Conversion'!J124</f>
        <v/>
      </c>
      <c r="L1158" s="12">
        <f>'Home-Conversion'!K124</f>
        <v/>
      </c>
      <c r="M1158" s="11">
        <f>'Home-Conversion'!N124</f>
        <v/>
      </c>
      <c r="N1158" s="8">
        <f>'Home-Conversion'!O124</f>
        <v/>
      </c>
      <c r="O1158" s="8">
        <f>'Home-Conversion'!P124</f>
        <v/>
      </c>
    </row>
    <row r="1159" ht="18" customHeight="1" s="96">
      <c r="A1159" s="2" t="inlineStr">
        <is>
          <t>Person C</t>
        </is>
      </c>
      <c r="B1159" s="2">
        <f>'Home-Conversion'!A125</f>
        <v/>
      </c>
      <c r="C1159" s="3">
        <f>'Home-Conversion'!B125</f>
        <v/>
      </c>
      <c r="D1159" s="3">
        <f>'Home-Conversion'!C125</f>
        <v/>
      </c>
      <c r="E1159" s="3">
        <f>'Home-Conversion'!D125</f>
        <v/>
      </c>
      <c r="F1159" s="3">
        <f>'Home-Conversion'!E125</f>
        <v/>
      </c>
      <c r="G1159" s="4">
        <f>'Home-Conversion'!F125</f>
        <v/>
      </c>
      <c r="H1159" s="3">
        <f>'Home-Conversion'!G125</f>
        <v/>
      </c>
      <c r="I1159" s="5">
        <f>'Home-Conversion'!H125</f>
        <v/>
      </c>
      <c r="J1159" s="5">
        <f>'Home-Conversion'!I125</f>
        <v/>
      </c>
      <c r="K1159" s="6">
        <f>'Home-Conversion'!J125</f>
        <v/>
      </c>
      <c r="L1159" s="13">
        <f>'Home-Conversion'!K125</f>
        <v/>
      </c>
      <c r="M1159" s="6">
        <f>'Home-Conversion'!N125</f>
        <v/>
      </c>
      <c r="N1159" s="3">
        <f>'Home-Conversion'!O125</f>
        <v/>
      </c>
      <c r="O1159" s="3">
        <f>'Home-Conversion'!P125</f>
        <v/>
      </c>
    </row>
    <row r="1160" ht="18" customHeight="1" s="96">
      <c r="A1160" s="93" t="inlineStr">
        <is>
          <t>Person C</t>
        </is>
      </c>
      <c r="B1160" s="93">
        <f>'Home-Conversion'!A126</f>
        <v/>
      </c>
      <c r="C1160" s="8">
        <f>'Home-Conversion'!B126</f>
        <v/>
      </c>
      <c r="D1160" s="8">
        <f>'Home-Conversion'!C126</f>
        <v/>
      </c>
      <c r="E1160" s="8">
        <f>'Home-Conversion'!D126</f>
        <v/>
      </c>
      <c r="F1160" s="8">
        <f>'Home-Conversion'!E126</f>
        <v/>
      </c>
      <c r="G1160" s="9">
        <f>'Home-Conversion'!F126</f>
        <v/>
      </c>
      <c r="H1160" s="8">
        <f>'Home-Conversion'!G126</f>
        <v/>
      </c>
      <c r="I1160" s="10">
        <f>'Home-Conversion'!H126</f>
        <v/>
      </c>
      <c r="J1160" s="10">
        <f>'Home-Conversion'!I126</f>
        <v/>
      </c>
      <c r="K1160" s="11">
        <f>'Home-Conversion'!J126</f>
        <v/>
      </c>
      <c r="L1160" s="12">
        <f>'Home-Conversion'!K126</f>
        <v/>
      </c>
      <c r="M1160" s="11">
        <f>'Home-Conversion'!N126</f>
        <v/>
      </c>
      <c r="N1160" s="8">
        <f>'Home-Conversion'!O126</f>
        <v/>
      </c>
      <c r="O1160" s="8">
        <f>'Home-Conversion'!P126</f>
        <v/>
      </c>
    </row>
    <row r="1161" ht="18" customHeight="1" s="96">
      <c r="A1161" s="2" t="inlineStr">
        <is>
          <t>Person C</t>
        </is>
      </c>
      <c r="B1161" s="2">
        <f>'Home-Conversion'!A127</f>
        <v/>
      </c>
      <c r="C1161" s="3">
        <f>'Home-Conversion'!B127</f>
        <v/>
      </c>
      <c r="D1161" s="3">
        <f>'Home-Conversion'!C127</f>
        <v/>
      </c>
      <c r="E1161" s="3">
        <f>'Home-Conversion'!D127</f>
        <v/>
      </c>
      <c r="F1161" s="3">
        <f>'Home-Conversion'!E127</f>
        <v/>
      </c>
      <c r="G1161" s="4">
        <f>'Home-Conversion'!F127</f>
        <v/>
      </c>
      <c r="H1161" s="3">
        <f>'Home-Conversion'!G127</f>
        <v/>
      </c>
      <c r="I1161" s="5">
        <f>'Home-Conversion'!H127</f>
        <v/>
      </c>
      <c r="J1161" s="5">
        <f>'Home-Conversion'!I127</f>
        <v/>
      </c>
      <c r="K1161" s="6">
        <f>'Home-Conversion'!J127</f>
        <v/>
      </c>
      <c r="L1161" s="13">
        <f>'Home-Conversion'!K127</f>
        <v/>
      </c>
      <c r="M1161" s="6">
        <f>'Home-Conversion'!N127</f>
        <v/>
      </c>
      <c r="N1161" s="3">
        <f>'Home-Conversion'!O127</f>
        <v/>
      </c>
      <c r="O1161" s="3">
        <f>'Home-Conversion'!P127</f>
        <v/>
      </c>
    </row>
    <row r="1162" ht="18" customHeight="1" s="96">
      <c r="A1162" s="93" t="inlineStr">
        <is>
          <t>Person C</t>
        </is>
      </c>
      <c r="B1162" s="93">
        <f>'Home-Conversion'!A128</f>
        <v/>
      </c>
      <c r="C1162" s="8">
        <f>'Home-Conversion'!B128</f>
        <v/>
      </c>
      <c r="D1162" s="8">
        <f>'Home-Conversion'!C128</f>
        <v/>
      </c>
      <c r="E1162" s="8">
        <f>'Home-Conversion'!D128</f>
        <v/>
      </c>
      <c r="F1162" s="8">
        <f>'Home-Conversion'!E128</f>
        <v/>
      </c>
      <c r="G1162" s="9">
        <f>'Home-Conversion'!F128</f>
        <v/>
      </c>
      <c r="H1162" s="8">
        <f>'Home-Conversion'!G128</f>
        <v/>
      </c>
      <c r="I1162" s="10">
        <f>'Home-Conversion'!H128</f>
        <v/>
      </c>
      <c r="J1162" s="10">
        <f>'Home-Conversion'!I128</f>
        <v/>
      </c>
      <c r="K1162" s="11">
        <f>'Home-Conversion'!J128</f>
        <v/>
      </c>
      <c r="L1162" s="12">
        <f>'Home-Conversion'!K128</f>
        <v/>
      </c>
      <c r="M1162" s="11">
        <f>'Home-Conversion'!N128</f>
        <v/>
      </c>
      <c r="N1162" s="8">
        <f>'Home-Conversion'!O128</f>
        <v/>
      </c>
      <c r="O1162" s="8">
        <f>'Home-Conversion'!P128</f>
        <v/>
      </c>
    </row>
    <row r="1163" ht="18" customHeight="1" s="96">
      <c r="A1163" s="2" t="inlineStr">
        <is>
          <t>Person C</t>
        </is>
      </c>
      <c r="B1163" s="2">
        <f>'Home-Conversion'!A129</f>
        <v/>
      </c>
      <c r="C1163" s="3">
        <f>'Home-Conversion'!B129</f>
        <v/>
      </c>
      <c r="D1163" s="3">
        <f>'Home-Conversion'!C129</f>
        <v/>
      </c>
      <c r="E1163" s="3">
        <f>'Home-Conversion'!D129</f>
        <v/>
      </c>
      <c r="F1163" s="3">
        <f>'Home-Conversion'!E129</f>
        <v/>
      </c>
      <c r="G1163" s="4">
        <f>'Home-Conversion'!F129</f>
        <v/>
      </c>
      <c r="H1163" s="3">
        <f>'Home-Conversion'!G129</f>
        <v/>
      </c>
      <c r="I1163" s="5">
        <f>'Home-Conversion'!H129</f>
        <v/>
      </c>
      <c r="J1163" s="5">
        <f>'Home-Conversion'!I129</f>
        <v/>
      </c>
      <c r="K1163" s="6">
        <f>'Home-Conversion'!J129</f>
        <v/>
      </c>
      <c r="L1163" s="13">
        <f>'Home-Conversion'!K129</f>
        <v/>
      </c>
      <c r="M1163" s="6">
        <f>'Home-Conversion'!N129</f>
        <v/>
      </c>
      <c r="N1163" s="3">
        <f>'Home-Conversion'!O129</f>
        <v/>
      </c>
      <c r="O1163" s="3">
        <f>'Home-Conversion'!P129</f>
        <v/>
      </c>
    </row>
    <row r="1164" ht="18" customHeight="1" s="96">
      <c r="A1164" s="93" t="inlineStr">
        <is>
          <t>Person C</t>
        </is>
      </c>
      <c r="B1164" s="93">
        <f>'Home-Conversion'!A130</f>
        <v/>
      </c>
      <c r="C1164" s="8">
        <f>'Home-Conversion'!B130</f>
        <v/>
      </c>
      <c r="D1164" s="8">
        <f>'Home-Conversion'!C130</f>
        <v/>
      </c>
      <c r="E1164" s="8">
        <f>'Home-Conversion'!D130</f>
        <v/>
      </c>
      <c r="F1164" s="8">
        <f>'Home-Conversion'!E130</f>
        <v/>
      </c>
      <c r="G1164" s="9">
        <f>'Home-Conversion'!F130</f>
        <v/>
      </c>
      <c r="H1164" s="8">
        <f>'Home-Conversion'!G130</f>
        <v/>
      </c>
      <c r="I1164" s="10">
        <f>'Home-Conversion'!H130</f>
        <v/>
      </c>
      <c r="J1164" s="10">
        <f>'Home-Conversion'!I130</f>
        <v/>
      </c>
      <c r="K1164" s="11">
        <f>'Home-Conversion'!J130</f>
        <v/>
      </c>
      <c r="L1164" s="12">
        <f>'Home-Conversion'!K130</f>
        <v/>
      </c>
      <c r="M1164" s="11">
        <f>'Home-Conversion'!N130</f>
        <v/>
      </c>
      <c r="N1164" s="8">
        <f>'Home-Conversion'!O130</f>
        <v/>
      </c>
      <c r="O1164" s="8">
        <f>'Home-Conversion'!P130</f>
        <v/>
      </c>
    </row>
    <row r="1165" ht="18" customHeight="1" s="96">
      <c r="A1165" s="2" t="inlineStr">
        <is>
          <t>Person C</t>
        </is>
      </c>
      <c r="B1165" s="2">
        <f>'Home-Conversion'!A131</f>
        <v/>
      </c>
      <c r="C1165" s="3">
        <f>'Home-Conversion'!B131</f>
        <v/>
      </c>
      <c r="D1165" s="3">
        <f>'Home-Conversion'!C131</f>
        <v/>
      </c>
      <c r="E1165" s="3">
        <f>'Home-Conversion'!D131</f>
        <v/>
      </c>
      <c r="F1165" s="3">
        <f>'Home-Conversion'!E131</f>
        <v/>
      </c>
      <c r="G1165" s="4">
        <f>'Home-Conversion'!F131</f>
        <v/>
      </c>
      <c r="H1165" s="3">
        <f>'Home-Conversion'!G131</f>
        <v/>
      </c>
      <c r="I1165" s="5">
        <f>'Home-Conversion'!H131</f>
        <v/>
      </c>
      <c r="J1165" s="5">
        <f>'Home-Conversion'!I131</f>
        <v/>
      </c>
      <c r="K1165" s="6">
        <f>'Home-Conversion'!J131</f>
        <v/>
      </c>
      <c r="L1165" s="13">
        <f>'Home-Conversion'!K131</f>
        <v/>
      </c>
      <c r="M1165" s="6">
        <f>'Home-Conversion'!N131</f>
        <v/>
      </c>
      <c r="N1165" s="3">
        <f>'Home-Conversion'!O131</f>
        <v/>
      </c>
      <c r="O1165" s="3">
        <f>'Home-Conversion'!P131</f>
        <v/>
      </c>
    </row>
    <row r="1166" ht="18" customHeight="1" s="96">
      <c r="A1166" s="93" t="inlineStr">
        <is>
          <t>Person C</t>
        </is>
      </c>
      <c r="B1166" s="93">
        <f>'Home-Conversion'!A132</f>
        <v/>
      </c>
      <c r="C1166" s="8">
        <f>'Home-Conversion'!B132</f>
        <v/>
      </c>
      <c r="D1166" s="8">
        <f>'Home-Conversion'!C132</f>
        <v/>
      </c>
      <c r="E1166" s="8">
        <f>'Home-Conversion'!D132</f>
        <v/>
      </c>
      <c r="F1166" s="8">
        <f>'Home-Conversion'!E132</f>
        <v/>
      </c>
      <c r="G1166" s="9">
        <f>'Home-Conversion'!F132</f>
        <v/>
      </c>
      <c r="H1166" s="8">
        <f>'Home-Conversion'!G132</f>
        <v/>
      </c>
      <c r="I1166" s="10">
        <f>'Home-Conversion'!H132</f>
        <v/>
      </c>
      <c r="J1166" s="10">
        <f>'Home-Conversion'!I132</f>
        <v/>
      </c>
      <c r="K1166" s="11">
        <f>'Home-Conversion'!J132</f>
        <v/>
      </c>
      <c r="L1166" s="12">
        <f>'Home-Conversion'!K132</f>
        <v/>
      </c>
      <c r="M1166" s="11">
        <f>'Home-Conversion'!N132</f>
        <v/>
      </c>
      <c r="N1166" s="8">
        <f>'Home-Conversion'!O132</f>
        <v/>
      </c>
      <c r="O1166" s="8">
        <f>'Home-Conversion'!P132</f>
        <v/>
      </c>
    </row>
    <row r="1167" ht="18" customHeight="1" s="96">
      <c r="A1167" s="2" t="inlineStr">
        <is>
          <t>Person C</t>
        </is>
      </c>
      <c r="B1167" s="2">
        <f>'Home-Conversion'!A133</f>
        <v/>
      </c>
      <c r="C1167" s="3">
        <f>'Home-Conversion'!B133</f>
        <v/>
      </c>
      <c r="D1167" s="3">
        <f>'Home-Conversion'!C133</f>
        <v/>
      </c>
      <c r="E1167" s="3">
        <f>'Home-Conversion'!D133</f>
        <v/>
      </c>
      <c r="F1167" s="3">
        <f>'Home-Conversion'!E133</f>
        <v/>
      </c>
      <c r="G1167" s="4">
        <f>'Home-Conversion'!F133</f>
        <v/>
      </c>
      <c r="H1167" s="3">
        <f>'Home-Conversion'!G133</f>
        <v/>
      </c>
      <c r="I1167" s="5">
        <f>'Home-Conversion'!H133</f>
        <v/>
      </c>
      <c r="J1167" s="5">
        <f>'Home-Conversion'!I133</f>
        <v/>
      </c>
      <c r="K1167" s="6">
        <f>'Home-Conversion'!J133</f>
        <v/>
      </c>
      <c r="L1167" s="13">
        <f>'Home-Conversion'!K133</f>
        <v/>
      </c>
      <c r="M1167" s="6">
        <f>'Home-Conversion'!N133</f>
        <v/>
      </c>
      <c r="N1167" s="3">
        <f>'Home-Conversion'!O133</f>
        <v/>
      </c>
      <c r="O1167" s="3">
        <f>'Home-Conversion'!P133</f>
        <v/>
      </c>
    </row>
    <row r="1168" ht="18" customHeight="1" s="96">
      <c r="A1168" s="93" t="inlineStr">
        <is>
          <t>Person C</t>
        </is>
      </c>
      <c r="B1168" s="93">
        <f>'Home-Conversion'!A134</f>
        <v/>
      </c>
      <c r="C1168" s="8">
        <f>'Home-Conversion'!B134</f>
        <v/>
      </c>
      <c r="D1168" s="8">
        <f>'Home-Conversion'!C134</f>
        <v/>
      </c>
      <c r="E1168" s="8">
        <f>'Home-Conversion'!D134</f>
        <v/>
      </c>
      <c r="F1168" s="8">
        <f>'Home-Conversion'!E134</f>
        <v/>
      </c>
      <c r="G1168" s="9">
        <f>'Home-Conversion'!F134</f>
        <v/>
      </c>
      <c r="H1168" s="8">
        <f>'Home-Conversion'!G134</f>
        <v/>
      </c>
      <c r="I1168" s="10">
        <f>'Home-Conversion'!H134</f>
        <v/>
      </c>
      <c r="J1168" s="10">
        <f>'Home-Conversion'!I134</f>
        <v/>
      </c>
      <c r="K1168" s="11">
        <f>'Home-Conversion'!J134</f>
        <v/>
      </c>
      <c r="L1168" s="12">
        <f>'Home-Conversion'!K134</f>
        <v/>
      </c>
      <c r="M1168" s="11">
        <f>'Home-Conversion'!N134</f>
        <v/>
      </c>
      <c r="N1168" s="8">
        <f>'Home-Conversion'!O134</f>
        <v/>
      </c>
      <c r="O1168" s="8">
        <f>'Home-Conversion'!P134</f>
        <v/>
      </c>
    </row>
    <row r="1169" ht="18" customHeight="1" s="96">
      <c r="A1169" s="2" t="inlineStr">
        <is>
          <t>Person C</t>
        </is>
      </c>
      <c r="B1169" s="2">
        <f>'Home-Conversion'!A135</f>
        <v/>
      </c>
      <c r="C1169" s="3">
        <f>'Home-Conversion'!B135</f>
        <v/>
      </c>
      <c r="D1169" s="3">
        <f>'Home-Conversion'!C135</f>
        <v/>
      </c>
      <c r="E1169" s="3">
        <f>'Home-Conversion'!D135</f>
        <v/>
      </c>
      <c r="F1169" s="3">
        <f>'Home-Conversion'!E135</f>
        <v/>
      </c>
      <c r="G1169" s="4">
        <f>'Home-Conversion'!F135</f>
        <v/>
      </c>
      <c r="H1169" s="3">
        <f>'Home-Conversion'!G135</f>
        <v/>
      </c>
      <c r="I1169" s="5">
        <f>'Home-Conversion'!H135</f>
        <v/>
      </c>
      <c r="J1169" s="5">
        <f>'Home-Conversion'!I135</f>
        <v/>
      </c>
      <c r="K1169" s="6">
        <f>'Home-Conversion'!J135</f>
        <v/>
      </c>
      <c r="L1169" s="13">
        <f>'Home-Conversion'!K135</f>
        <v/>
      </c>
      <c r="M1169" s="6">
        <f>'Home-Conversion'!N135</f>
        <v/>
      </c>
      <c r="N1169" s="3">
        <f>'Home-Conversion'!O135</f>
        <v/>
      </c>
      <c r="O1169" s="3">
        <f>'Home-Conversion'!P135</f>
        <v/>
      </c>
    </row>
    <row r="1170" ht="18" customHeight="1" s="96">
      <c r="A1170" s="93" t="inlineStr">
        <is>
          <t>Person C</t>
        </is>
      </c>
      <c r="B1170" s="93">
        <f>'Home-Conversion'!A136</f>
        <v/>
      </c>
      <c r="C1170" s="8">
        <f>'Home-Conversion'!B136</f>
        <v/>
      </c>
      <c r="D1170" s="8">
        <f>'Home-Conversion'!C136</f>
        <v/>
      </c>
      <c r="E1170" s="8">
        <f>'Home-Conversion'!D136</f>
        <v/>
      </c>
      <c r="F1170" s="8">
        <f>'Home-Conversion'!E136</f>
        <v/>
      </c>
      <c r="G1170" s="9">
        <f>'Home-Conversion'!F136</f>
        <v/>
      </c>
      <c r="H1170" s="8">
        <f>'Home-Conversion'!G136</f>
        <v/>
      </c>
      <c r="I1170" s="10">
        <f>'Home-Conversion'!H136</f>
        <v/>
      </c>
      <c r="J1170" s="10">
        <f>'Home-Conversion'!I136</f>
        <v/>
      </c>
      <c r="K1170" s="11">
        <f>'Home-Conversion'!J136</f>
        <v/>
      </c>
      <c r="L1170" s="12">
        <f>'Home-Conversion'!K136</f>
        <v/>
      </c>
      <c r="M1170" s="11">
        <f>'Home-Conversion'!N136</f>
        <v/>
      </c>
      <c r="N1170" s="8">
        <f>'Home-Conversion'!O136</f>
        <v/>
      </c>
      <c r="O1170" s="8">
        <f>'Home-Conversion'!P136</f>
        <v/>
      </c>
    </row>
    <row r="1171" ht="18" customHeight="1" s="96">
      <c r="A1171" s="2" t="inlineStr">
        <is>
          <t>Person C</t>
        </is>
      </c>
      <c r="B1171" s="2">
        <f>'Home-Conversion'!A137</f>
        <v/>
      </c>
      <c r="C1171" s="3">
        <f>'Home-Conversion'!B137</f>
        <v/>
      </c>
      <c r="D1171" s="3">
        <f>'Home-Conversion'!C137</f>
        <v/>
      </c>
      <c r="E1171" s="3">
        <f>'Home-Conversion'!D137</f>
        <v/>
      </c>
      <c r="F1171" s="3">
        <f>'Home-Conversion'!E137</f>
        <v/>
      </c>
      <c r="G1171" s="4">
        <f>'Home-Conversion'!F137</f>
        <v/>
      </c>
      <c r="H1171" s="3">
        <f>'Home-Conversion'!G137</f>
        <v/>
      </c>
      <c r="I1171" s="5">
        <f>'Home-Conversion'!H137</f>
        <v/>
      </c>
      <c r="J1171" s="5">
        <f>'Home-Conversion'!I137</f>
        <v/>
      </c>
      <c r="K1171" s="6">
        <f>'Home-Conversion'!J137</f>
        <v/>
      </c>
      <c r="L1171" s="13">
        <f>'Home-Conversion'!K137</f>
        <v/>
      </c>
      <c r="M1171" s="6">
        <f>'Home-Conversion'!N137</f>
        <v/>
      </c>
      <c r="N1171" s="3">
        <f>'Home-Conversion'!O137</f>
        <v/>
      </c>
      <c r="O1171" s="3">
        <f>'Home-Conversion'!P137</f>
        <v/>
      </c>
    </row>
    <row r="1172" ht="18" customHeight="1" s="96">
      <c r="A1172" s="93" t="inlineStr">
        <is>
          <t>Person C</t>
        </is>
      </c>
      <c r="B1172" s="93">
        <f>'Home-Conversion'!A138</f>
        <v/>
      </c>
      <c r="C1172" s="8">
        <f>'Home-Conversion'!B138</f>
        <v/>
      </c>
      <c r="D1172" s="8">
        <f>'Home-Conversion'!C138</f>
        <v/>
      </c>
      <c r="E1172" s="8">
        <f>'Home-Conversion'!D138</f>
        <v/>
      </c>
      <c r="F1172" s="8">
        <f>'Home-Conversion'!E138</f>
        <v/>
      </c>
      <c r="G1172" s="9">
        <f>'Home-Conversion'!F138</f>
        <v/>
      </c>
      <c r="H1172" s="8">
        <f>'Home-Conversion'!G138</f>
        <v/>
      </c>
      <c r="I1172" s="10">
        <f>'Home-Conversion'!H138</f>
        <v/>
      </c>
      <c r="J1172" s="10">
        <f>'Home-Conversion'!I138</f>
        <v/>
      </c>
      <c r="K1172" s="11">
        <f>'Home-Conversion'!J138</f>
        <v/>
      </c>
      <c r="L1172" s="12">
        <f>'Home-Conversion'!K138</f>
        <v/>
      </c>
      <c r="M1172" s="11">
        <f>'Home-Conversion'!N138</f>
        <v/>
      </c>
      <c r="N1172" s="8">
        <f>'Home-Conversion'!O138</f>
        <v/>
      </c>
      <c r="O1172" s="8">
        <f>'Home-Conversion'!P138</f>
        <v/>
      </c>
    </row>
    <row r="1173" ht="18" customHeight="1" s="96">
      <c r="A1173" s="2" t="inlineStr">
        <is>
          <t>Person C</t>
        </is>
      </c>
      <c r="B1173" s="2">
        <f>'Home-Conversion'!A139</f>
        <v/>
      </c>
      <c r="C1173" s="3">
        <f>'Home-Conversion'!B139</f>
        <v/>
      </c>
      <c r="D1173" s="3">
        <f>'Home-Conversion'!C139</f>
        <v/>
      </c>
      <c r="E1173" s="3">
        <f>'Home-Conversion'!D139</f>
        <v/>
      </c>
      <c r="F1173" s="3">
        <f>'Home-Conversion'!E139</f>
        <v/>
      </c>
      <c r="G1173" s="4">
        <f>'Home-Conversion'!F139</f>
        <v/>
      </c>
      <c r="H1173" s="3">
        <f>'Home-Conversion'!G139</f>
        <v/>
      </c>
      <c r="I1173" s="5">
        <f>'Home-Conversion'!H139</f>
        <v/>
      </c>
      <c r="J1173" s="5">
        <f>'Home-Conversion'!I139</f>
        <v/>
      </c>
      <c r="K1173" s="6">
        <f>'Home-Conversion'!J139</f>
        <v/>
      </c>
      <c r="L1173" s="13">
        <f>'Home-Conversion'!K139</f>
        <v/>
      </c>
      <c r="M1173" s="6">
        <f>'Home-Conversion'!N139</f>
        <v/>
      </c>
      <c r="N1173" s="3">
        <f>'Home-Conversion'!O139</f>
        <v/>
      </c>
      <c r="O1173" s="3">
        <f>'Home-Conversion'!P139</f>
        <v/>
      </c>
    </row>
    <row r="1174" ht="18" customHeight="1" s="96">
      <c r="A1174" s="93" t="inlineStr">
        <is>
          <t>Person C</t>
        </is>
      </c>
      <c r="B1174" s="93">
        <f>'Home-Conversion'!A140</f>
        <v/>
      </c>
      <c r="C1174" s="8">
        <f>'Home-Conversion'!B140</f>
        <v/>
      </c>
      <c r="D1174" s="8">
        <f>'Home-Conversion'!C140</f>
        <v/>
      </c>
      <c r="E1174" s="8">
        <f>'Home-Conversion'!D140</f>
        <v/>
      </c>
      <c r="F1174" s="8">
        <f>'Home-Conversion'!E140</f>
        <v/>
      </c>
      <c r="G1174" s="9">
        <f>'Home-Conversion'!F140</f>
        <v/>
      </c>
      <c r="H1174" s="8">
        <f>'Home-Conversion'!G140</f>
        <v/>
      </c>
      <c r="I1174" s="10">
        <f>'Home-Conversion'!H140</f>
        <v/>
      </c>
      <c r="J1174" s="10">
        <f>'Home-Conversion'!I140</f>
        <v/>
      </c>
      <c r="K1174" s="11">
        <f>'Home-Conversion'!J140</f>
        <v/>
      </c>
      <c r="L1174" s="12">
        <f>'Home-Conversion'!K140</f>
        <v/>
      </c>
      <c r="M1174" s="11">
        <f>'Home-Conversion'!N140</f>
        <v/>
      </c>
      <c r="N1174" s="8">
        <f>'Home-Conversion'!O140</f>
        <v/>
      </c>
      <c r="O1174" s="8">
        <f>'Home-Conversion'!P140</f>
        <v/>
      </c>
    </row>
    <row r="1175" ht="18" customHeight="1" s="96">
      <c r="A1175" s="2" t="inlineStr">
        <is>
          <t>Person C</t>
        </is>
      </c>
      <c r="B1175" s="2">
        <f>'Home-Conversion'!A141</f>
        <v/>
      </c>
      <c r="C1175" s="3">
        <f>'Home-Conversion'!B141</f>
        <v/>
      </c>
      <c r="D1175" s="3">
        <f>'Home-Conversion'!C141</f>
        <v/>
      </c>
      <c r="E1175" s="3">
        <f>'Home-Conversion'!D141</f>
        <v/>
      </c>
      <c r="F1175" s="3">
        <f>'Home-Conversion'!E141</f>
        <v/>
      </c>
      <c r="G1175" s="4">
        <f>'Home-Conversion'!F141</f>
        <v/>
      </c>
      <c r="H1175" s="3">
        <f>'Home-Conversion'!G141</f>
        <v/>
      </c>
      <c r="I1175" s="5">
        <f>'Home-Conversion'!H141</f>
        <v/>
      </c>
      <c r="J1175" s="5">
        <f>'Home-Conversion'!I141</f>
        <v/>
      </c>
      <c r="K1175" s="6">
        <f>'Home-Conversion'!J141</f>
        <v/>
      </c>
      <c r="L1175" s="13">
        <f>'Home-Conversion'!K141</f>
        <v/>
      </c>
      <c r="M1175" s="6">
        <f>'Home-Conversion'!N141</f>
        <v/>
      </c>
      <c r="N1175" s="3">
        <f>'Home-Conversion'!O141</f>
        <v/>
      </c>
      <c r="O1175" s="3">
        <f>'Home-Conversion'!P141</f>
        <v/>
      </c>
    </row>
    <row r="1176" ht="18" customHeight="1" s="96">
      <c r="A1176" s="93" t="inlineStr">
        <is>
          <t>Person C</t>
        </is>
      </c>
      <c r="B1176" s="93">
        <f>'Home-Conversion'!A142</f>
        <v/>
      </c>
      <c r="C1176" s="8">
        <f>'Home-Conversion'!B142</f>
        <v/>
      </c>
      <c r="D1176" s="8">
        <f>'Home-Conversion'!C142</f>
        <v/>
      </c>
      <c r="E1176" s="8">
        <f>'Home-Conversion'!D142</f>
        <v/>
      </c>
      <c r="F1176" s="8">
        <f>'Home-Conversion'!E142</f>
        <v/>
      </c>
      <c r="G1176" s="9">
        <f>'Home-Conversion'!F142</f>
        <v/>
      </c>
      <c r="H1176" s="8">
        <f>'Home-Conversion'!G142</f>
        <v/>
      </c>
      <c r="I1176" s="10">
        <f>'Home-Conversion'!H142</f>
        <v/>
      </c>
      <c r="J1176" s="10">
        <f>'Home-Conversion'!I142</f>
        <v/>
      </c>
      <c r="K1176" s="11">
        <f>'Home-Conversion'!J142</f>
        <v/>
      </c>
      <c r="L1176" s="12">
        <f>'Home-Conversion'!K142</f>
        <v/>
      </c>
      <c r="M1176" s="11">
        <f>'Home-Conversion'!N142</f>
        <v/>
      </c>
      <c r="N1176" s="8">
        <f>'Home-Conversion'!O142</f>
        <v/>
      </c>
      <c r="O1176" s="8">
        <f>'Home-Conversion'!P142</f>
        <v/>
      </c>
    </row>
    <row r="1177" ht="18" customHeight="1" s="96">
      <c r="A1177" s="2" t="inlineStr">
        <is>
          <t>Person C</t>
        </is>
      </c>
      <c r="B1177" s="2">
        <f>'Home-Conversion'!A143</f>
        <v/>
      </c>
      <c r="C1177" s="3">
        <f>'Home-Conversion'!B143</f>
        <v/>
      </c>
      <c r="D1177" s="3">
        <f>'Home-Conversion'!C143</f>
        <v/>
      </c>
      <c r="E1177" s="3">
        <f>'Home-Conversion'!D143</f>
        <v/>
      </c>
      <c r="F1177" s="3">
        <f>'Home-Conversion'!E143</f>
        <v/>
      </c>
      <c r="G1177" s="4">
        <f>'Home-Conversion'!F143</f>
        <v/>
      </c>
      <c r="H1177" s="3">
        <f>'Home-Conversion'!G143</f>
        <v/>
      </c>
      <c r="I1177" s="5">
        <f>'Home-Conversion'!H143</f>
        <v/>
      </c>
      <c r="J1177" s="5">
        <f>'Home-Conversion'!I143</f>
        <v/>
      </c>
      <c r="K1177" s="6">
        <f>'Home-Conversion'!J143</f>
        <v/>
      </c>
      <c r="L1177" s="13">
        <f>'Home-Conversion'!K143</f>
        <v/>
      </c>
      <c r="M1177" s="6">
        <f>'Home-Conversion'!N143</f>
        <v/>
      </c>
      <c r="N1177" s="3">
        <f>'Home-Conversion'!O143</f>
        <v/>
      </c>
      <c r="O1177" s="3">
        <f>'Home-Conversion'!P143</f>
        <v/>
      </c>
    </row>
    <row r="1178" ht="18" customHeight="1" s="96">
      <c r="A1178" s="93" t="inlineStr">
        <is>
          <t>Person C</t>
        </is>
      </c>
      <c r="B1178" s="93">
        <f>'Home-Conversion'!A144</f>
        <v/>
      </c>
      <c r="C1178" s="8">
        <f>'Home-Conversion'!B144</f>
        <v/>
      </c>
      <c r="D1178" s="8">
        <f>'Home-Conversion'!C144</f>
        <v/>
      </c>
      <c r="E1178" s="8">
        <f>'Home-Conversion'!D144</f>
        <v/>
      </c>
      <c r="F1178" s="8">
        <f>'Home-Conversion'!E144</f>
        <v/>
      </c>
      <c r="G1178" s="9">
        <f>'Home-Conversion'!F144</f>
        <v/>
      </c>
      <c r="H1178" s="8">
        <f>'Home-Conversion'!G144</f>
        <v/>
      </c>
      <c r="I1178" s="10">
        <f>'Home-Conversion'!H144</f>
        <v/>
      </c>
      <c r="J1178" s="10">
        <f>'Home-Conversion'!I144</f>
        <v/>
      </c>
      <c r="K1178" s="11">
        <f>'Home-Conversion'!J144</f>
        <v/>
      </c>
      <c r="L1178" s="12">
        <f>'Home-Conversion'!K144</f>
        <v/>
      </c>
      <c r="M1178" s="11">
        <f>'Home-Conversion'!N144</f>
        <v/>
      </c>
      <c r="N1178" s="8">
        <f>'Home-Conversion'!O144</f>
        <v/>
      </c>
      <c r="O1178" s="8">
        <f>'Home-Conversion'!P144</f>
        <v/>
      </c>
    </row>
    <row r="1179" ht="18" customHeight="1" s="96">
      <c r="A1179" s="2" t="inlineStr">
        <is>
          <t>Person C</t>
        </is>
      </c>
      <c r="B1179" s="2">
        <f>'Home-Conversion'!A145</f>
        <v/>
      </c>
      <c r="C1179" s="3">
        <f>'Home-Conversion'!B145</f>
        <v/>
      </c>
      <c r="D1179" s="3">
        <f>'Home-Conversion'!C145</f>
        <v/>
      </c>
      <c r="E1179" s="3">
        <f>'Home-Conversion'!D145</f>
        <v/>
      </c>
      <c r="F1179" s="3">
        <f>'Home-Conversion'!E145</f>
        <v/>
      </c>
      <c r="G1179" s="4">
        <f>'Home-Conversion'!F145</f>
        <v/>
      </c>
      <c r="H1179" s="3">
        <f>'Home-Conversion'!G145</f>
        <v/>
      </c>
      <c r="I1179" s="5">
        <f>'Home-Conversion'!H145</f>
        <v/>
      </c>
      <c r="J1179" s="5">
        <f>'Home-Conversion'!I145</f>
        <v/>
      </c>
      <c r="K1179" s="6">
        <f>'Home-Conversion'!J145</f>
        <v/>
      </c>
      <c r="L1179" s="13">
        <f>'Home-Conversion'!K145</f>
        <v/>
      </c>
      <c r="M1179" s="6">
        <f>'Home-Conversion'!N145</f>
        <v/>
      </c>
      <c r="N1179" s="3">
        <f>'Home-Conversion'!O145</f>
        <v/>
      </c>
      <c r="O1179" s="3">
        <f>'Home-Conversion'!P145</f>
        <v/>
      </c>
    </row>
    <row r="1180" ht="18" customHeight="1" s="96">
      <c r="A1180" s="93" t="inlineStr">
        <is>
          <t>Person C</t>
        </is>
      </c>
      <c r="B1180" s="93">
        <f>'Home-Conversion'!A146</f>
        <v/>
      </c>
      <c r="C1180" s="8">
        <f>'Home-Conversion'!B146</f>
        <v/>
      </c>
      <c r="D1180" s="8">
        <f>'Home-Conversion'!C146</f>
        <v/>
      </c>
      <c r="E1180" s="8">
        <f>'Home-Conversion'!D146</f>
        <v/>
      </c>
      <c r="F1180" s="8">
        <f>'Home-Conversion'!E146</f>
        <v/>
      </c>
      <c r="G1180" s="9">
        <f>'Home-Conversion'!F146</f>
        <v/>
      </c>
      <c r="H1180" s="8">
        <f>'Home-Conversion'!G146</f>
        <v/>
      </c>
      <c r="I1180" s="10">
        <f>'Home-Conversion'!H146</f>
        <v/>
      </c>
      <c r="J1180" s="10">
        <f>'Home-Conversion'!I146</f>
        <v/>
      </c>
      <c r="K1180" s="11">
        <f>'Home-Conversion'!J146</f>
        <v/>
      </c>
      <c r="L1180" s="12">
        <f>'Home-Conversion'!K146</f>
        <v/>
      </c>
      <c r="M1180" s="11">
        <f>'Home-Conversion'!N146</f>
        <v/>
      </c>
      <c r="N1180" s="8">
        <f>'Home-Conversion'!O146</f>
        <v/>
      </c>
      <c r="O1180" s="8">
        <f>'Home-Conversion'!P146</f>
        <v/>
      </c>
    </row>
    <row r="1181" ht="18" customHeight="1" s="96">
      <c r="A1181" s="2" t="inlineStr">
        <is>
          <t>Person C</t>
        </is>
      </c>
      <c r="B1181" s="2">
        <f>'Home-Conversion'!A147</f>
        <v/>
      </c>
      <c r="C1181" s="3">
        <f>'Home-Conversion'!B147</f>
        <v/>
      </c>
      <c r="D1181" s="3">
        <f>'Home-Conversion'!C147</f>
        <v/>
      </c>
      <c r="E1181" s="3">
        <f>'Home-Conversion'!D147</f>
        <v/>
      </c>
      <c r="F1181" s="3">
        <f>'Home-Conversion'!E147</f>
        <v/>
      </c>
      <c r="G1181" s="4">
        <f>'Home-Conversion'!F147</f>
        <v/>
      </c>
      <c r="H1181" s="3">
        <f>'Home-Conversion'!G147</f>
        <v/>
      </c>
      <c r="I1181" s="5">
        <f>'Home-Conversion'!H147</f>
        <v/>
      </c>
      <c r="J1181" s="5">
        <f>'Home-Conversion'!I147</f>
        <v/>
      </c>
      <c r="K1181" s="6">
        <f>'Home-Conversion'!J147</f>
        <v/>
      </c>
      <c r="L1181" s="13">
        <f>'Home-Conversion'!K147</f>
        <v/>
      </c>
      <c r="M1181" s="6">
        <f>'Home-Conversion'!N147</f>
        <v/>
      </c>
      <c r="N1181" s="3">
        <f>'Home-Conversion'!O147</f>
        <v/>
      </c>
      <c r="O1181" s="3">
        <f>'Home-Conversion'!P147</f>
        <v/>
      </c>
    </row>
    <row r="1182" ht="18" customHeight="1" s="96">
      <c r="A1182" s="93" t="inlineStr">
        <is>
          <t>Person C</t>
        </is>
      </c>
      <c r="B1182" s="93">
        <f>'Home-Conversion'!A148</f>
        <v/>
      </c>
      <c r="C1182" s="8">
        <f>'Home-Conversion'!B148</f>
        <v/>
      </c>
      <c r="D1182" s="8">
        <f>'Home-Conversion'!C148</f>
        <v/>
      </c>
      <c r="E1182" s="8">
        <f>'Home-Conversion'!D148</f>
        <v/>
      </c>
      <c r="F1182" s="8">
        <f>'Home-Conversion'!E148</f>
        <v/>
      </c>
      <c r="G1182" s="9">
        <f>'Home-Conversion'!F148</f>
        <v/>
      </c>
      <c r="H1182" s="8">
        <f>'Home-Conversion'!G148</f>
        <v/>
      </c>
      <c r="I1182" s="10">
        <f>'Home-Conversion'!H148</f>
        <v/>
      </c>
      <c r="J1182" s="10">
        <f>'Home-Conversion'!I148</f>
        <v/>
      </c>
      <c r="K1182" s="11">
        <f>'Home-Conversion'!J148</f>
        <v/>
      </c>
      <c r="L1182" s="12">
        <f>'Home-Conversion'!K148</f>
        <v/>
      </c>
      <c r="M1182" s="11">
        <f>'Home-Conversion'!N148</f>
        <v/>
      </c>
      <c r="N1182" s="8">
        <f>'Home-Conversion'!O148</f>
        <v/>
      </c>
      <c r="O1182" s="8">
        <f>'Home-Conversion'!P148</f>
        <v/>
      </c>
    </row>
    <row r="1183" ht="18" customHeight="1" s="96">
      <c r="A1183" s="2" t="inlineStr">
        <is>
          <t>Person C</t>
        </is>
      </c>
      <c r="B1183" s="2">
        <f>'Home-Conversion'!A149</f>
        <v/>
      </c>
      <c r="C1183" s="3">
        <f>'Home-Conversion'!B149</f>
        <v/>
      </c>
      <c r="D1183" s="3">
        <f>'Home-Conversion'!C149</f>
        <v/>
      </c>
      <c r="E1183" s="3">
        <f>'Home-Conversion'!D149</f>
        <v/>
      </c>
      <c r="F1183" s="3">
        <f>'Home-Conversion'!E149</f>
        <v/>
      </c>
      <c r="G1183" s="4">
        <f>'Home-Conversion'!F149</f>
        <v/>
      </c>
      <c r="H1183" s="3">
        <f>'Home-Conversion'!G149</f>
        <v/>
      </c>
      <c r="I1183" s="5">
        <f>'Home-Conversion'!H149</f>
        <v/>
      </c>
      <c r="J1183" s="5">
        <f>'Home-Conversion'!I149</f>
        <v/>
      </c>
      <c r="K1183" s="6">
        <f>'Home-Conversion'!J149</f>
        <v/>
      </c>
      <c r="L1183" s="13">
        <f>'Home-Conversion'!K149</f>
        <v/>
      </c>
      <c r="M1183" s="6">
        <f>'Home-Conversion'!N149</f>
        <v/>
      </c>
      <c r="N1183" s="3">
        <f>'Home-Conversion'!O149</f>
        <v/>
      </c>
      <c r="O1183" s="3">
        <f>'Home-Conversion'!P149</f>
        <v/>
      </c>
    </row>
    <row r="1184" ht="18" customHeight="1" s="96">
      <c r="A1184" s="93" t="inlineStr">
        <is>
          <t>Person C</t>
        </is>
      </c>
      <c r="B1184" s="93">
        <f>'Home-Conversion'!A150</f>
        <v/>
      </c>
      <c r="C1184" s="8">
        <f>'Home-Conversion'!B150</f>
        <v/>
      </c>
      <c r="D1184" s="8">
        <f>'Home-Conversion'!C150</f>
        <v/>
      </c>
      <c r="E1184" s="8">
        <f>'Home-Conversion'!D150</f>
        <v/>
      </c>
      <c r="F1184" s="8">
        <f>'Home-Conversion'!E150</f>
        <v/>
      </c>
      <c r="G1184" s="9">
        <f>'Home-Conversion'!F150</f>
        <v/>
      </c>
      <c r="H1184" s="8">
        <f>'Home-Conversion'!G150</f>
        <v/>
      </c>
      <c r="I1184" s="10">
        <f>'Home-Conversion'!H150</f>
        <v/>
      </c>
      <c r="J1184" s="10">
        <f>'Home-Conversion'!I150</f>
        <v/>
      </c>
      <c r="K1184" s="11">
        <f>'Home-Conversion'!J150</f>
        <v/>
      </c>
      <c r="L1184" s="12">
        <f>'Home-Conversion'!K150</f>
        <v/>
      </c>
      <c r="M1184" s="11">
        <f>'Home-Conversion'!N150</f>
        <v/>
      </c>
      <c r="N1184" s="8">
        <f>'Home-Conversion'!O150</f>
        <v/>
      </c>
      <c r="O1184" s="8">
        <f>'Home-Conversion'!P150</f>
        <v/>
      </c>
    </row>
    <row r="1185" ht="18" customHeight="1" s="96">
      <c r="A1185" s="2" t="inlineStr">
        <is>
          <t>Person C</t>
        </is>
      </c>
      <c r="B1185" s="2">
        <f>'Home-Conversion'!A151</f>
        <v/>
      </c>
      <c r="C1185" s="3">
        <f>'Home-Conversion'!B151</f>
        <v/>
      </c>
      <c r="D1185" s="3">
        <f>'Home-Conversion'!C151</f>
        <v/>
      </c>
      <c r="E1185" s="3">
        <f>'Home-Conversion'!D151</f>
        <v/>
      </c>
      <c r="F1185" s="3">
        <f>'Home-Conversion'!E151</f>
        <v/>
      </c>
      <c r="G1185" s="4">
        <f>'Home-Conversion'!F151</f>
        <v/>
      </c>
      <c r="H1185" s="3">
        <f>'Home-Conversion'!G151</f>
        <v/>
      </c>
      <c r="I1185" s="5">
        <f>'Home-Conversion'!H151</f>
        <v/>
      </c>
      <c r="J1185" s="5">
        <f>'Home-Conversion'!I151</f>
        <v/>
      </c>
      <c r="K1185" s="6">
        <f>'Home-Conversion'!J151</f>
        <v/>
      </c>
      <c r="L1185" s="13">
        <f>'Home-Conversion'!K151</f>
        <v/>
      </c>
      <c r="M1185" s="6">
        <f>'Home-Conversion'!N151</f>
        <v/>
      </c>
      <c r="N1185" s="3">
        <f>'Home-Conversion'!O151</f>
        <v/>
      </c>
      <c r="O1185" s="3">
        <f>'Home-Conversion'!P151</f>
        <v/>
      </c>
    </row>
    <row r="1186" ht="18" customHeight="1" s="96">
      <c r="A1186" s="93" t="inlineStr">
        <is>
          <t>Person C</t>
        </is>
      </c>
      <c r="B1186" s="93">
        <f>'Home-Conversion'!A152</f>
        <v/>
      </c>
      <c r="C1186" s="8">
        <f>'Home-Conversion'!B152</f>
        <v/>
      </c>
      <c r="D1186" s="8">
        <f>'Home-Conversion'!C152</f>
        <v/>
      </c>
      <c r="E1186" s="8">
        <f>'Home-Conversion'!D152</f>
        <v/>
      </c>
      <c r="F1186" s="8">
        <f>'Home-Conversion'!E152</f>
        <v/>
      </c>
      <c r="G1186" s="9">
        <f>'Home-Conversion'!F152</f>
        <v/>
      </c>
      <c r="H1186" s="8">
        <f>'Home-Conversion'!G152</f>
        <v/>
      </c>
      <c r="I1186" s="10">
        <f>'Home-Conversion'!H152</f>
        <v/>
      </c>
      <c r="J1186" s="10">
        <f>'Home-Conversion'!I152</f>
        <v/>
      </c>
      <c r="K1186" s="11">
        <f>'Home-Conversion'!J152</f>
        <v/>
      </c>
      <c r="L1186" s="12">
        <f>'Home-Conversion'!K152</f>
        <v/>
      </c>
      <c r="M1186" s="11">
        <f>'Home-Conversion'!N152</f>
        <v/>
      </c>
      <c r="N1186" s="8">
        <f>'Home-Conversion'!O152</f>
        <v/>
      </c>
      <c r="O1186" s="8">
        <f>'Home-Conversion'!P152</f>
        <v/>
      </c>
    </row>
    <row r="1187" ht="18" customHeight="1" s="96">
      <c r="A1187" s="2" t="inlineStr">
        <is>
          <t>Person C</t>
        </is>
      </c>
      <c r="B1187" s="2">
        <f>'Home-Conversion'!A153</f>
        <v/>
      </c>
      <c r="C1187" s="3">
        <f>'Home-Conversion'!B153</f>
        <v/>
      </c>
      <c r="D1187" s="3">
        <f>'Home-Conversion'!C153</f>
        <v/>
      </c>
      <c r="E1187" s="3">
        <f>'Home-Conversion'!D153</f>
        <v/>
      </c>
      <c r="F1187" s="3">
        <f>'Home-Conversion'!E153</f>
        <v/>
      </c>
      <c r="G1187" s="4">
        <f>'Home-Conversion'!F153</f>
        <v/>
      </c>
      <c r="H1187" s="3">
        <f>'Home-Conversion'!G153</f>
        <v/>
      </c>
      <c r="I1187" s="5">
        <f>'Home-Conversion'!H153</f>
        <v/>
      </c>
      <c r="J1187" s="5">
        <f>'Home-Conversion'!I153</f>
        <v/>
      </c>
      <c r="K1187" s="6">
        <f>'Home-Conversion'!J153</f>
        <v/>
      </c>
      <c r="L1187" s="13">
        <f>'Home-Conversion'!K153</f>
        <v/>
      </c>
      <c r="M1187" s="6">
        <f>'Home-Conversion'!N153</f>
        <v/>
      </c>
      <c r="N1187" s="3">
        <f>'Home-Conversion'!O153</f>
        <v/>
      </c>
      <c r="O1187" s="3">
        <f>'Home-Conversion'!P153</f>
        <v/>
      </c>
    </row>
    <row r="1188" ht="18" customHeight="1" s="96">
      <c r="A1188" s="93" t="inlineStr">
        <is>
          <t>Person C</t>
        </is>
      </c>
      <c r="B1188" s="93">
        <f>'Home-Conversion'!A154</f>
        <v/>
      </c>
      <c r="C1188" s="8">
        <f>'Home-Conversion'!B154</f>
        <v/>
      </c>
      <c r="D1188" s="8">
        <f>'Home-Conversion'!C154</f>
        <v/>
      </c>
      <c r="E1188" s="8">
        <f>'Home-Conversion'!D154</f>
        <v/>
      </c>
      <c r="F1188" s="8">
        <f>'Home-Conversion'!E154</f>
        <v/>
      </c>
      <c r="G1188" s="9">
        <f>'Home-Conversion'!F154</f>
        <v/>
      </c>
      <c r="H1188" s="8">
        <f>'Home-Conversion'!G154</f>
        <v/>
      </c>
      <c r="I1188" s="10">
        <f>'Home-Conversion'!H154</f>
        <v/>
      </c>
      <c r="J1188" s="10">
        <f>'Home-Conversion'!I154</f>
        <v/>
      </c>
      <c r="K1188" s="11">
        <f>'Home-Conversion'!J154</f>
        <v/>
      </c>
      <c r="L1188" s="12">
        <f>'Home-Conversion'!K154</f>
        <v/>
      </c>
      <c r="M1188" s="11">
        <f>'Home-Conversion'!N154</f>
        <v/>
      </c>
      <c r="N1188" s="8">
        <f>'Home-Conversion'!O154</f>
        <v/>
      </c>
      <c r="O1188" s="8">
        <f>'Home-Conversion'!P154</f>
        <v/>
      </c>
    </row>
    <row r="1189" ht="18" customHeight="1" s="96">
      <c r="A1189" s="2" t="inlineStr">
        <is>
          <t>Person C</t>
        </is>
      </c>
      <c r="B1189" s="2">
        <f>'Home-Conversion'!A155</f>
        <v/>
      </c>
      <c r="C1189" s="3">
        <f>'Home-Conversion'!B155</f>
        <v/>
      </c>
      <c r="D1189" s="3">
        <f>'Home-Conversion'!C155</f>
        <v/>
      </c>
      <c r="E1189" s="3">
        <f>'Home-Conversion'!D155</f>
        <v/>
      </c>
      <c r="F1189" s="3">
        <f>'Home-Conversion'!E155</f>
        <v/>
      </c>
      <c r="G1189" s="4">
        <f>'Home-Conversion'!F155</f>
        <v/>
      </c>
      <c r="H1189" s="3">
        <f>'Home-Conversion'!G155</f>
        <v/>
      </c>
      <c r="I1189" s="5">
        <f>'Home-Conversion'!H155</f>
        <v/>
      </c>
      <c r="J1189" s="5">
        <f>'Home-Conversion'!I155</f>
        <v/>
      </c>
      <c r="K1189" s="6">
        <f>'Home-Conversion'!J155</f>
        <v/>
      </c>
      <c r="L1189" s="13">
        <f>'Home-Conversion'!K155</f>
        <v/>
      </c>
      <c r="M1189" s="6">
        <f>'Home-Conversion'!N155</f>
        <v/>
      </c>
      <c r="N1189" s="3">
        <f>'Home-Conversion'!O155</f>
        <v/>
      </c>
      <c r="O1189" s="3">
        <f>'Home-Conversion'!P155</f>
        <v/>
      </c>
    </row>
    <row r="1190" ht="18" customHeight="1" s="96">
      <c r="A1190" s="93" t="inlineStr">
        <is>
          <t>Person C</t>
        </is>
      </c>
      <c r="B1190" s="93">
        <f>'Home-Conversion'!A156</f>
        <v/>
      </c>
      <c r="C1190" s="8">
        <f>'Home-Conversion'!B156</f>
        <v/>
      </c>
      <c r="D1190" s="8">
        <f>'Home-Conversion'!C156</f>
        <v/>
      </c>
      <c r="E1190" s="8">
        <f>'Home-Conversion'!D156</f>
        <v/>
      </c>
      <c r="F1190" s="8">
        <f>'Home-Conversion'!E156</f>
        <v/>
      </c>
      <c r="G1190" s="9">
        <f>'Home-Conversion'!F156</f>
        <v/>
      </c>
      <c r="H1190" s="8">
        <f>'Home-Conversion'!G156</f>
        <v/>
      </c>
      <c r="I1190" s="10">
        <f>'Home-Conversion'!H156</f>
        <v/>
      </c>
      <c r="J1190" s="10">
        <f>'Home-Conversion'!I156</f>
        <v/>
      </c>
      <c r="K1190" s="11">
        <f>'Home-Conversion'!J156</f>
        <v/>
      </c>
      <c r="L1190" s="12">
        <f>'Home-Conversion'!K156</f>
        <v/>
      </c>
      <c r="M1190" s="11">
        <f>'Home-Conversion'!N156</f>
        <v/>
      </c>
      <c r="N1190" s="8">
        <f>'Home-Conversion'!O156</f>
        <v/>
      </c>
      <c r="O1190" s="8">
        <f>'Home-Conversion'!P156</f>
        <v/>
      </c>
    </row>
    <row r="1191" ht="18" customHeight="1" s="96">
      <c r="A1191" s="2" t="inlineStr">
        <is>
          <t>Person C</t>
        </is>
      </c>
      <c r="B1191" s="2">
        <f>'Home-Conversion'!A157</f>
        <v/>
      </c>
      <c r="C1191" s="3">
        <f>'Home-Conversion'!B157</f>
        <v/>
      </c>
      <c r="D1191" s="3">
        <f>'Home-Conversion'!C157</f>
        <v/>
      </c>
      <c r="E1191" s="3">
        <f>'Home-Conversion'!D157</f>
        <v/>
      </c>
      <c r="F1191" s="3">
        <f>'Home-Conversion'!E157</f>
        <v/>
      </c>
      <c r="G1191" s="4">
        <f>'Home-Conversion'!F157</f>
        <v/>
      </c>
      <c r="H1191" s="3">
        <f>'Home-Conversion'!G157</f>
        <v/>
      </c>
      <c r="I1191" s="5">
        <f>'Home-Conversion'!H157</f>
        <v/>
      </c>
      <c r="J1191" s="5">
        <f>'Home-Conversion'!I157</f>
        <v/>
      </c>
      <c r="K1191" s="6">
        <f>'Home-Conversion'!J157</f>
        <v/>
      </c>
      <c r="L1191" s="13">
        <f>'Home-Conversion'!K157</f>
        <v/>
      </c>
      <c r="M1191" s="6">
        <f>'Home-Conversion'!N157</f>
        <v/>
      </c>
      <c r="N1191" s="3">
        <f>'Home-Conversion'!O157</f>
        <v/>
      </c>
      <c r="O1191" s="3">
        <f>'Home-Conversion'!P157</f>
        <v/>
      </c>
    </row>
    <row r="1192" ht="18" customHeight="1" s="96">
      <c r="A1192" s="93" t="inlineStr">
        <is>
          <t>Person C</t>
        </is>
      </c>
      <c r="B1192" s="93">
        <f>'Home-Conversion'!A158</f>
        <v/>
      </c>
      <c r="C1192" s="8">
        <f>'Home-Conversion'!B158</f>
        <v/>
      </c>
      <c r="D1192" s="8">
        <f>'Home-Conversion'!C158</f>
        <v/>
      </c>
      <c r="E1192" s="8">
        <f>'Home-Conversion'!D158</f>
        <v/>
      </c>
      <c r="F1192" s="8">
        <f>'Home-Conversion'!E158</f>
        <v/>
      </c>
      <c r="G1192" s="9">
        <f>'Home-Conversion'!F158</f>
        <v/>
      </c>
      <c r="H1192" s="8">
        <f>'Home-Conversion'!G158</f>
        <v/>
      </c>
      <c r="I1192" s="10">
        <f>'Home-Conversion'!H158</f>
        <v/>
      </c>
      <c r="J1192" s="10">
        <f>'Home-Conversion'!I158</f>
        <v/>
      </c>
      <c r="K1192" s="11">
        <f>'Home-Conversion'!J158</f>
        <v/>
      </c>
      <c r="L1192" s="12">
        <f>'Home-Conversion'!K158</f>
        <v/>
      </c>
      <c r="M1192" s="11">
        <f>'Home-Conversion'!N158</f>
        <v/>
      </c>
      <c r="N1192" s="8">
        <f>'Home-Conversion'!O158</f>
        <v/>
      </c>
      <c r="O1192" s="8">
        <f>'Home-Conversion'!P158</f>
        <v/>
      </c>
    </row>
    <row r="1193" ht="18" customHeight="1" s="96">
      <c r="A1193" s="2" t="inlineStr">
        <is>
          <t>Person C</t>
        </is>
      </c>
      <c r="B1193" s="2">
        <f>'Home-Conversion'!A159</f>
        <v/>
      </c>
      <c r="C1193" s="3">
        <f>'Home-Conversion'!B159</f>
        <v/>
      </c>
      <c r="D1193" s="3">
        <f>'Home-Conversion'!C159</f>
        <v/>
      </c>
      <c r="E1193" s="3">
        <f>'Home-Conversion'!D159</f>
        <v/>
      </c>
      <c r="F1193" s="3">
        <f>'Home-Conversion'!E159</f>
        <v/>
      </c>
      <c r="G1193" s="4">
        <f>'Home-Conversion'!F159</f>
        <v/>
      </c>
      <c r="H1193" s="3">
        <f>'Home-Conversion'!G159</f>
        <v/>
      </c>
      <c r="I1193" s="5">
        <f>'Home-Conversion'!H159</f>
        <v/>
      </c>
      <c r="J1193" s="5">
        <f>'Home-Conversion'!I159</f>
        <v/>
      </c>
      <c r="K1193" s="6">
        <f>'Home-Conversion'!J159</f>
        <v/>
      </c>
      <c r="L1193" s="13">
        <f>'Home-Conversion'!K159</f>
        <v/>
      </c>
      <c r="M1193" s="6">
        <f>'Home-Conversion'!N159</f>
        <v/>
      </c>
      <c r="N1193" s="3">
        <f>'Home-Conversion'!O159</f>
        <v/>
      </c>
      <c r="O1193" s="3">
        <f>'Home-Conversion'!P159</f>
        <v/>
      </c>
    </row>
    <row r="1194" ht="18" customHeight="1" s="96">
      <c r="A1194" s="93" t="inlineStr">
        <is>
          <t>Person C</t>
        </is>
      </c>
      <c r="B1194" s="93">
        <f>'Home-Conversion'!A160</f>
        <v/>
      </c>
      <c r="C1194" s="8">
        <f>'Home-Conversion'!B160</f>
        <v/>
      </c>
      <c r="D1194" s="8">
        <f>'Home-Conversion'!C160</f>
        <v/>
      </c>
      <c r="E1194" s="8">
        <f>'Home-Conversion'!D160</f>
        <v/>
      </c>
      <c r="F1194" s="8">
        <f>'Home-Conversion'!E160</f>
        <v/>
      </c>
      <c r="G1194" s="9">
        <f>'Home-Conversion'!F160</f>
        <v/>
      </c>
      <c r="H1194" s="8">
        <f>'Home-Conversion'!G160</f>
        <v/>
      </c>
      <c r="I1194" s="10">
        <f>'Home-Conversion'!H160</f>
        <v/>
      </c>
      <c r="J1194" s="10">
        <f>'Home-Conversion'!I160</f>
        <v/>
      </c>
      <c r="K1194" s="11">
        <f>'Home-Conversion'!J160</f>
        <v/>
      </c>
      <c r="L1194" s="12">
        <f>'Home-Conversion'!K160</f>
        <v/>
      </c>
      <c r="M1194" s="11">
        <f>'Home-Conversion'!N160</f>
        <v/>
      </c>
      <c r="N1194" s="8">
        <f>'Home-Conversion'!O160</f>
        <v/>
      </c>
      <c r="O1194" s="8">
        <f>'Home-Conversion'!P160</f>
        <v/>
      </c>
    </row>
    <row r="1195" ht="18" customHeight="1" s="96">
      <c r="A1195" s="2" t="inlineStr">
        <is>
          <t>Person C</t>
        </is>
      </c>
      <c r="B1195" s="2">
        <f>'Home-Conversion'!A161</f>
        <v/>
      </c>
      <c r="C1195" s="3">
        <f>'Home-Conversion'!B161</f>
        <v/>
      </c>
      <c r="D1195" s="3">
        <f>'Home-Conversion'!C161</f>
        <v/>
      </c>
      <c r="E1195" s="3">
        <f>'Home-Conversion'!D161</f>
        <v/>
      </c>
      <c r="F1195" s="3">
        <f>'Home-Conversion'!E161</f>
        <v/>
      </c>
      <c r="G1195" s="4">
        <f>'Home-Conversion'!F161</f>
        <v/>
      </c>
      <c r="H1195" s="3">
        <f>'Home-Conversion'!G161</f>
        <v/>
      </c>
      <c r="I1195" s="5">
        <f>'Home-Conversion'!H161</f>
        <v/>
      </c>
      <c r="J1195" s="5">
        <f>'Home-Conversion'!I161</f>
        <v/>
      </c>
      <c r="K1195" s="6">
        <f>'Home-Conversion'!J161</f>
        <v/>
      </c>
      <c r="L1195" s="13">
        <f>'Home-Conversion'!K161</f>
        <v/>
      </c>
      <c r="M1195" s="6">
        <f>'Home-Conversion'!N161</f>
        <v/>
      </c>
      <c r="N1195" s="3">
        <f>'Home-Conversion'!O161</f>
        <v/>
      </c>
      <c r="O1195" s="3">
        <f>'Home-Conversion'!P161</f>
        <v/>
      </c>
    </row>
    <row r="1196" ht="18" customHeight="1" s="96">
      <c r="A1196" s="93" t="inlineStr">
        <is>
          <t>Person C</t>
        </is>
      </c>
      <c r="B1196" s="93">
        <f>'Home-Conversion'!A162</f>
        <v/>
      </c>
      <c r="C1196" s="8">
        <f>'Home-Conversion'!B162</f>
        <v/>
      </c>
      <c r="D1196" s="8">
        <f>'Home-Conversion'!C162</f>
        <v/>
      </c>
      <c r="E1196" s="8">
        <f>'Home-Conversion'!D162</f>
        <v/>
      </c>
      <c r="F1196" s="8">
        <f>'Home-Conversion'!E162</f>
        <v/>
      </c>
      <c r="G1196" s="9">
        <f>'Home-Conversion'!F162</f>
        <v/>
      </c>
      <c r="H1196" s="8">
        <f>'Home-Conversion'!G162</f>
        <v/>
      </c>
      <c r="I1196" s="10">
        <f>'Home-Conversion'!H162</f>
        <v/>
      </c>
      <c r="J1196" s="10">
        <f>'Home-Conversion'!I162</f>
        <v/>
      </c>
      <c r="K1196" s="11">
        <f>'Home-Conversion'!J162</f>
        <v/>
      </c>
      <c r="L1196" s="12">
        <f>'Home-Conversion'!K162</f>
        <v/>
      </c>
      <c r="M1196" s="11">
        <f>'Home-Conversion'!N162</f>
        <v/>
      </c>
      <c r="N1196" s="8">
        <f>'Home-Conversion'!O162</f>
        <v/>
      </c>
      <c r="O1196" s="8">
        <f>'Home-Conversion'!P162</f>
        <v/>
      </c>
    </row>
    <row r="1197" ht="18" customHeight="1" s="96">
      <c r="A1197" s="2" t="inlineStr">
        <is>
          <t>Person C</t>
        </is>
      </c>
      <c r="B1197" s="2">
        <f>'Home-Conversion'!A163</f>
        <v/>
      </c>
      <c r="C1197" s="3">
        <f>'Home-Conversion'!B163</f>
        <v/>
      </c>
      <c r="D1197" s="3">
        <f>'Home-Conversion'!C163</f>
        <v/>
      </c>
      <c r="E1197" s="3">
        <f>'Home-Conversion'!D163</f>
        <v/>
      </c>
      <c r="F1197" s="3">
        <f>'Home-Conversion'!E163</f>
        <v/>
      </c>
      <c r="G1197" s="4">
        <f>'Home-Conversion'!F163</f>
        <v/>
      </c>
      <c r="H1197" s="3">
        <f>'Home-Conversion'!G163</f>
        <v/>
      </c>
      <c r="I1197" s="5">
        <f>'Home-Conversion'!H163</f>
        <v/>
      </c>
      <c r="J1197" s="5">
        <f>'Home-Conversion'!I163</f>
        <v/>
      </c>
      <c r="K1197" s="6">
        <f>'Home-Conversion'!J163</f>
        <v/>
      </c>
      <c r="L1197" s="13">
        <f>'Home-Conversion'!K163</f>
        <v/>
      </c>
      <c r="M1197" s="6">
        <f>'Home-Conversion'!N163</f>
        <v/>
      </c>
      <c r="N1197" s="3">
        <f>'Home-Conversion'!O163</f>
        <v/>
      </c>
      <c r="O1197" s="3">
        <f>'Home-Conversion'!P163</f>
        <v/>
      </c>
    </row>
    <row r="1198" ht="18" customHeight="1" s="96">
      <c r="A1198" s="93" t="inlineStr">
        <is>
          <t>Person C</t>
        </is>
      </c>
      <c r="B1198" s="93">
        <f>'Home-Conversion'!A164</f>
        <v/>
      </c>
      <c r="C1198" s="8">
        <f>'Home-Conversion'!B164</f>
        <v/>
      </c>
      <c r="D1198" s="8">
        <f>'Home-Conversion'!C164</f>
        <v/>
      </c>
      <c r="E1198" s="8">
        <f>'Home-Conversion'!D164</f>
        <v/>
      </c>
      <c r="F1198" s="8">
        <f>'Home-Conversion'!E164</f>
        <v/>
      </c>
      <c r="G1198" s="9">
        <f>'Home-Conversion'!F164</f>
        <v/>
      </c>
      <c r="H1198" s="8">
        <f>'Home-Conversion'!G164</f>
        <v/>
      </c>
      <c r="I1198" s="10">
        <f>'Home-Conversion'!H164</f>
        <v/>
      </c>
      <c r="J1198" s="10">
        <f>'Home-Conversion'!I164</f>
        <v/>
      </c>
      <c r="K1198" s="11">
        <f>'Home-Conversion'!J164</f>
        <v/>
      </c>
      <c r="L1198" s="12">
        <f>'Home-Conversion'!K164</f>
        <v/>
      </c>
      <c r="M1198" s="11">
        <f>'Home-Conversion'!N164</f>
        <v/>
      </c>
      <c r="N1198" s="8">
        <f>'Home-Conversion'!O164</f>
        <v/>
      </c>
      <c r="O1198" s="8">
        <f>'Home-Conversion'!P164</f>
        <v/>
      </c>
    </row>
    <row r="1199" ht="18" customHeight="1" s="96">
      <c r="A1199" s="2" t="inlineStr">
        <is>
          <t>Person C</t>
        </is>
      </c>
      <c r="B1199" s="2">
        <f>'Home-Conversion'!A165</f>
        <v/>
      </c>
      <c r="C1199" s="3">
        <f>'Home-Conversion'!B165</f>
        <v/>
      </c>
      <c r="D1199" s="3">
        <f>'Home-Conversion'!C165</f>
        <v/>
      </c>
      <c r="E1199" s="3">
        <f>'Home-Conversion'!D165</f>
        <v/>
      </c>
      <c r="F1199" s="3">
        <f>'Home-Conversion'!E165</f>
        <v/>
      </c>
      <c r="G1199" s="4">
        <f>'Home-Conversion'!F165</f>
        <v/>
      </c>
      <c r="H1199" s="3">
        <f>'Home-Conversion'!G165</f>
        <v/>
      </c>
      <c r="I1199" s="5">
        <f>'Home-Conversion'!H165</f>
        <v/>
      </c>
      <c r="J1199" s="5">
        <f>'Home-Conversion'!I165</f>
        <v/>
      </c>
      <c r="K1199" s="6">
        <f>'Home-Conversion'!J165</f>
        <v/>
      </c>
      <c r="L1199" s="13">
        <f>'Home-Conversion'!K165</f>
        <v/>
      </c>
      <c r="M1199" s="6">
        <f>'Home-Conversion'!N165</f>
        <v/>
      </c>
      <c r="N1199" s="3">
        <f>'Home-Conversion'!O165</f>
        <v/>
      </c>
      <c r="O1199" s="3">
        <f>'Home-Conversion'!P165</f>
        <v/>
      </c>
    </row>
    <row r="1200" ht="18" customHeight="1" s="96">
      <c r="A1200" s="93" t="inlineStr">
        <is>
          <t>Person C</t>
        </is>
      </c>
      <c r="B1200" s="93">
        <f>'Home-Conversion'!A166</f>
        <v/>
      </c>
      <c r="C1200" s="8">
        <f>'Home-Conversion'!B166</f>
        <v/>
      </c>
      <c r="D1200" s="8">
        <f>'Home-Conversion'!C166</f>
        <v/>
      </c>
      <c r="E1200" s="8">
        <f>'Home-Conversion'!D166</f>
        <v/>
      </c>
      <c r="F1200" s="8">
        <f>'Home-Conversion'!E166</f>
        <v/>
      </c>
      <c r="G1200" s="9">
        <f>'Home-Conversion'!F166</f>
        <v/>
      </c>
      <c r="H1200" s="8">
        <f>'Home-Conversion'!G166</f>
        <v/>
      </c>
      <c r="I1200" s="10">
        <f>'Home-Conversion'!H166</f>
        <v/>
      </c>
      <c r="J1200" s="10">
        <f>'Home-Conversion'!I166</f>
        <v/>
      </c>
      <c r="K1200" s="11">
        <f>'Home-Conversion'!J166</f>
        <v/>
      </c>
      <c r="L1200" s="12">
        <f>'Home-Conversion'!K166</f>
        <v/>
      </c>
      <c r="M1200" s="11">
        <f>'Home-Conversion'!N166</f>
        <v/>
      </c>
      <c r="N1200" s="8">
        <f>'Home-Conversion'!O166</f>
        <v/>
      </c>
      <c r="O1200" s="8">
        <f>'Home-Conversion'!P166</f>
        <v/>
      </c>
    </row>
    <row r="1201" ht="18" customHeight="1" s="96">
      <c r="A1201" s="2" t="inlineStr">
        <is>
          <t>Person C</t>
        </is>
      </c>
      <c r="B1201" s="2">
        <f>'Home-Conversion'!A167</f>
        <v/>
      </c>
      <c r="C1201" s="3">
        <f>'Home-Conversion'!B167</f>
        <v/>
      </c>
      <c r="D1201" s="3">
        <f>'Home-Conversion'!C167</f>
        <v/>
      </c>
      <c r="E1201" s="3">
        <f>'Home-Conversion'!D167</f>
        <v/>
      </c>
      <c r="F1201" s="3">
        <f>'Home-Conversion'!E167</f>
        <v/>
      </c>
      <c r="G1201" s="4">
        <f>'Home-Conversion'!F167</f>
        <v/>
      </c>
      <c r="H1201" s="3">
        <f>'Home-Conversion'!G167</f>
        <v/>
      </c>
      <c r="I1201" s="5">
        <f>'Home-Conversion'!H167</f>
        <v/>
      </c>
      <c r="J1201" s="5">
        <f>'Home-Conversion'!I167</f>
        <v/>
      </c>
      <c r="K1201" s="6">
        <f>'Home-Conversion'!J167</f>
        <v/>
      </c>
      <c r="L1201" s="13">
        <f>'Home-Conversion'!K167</f>
        <v/>
      </c>
      <c r="M1201" s="6">
        <f>'Home-Conversion'!N167</f>
        <v/>
      </c>
      <c r="N1201" s="3">
        <f>'Home-Conversion'!O167</f>
        <v/>
      </c>
      <c r="O1201" s="3">
        <f>'Home-Conversion'!P167</f>
        <v/>
      </c>
    </row>
    <row r="1202" ht="18" customHeight="1" s="96">
      <c r="A1202" s="93" t="inlineStr">
        <is>
          <t>Person C</t>
        </is>
      </c>
      <c r="B1202" s="93">
        <f>'Home-Conversion'!A168</f>
        <v/>
      </c>
      <c r="C1202" s="8">
        <f>'Home-Conversion'!B168</f>
        <v/>
      </c>
      <c r="D1202" s="8">
        <f>'Home-Conversion'!C168</f>
        <v/>
      </c>
      <c r="E1202" s="8">
        <f>'Home-Conversion'!D168</f>
        <v/>
      </c>
      <c r="F1202" s="8">
        <f>'Home-Conversion'!E168</f>
        <v/>
      </c>
      <c r="G1202" s="9">
        <f>'Home-Conversion'!F168</f>
        <v/>
      </c>
      <c r="H1202" s="8">
        <f>'Home-Conversion'!G168</f>
        <v/>
      </c>
      <c r="I1202" s="10">
        <f>'Home-Conversion'!H168</f>
        <v/>
      </c>
      <c r="J1202" s="10">
        <f>'Home-Conversion'!I168</f>
        <v/>
      </c>
      <c r="K1202" s="11">
        <f>'Home-Conversion'!J168</f>
        <v/>
      </c>
      <c r="L1202" s="12">
        <f>'Home-Conversion'!K168</f>
        <v/>
      </c>
      <c r="M1202" s="11">
        <f>'Home-Conversion'!N168</f>
        <v/>
      </c>
      <c r="N1202" s="8">
        <f>'Home-Conversion'!O168</f>
        <v/>
      </c>
      <c r="O1202" s="8">
        <f>'Home-Conversion'!P168</f>
        <v/>
      </c>
    </row>
    <row r="1203" ht="18" customHeight="1" s="96">
      <c r="A1203" s="2" t="inlineStr">
        <is>
          <t>Person C</t>
        </is>
      </c>
      <c r="B1203" s="2">
        <f>'Home-Conversion'!A169</f>
        <v/>
      </c>
      <c r="C1203" s="3">
        <f>'Home-Conversion'!B169</f>
        <v/>
      </c>
      <c r="D1203" s="3">
        <f>'Home-Conversion'!C169</f>
        <v/>
      </c>
      <c r="E1203" s="3">
        <f>'Home-Conversion'!D169</f>
        <v/>
      </c>
      <c r="F1203" s="3">
        <f>'Home-Conversion'!E169</f>
        <v/>
      </c>
      <c r="G1203" s="4">
        <f>'Home-Conversion'!F169</f>
        <v/>
      </c>
      <c r="H1203" s="3">
        <f>'Home-Conversion'!G169</f>
        <v/>
      </c>
      <c r="I1203" s="5">
        <f>'Home-Conversion'!H169</f>
        <v/>
      </c>
      <c r="J1203" s="5">
        <f>'Home-Conversion'!I169</f>
        <v/>
      </c>
      <c r="K1203" s="6">
        <f>'Home-Conversion'!J169</f>
        <v/>
      </c>
      <c r="L1203" s="13">
        <f>'Home-Conversion'!K169</f>
        <v/>
      </c>
      <c r="M1203" s="6">
        <f>'Home-Conversion'!N169</f>
        <v/>
      </c>
      <c r="N1203" s="3">
        <f>'Home-Conversion'!O169</f>
        <v/>
      </c>
      <c r="O1203" s="3">
        <f>'Home-Conversion'!P169</f>
        <v/>
      </c>
    </row>
    <row r="1204" ht="18" customHeight="1" s="96">
      <c r="A1204" s="93" t="inlineStr">
        <is>
          <t>Person C</t>
        </is>
      </c>
      <c r="B1204" s="93">
        <f>'Home-Conversion'!A170</f>
        <v/>
      </c>
      <c r="C1204" s="8">
        <f>'Home-Conversion'!B170</f>
        <v/>
      </c>
      <c r="D1204" s="8">
        <f>'Home-Conversion'!C170</f>
        <v/>
      </c>
      <c r="E1204" s="8">
        <f>'Home-Conversion'!D170</f>
        <v/>
      </c>
      <c r="F1204" s="8">
        <f>'Home-Conversion'!E170</f>
        <v/>
      </c>
      <c r="G1204" s="9">
        <f>'Home-Conversion'!F170</f>
        <v/>
      </c>
      <c r="H1204" s="8">
        <f>'Home-Conversion'!G170</f>
        <v/>
      </c>
      <c r="I1204" s="10">
        <f>'Home-Conversion'!H170</f>
        <v/>
      </c>
      <c r="J1204" s="10">
        <f>'Home-Conversion'!I170</f>
        <v/>
      </c>
      <c r="K1204" s="11">
        <f>'Home-Conversion'!J170</f>
        <v/>
      </c>
      <c r="L1204" s="12">
        <f>'Home-Conversion'!K170</f>
        <v/>
      </c>
      <c r="M1204" s="11">
        <f>'Home-Conversion'!N170</f>
        <v/>
      </c>
      <c r="N1204" s="8">
        <f>'Home-Conversion'!O170</f>
        <v/>
      </c>
      <c r="O1204" s="8">
        <f>'Home-Conversion'!P170</f>
        <v/>
      </c>
    </row>
    <row r="1205" ht="18" customHeight="1" s="96">
      <c r="A1205" s="2" t="inlineStr">
        <is>
          <t>Person C</t>
        </is>
      </c>
      <c r="B1205" s="2">
        <f>'Home-Conversion'!A171</f>
        <v/>
      </c>
      <c r="C1205" s="3">
        <f>'Home-Conversion'!B171</f>
        <v/>
      </c>
      <c r="D1205" s="3">
        <f>'Home-Conversion'!C171</f>
        <v/>
      </c>
      <c r="E1205" s="3">
        <f>'Home-Conversion'!D171</f>
        <v/>
      </c>
      <c r="F1205" s="3">
        <f>'Home-Conversion'!E171</f>
        <v/>
      </c>
      <c r="G1205" s="4">
        <f>'Home-Conversion'!F171</f>
        <v/>
      </c>
      <c r="H1205" s="3">
        <f>'Home-Conversion'!G171</f>
        <v/>
      </c>
      <c r="I1205" s="5">
        <f>'Home-Conversion'!H171</f>
        <v/>
      </c>
      <c r="J1205" s="5">
        <f>'Home-Conversion'!I171</f>
        <v/>
      </c>
      <c r="K1205" s="6">
        <f>'Home-Conversion'!J171</f>
        <v/>
      </c>
      <c r="L1205" s="13">
        <f>'Home-Conversion'!K171</f>
        <v/>
      </c>
      <c r="M1205" s="6">
        <f>'Home-Conversion'!N171</f>
        <v/>
      </c>
      <c r="N1205" s="3">
        <f>'Home-Conversion'!O171</f>
        <v/>
      </c>
      <c r="O1205" s="3">
        <f>'Home-Conversion'!P171</f>
        <v/>
      </c>
    </row>
    <row r="1206" ht="18" customHeight="1" s="96">
      <c r="A1206" s="93" t="inlineStr">
        <is>
          <t>Person C</t>
        </is>
      </c>
      <c r="B1206" s="93">
        <f>'Home-Conversion'!A172</f>
        <v/>
      </c>
      <c r="C1206" s="8">
        <f>'Home-Conversion'!B172</f>
        <v/>
      </c>
      <c r="D1206" s="8">
        <f>'Home-Conversion'!C172</f>
        <v/>
      </c>
      <c r="E1206" s="8">
        <f>'Home-Conversion'!D172</f>
        <v/>
      </c>
      <c r="F1206" s="8">
        <f>'Home-Conversion'!E172</f>
        <v/>
      </c>
      <c r="G1206" s="9">
        <f>'Home-Conversion'!F172</f>
        <v/>
      </c>
      <c r="H1206" s="8">
        <f>'Home-Conversion'!G172</f>
        <v/>
      </c>
      <c r="I1206" s="10">
        <f>'Home-Conversion'!H172</f>
        <v/>
      </c>
      <c r="J1206" s="10">
        <f>'Home-Conversion'!I172</f>
        <v/>
      </c>
      <c r="K1206" s="11">
        <f>'Home-Conversion'!J172</f>
        <v/>
      </c>
      <c r="L1206" s="12">
        <f>'Home-Conversion'!K172</f>
        <v/>
      </c>
      <c r="M1206" s="11">
        <f>'Home-Conversion'!N172</f>
        <v/>
      </c>
      <c r="N1206" s="8">
        <f>'Home-Conversion'!O172</f>
        <v/>
      </c>
      <c r="O1206" s="8">
        <f>'Home-Conversion'!P172</f>
        <v/>
      </c>
    </row>
    <row r="1207" ht="18" customHeight="1" s="96">
      <c r="A1207" s="2" t="inlineStr">
        <is>
          <t>Person C</t>
        </is>
      </c>
      <c r="B1207" s="2">
        <f>'Home-Conversion'!A173</f>
        <v/>
      </c>
      <c r="C1207" s="3">
        <f>'Home-Conversion'!B173</f>
        <v/>
      </c>
      <c r="D1207" s="3">
        <f>'Home-Conversion'!C173</f>
        <v/>
      </c>
      <c r="E1207" s="3">
        <f>'Home-Conversion'!D173</f>
        <v/>
      </c>
      <c r="F1207" s="3">
        <f>'Home-Conversion'!E173</f>
        <v/>
      </c>
      <c r="G1207" s="4">
        <f>'Home-Conversion'!F173</f>
        <v/>
      </c>
      <c r="H1207" s="3">
        <f>'Home-Conversion'!G173</f>
        <v/>
      </c>
      <c r="I1207" s="5">
        <f>'Home-Conversion'!H173</f>
        <v/>
      </c>
      <c r="J1207" s="5">
        <f>'Home-Conversion'!I173</f>
        <v/>
      </c>
      <c r="K1207" s="6">
        <f>'Home-Conversion'!J173</f>
        <v/>
      </c>
      <c r="L1207" s="13">
        <f>'Home-Conversion'!K173</f>
        <v/>
      </c>
      <c r="M1207" s="6">
        <f>'Home-Conversion'!N173</f>
        <v/>
      </c>
      <c r="N1207" s="3">
        <f>'Home-Conversion'!O173</f>
        <v/>
      </c>
      <c r="O1207" s="3">
        <f>'Home-Conversion'!P173</f>
        <v/>
      </c>
    </row>
    <row r="1208" ht="18" customHeight="1" s="96">
      <c r="A1208" s="93" t="inlineStr">
        <is>
          <t>Person C</t>
        </is>
      </c>
      <c r="B1208" s="93">
        <f>'Home-Conversion'!A174</f>
        <v/>
      </c>
      <c r="C1208" s="8">
        <f>'Home-Conversion'!B174</f>
        <v/>
      </c>
      <c r="D1208" s="8">
        <f>'Home-Conversion'!C174</f>
        <v/>
      </c>
      <c r="E1208" s="8">
        <f>'Home-Conversion'!D174</f>
        <v/>
      </c>
      <c r="F1208" s="8">
        <f>'Home-Conversion'!E174</f>
        <v/>
      </c>
      <c r="G1208" s="9">
        <f>'Home-Conversion'!F174</f>
        <v/>
      </c>
      <c r="H1208" s="8">
        <f>'Home-Conversion'!G174</f>
        <v/>
      </c>
      <c r="I1208" s="10">
        <f>'Home-Conversion'!H174</f>
        <v/>
      </c>
      <c r="J1208" s="10">
        <f>'Home-Conversion'!I174</f>
        <v/>
      </c>
      <c r="K1208" s="11">
        <f>'Home-Conversion'!J174</f>
        <v/>
      </c>
      <c r="L1208" s="12">
        <f>'Home-Conversion'!K174</f>
        <v/>
      </c>
      <c r="M1208" s="11">
        <f>'Home-Conversion'!N174</f>
        <v/>
      </c>
      <c r="N1208" s="8">
        <f>'Home-Conversion'!O174</f>
        <v/>
      </c>
      <c r="O1208" s="8">
        <f>'Home-Conversion'!P174</f>
        <v/>
      </c>
    </row>
    <row r="1209" ht="18" customHeight="1" s="96">
      <c r="A1209" s="2" t="inlineStr">
        <is>
          <t>Person C</t>
        </is>
      </c>
      <c r="B1209" s="2">
        <f>'Home-Conversion'!A175</f>
        <v/>
      </c>
      <c r="C1209" s="3">
        <f>'Home-Conversion'!B175</f>
        <v/>
      </c>
      <c r="D1209" s="3">
        <f>'Home-Conversion'!C175</f>
        <v/>
      </c>
      <c r="E1209" s="3">
        <f>'Home-Conversion'!D175</f>
        <v/>
      </c>
      <c r="F1209" s="3">
        <f>'Home-Conversion'!E175</f>
        <v/>
      </c>
      <c r="G1209" s="4">
        <f>'Home-Conversion'!F175</f>
        <v/>
      </c>
      <c r="H1209" s="3">
        <f>'Home-Conversion'!G175</f>
        <v/>
      </c>
      <c r="I1209" s="5">
        <f>'Home-Conversion'!H175</f>
        <v/>
      </c>
      <c r="J1209" s="5">
        <f>'Home-Conversion'!I175</f>
        <v/>
      </c>
      <c r="K1209" s="6">
        <f>'Home-Conversion'!J175</f>
        <v/>
      </c>
      <c r="L1209" s="13">
        <f>'Home-Conversion'!K175</f>
        <v/>
      </c>
      <c r="M1209" s="6">
        <f>'Home-Conversion'!N175</f>
        <v/>
      </c>
      <c r="N1209" s="3">
        <f>'Home-Conversion'!O175</f>
        <v/>
      </c>
      <c r="O1209" s="3">
        <f>'Home-Conversion'!P175</f>
        <v/>
      </c>
    </row>
    <row r="1210" ht="18" customHeight="1" s="96">
      <c r="A1210" s="93" t="inlineStr">
        <is>
          <t>Person C</t>
        </is>
      </c>
      <c r="B1210" s="93">
        <f>'Home-Conversion'!A176</f>
        <v/>
      </c>
      <c r="C1210" s="8">
        <f>'Home-Conversion'!B176</f>
        <v/>
      </c>
      <c r="D1210" s="8">
        <f>'Home-Conversion'!C176</f>
        <v/>
      </c>
      <c r="E1210" s="8">
        <f>'Home-Conversion'!D176</f>
        <v/>
      </c>
      <c r="F1210" s="8">
        <f>'Home-Conversion'!E176</f>
        <v/>
      </c>
      <c r="G1210" s="9">
        <f>'Home-Conversion'!F176</f>
        <v/>
      </c>
      <c r="H1210" s="8">
        <f>'Home-Conversion'!G176</f>
        <v/>
      </c>
      <c r="I1210" s="10">
        <f>'Home-Conversion'!H176</f>
        <v/>
      </c>
      <c r="J1210" s="10">
        <f>'Home-Conversion'!I176</f>
        <v/>
      </c>
      <c r="K1210" s="11">
        <f>'Home-Conversion'!J176</f>
        <v/>
      </c>
      <c r="L1210" s="12">
        <f>'Home-Conversion'!K176</f>
        <v/>
      </c>
      <c r="M1210" s="11">
        <f>'Home-Conversion'!N176</f>
        <v/>
      </c>
      <c r="N1210" s="8">
        <f>'Home-Conversion'!O176</f>
        <v/>
      </c>
      <c r="O1210" s="8">
        <f>'Home-Conversion'!P176</f>
        <v/>
      </c>
    </row>
    <row r="1211" ht="18" customHeight="1" s="96">
      <c r="A1211" s="2" t="inlineStr">
        <is>
          <t>Person C</t>
        </is>
      </c>
      <c r="B1211" s="2">
        <f>'Home-Conversion'!A177</f>
        <v/>
      </c>
      <c r="C1211" s="3">
        <f>'Home-Conversion'!B177</f>
        <v/>
      </c>
      <c r="D1211" s="3">
        <f>'Home-Conversion'!C177</f>
        <v/>
      </c>
      <c r="E1211" s="3">
        <f>'Home-Conversion'!D177</f>
        <v/>
      </c>
      <c r="F1211" s="3">
        <f>'Home-Conversion'!E177</f>
        <v/>
      </c>
      <c r="G1211" s="4">
        <f>'Home-Conversion'!F177</f>
        <v/>
      </c>
      <c r="H1211" s="3">
        <f>'Home-Conversion'!G177</f>
        <v/>
      </c>
      <c r="I1211" s="5">
        <f>'Home-Conversion'!H177</f>
        <v/>
      </c>
      <c r="J1211" s="5">
        <f>'Home-Conversion'!I177</f>
        <v/>
      </c>
      <c r="K1211" s="6">
        <f>'Home-Conversion'!J177</f>
        <v/>
      </c>
      <c r="L1211" s="13">
        <f>'Home-Conversion'!K177</f>
        <v/>
      </c>
      <c r="M1211" s="6">
        <f>'Home-Conversion'!N177</f>
        <v/>
      </c>
      <c r="N1211" s="3">
        <f>'Home-Conversion'!O177</f>
        <v/>
      </c>
      <c r="O1211" s="3">
        <f>'Home-Conversion'!P177</f>
        <v/>
      </c>
    </row>
    <row r="1212" ht="18" customHeight="1" s="96">
      <c r="A1212" s="93" t="inlineStr">
        <is>
          <t>Person C</t>
        </is>
      </c>
      <c r="B1212" s="93">
        <f>'Home-Conversion'!A178</f>
        <v/>
      </c>
      <c r="C1212" s="8">
        <f>'Home-Conversion'!B178</f>
        <v/>
      </c>
      <c r="D1212" s="8">
        <f>'Home-Conversion'!C178</f>
        <v/>
      </c>
      <c r="E1212" s="8">
        <f>'Home-Conversion'!D178</f>
        <v/>
      </c>
      <c r="F1212" s="8">
        <f>'Home-Conversion'!E178</f>
        <v/>
      </c>
      <c r="G1212" s="9">
        <f>'Home-Conversion'!F178</f>
        <v/>
      </c>
      <c r="H1212" s="8">
        <f>'Home-Conversion'!G178</f>
        <v/>
      </c>
      <c r="I1212" s="10">
        <f>'Home-Conversion'!H178</f>
        <v/>
      </c>
      <c r="J1212" s="10">
        <f>'Home-Conversion'!I178</f>
        <v/>
      </c>
      <c r="K1212" s="11">
        <f>'Home-Conversion'!J178</f>
        <v/>
      </c>
      <c r="L1212" s="12">
        <f>'Home-Conversion'!K178</f>
        <v/>
      </c>
      <c r="M1212" s="11">
        <f>'Home-Conversion'!N178</f>
        <v/>
      </c>
      <c r="N1212" s="8">
        <f>'Home-Conversion'!O178</f>
        <v/>
      </c>
      <c r="O1212" s="8">
        <f>'Home-Conversion'!P178</f>
        <v/>
      </c>
    </row>
    <row r="1213" ht="18" customHeight="1" s="96">
      <c r="A1213" s="2" t="inlineStr">
        <is>
          <t>Person C</t>
        </is>
      </c>
      <c r="B1213" s="2">
        <f>'Home-Conversion'!A179</f>
        <v/>
      </c>
      <c r="C1213" s="3">
        <f>'Home-Conversion'!B179</f>
        <v/>
      </c>
      <c r="D1213" s="3">
        <f>'Home-Conversion'!C179</f>
        <v/>
      </c>
      <c r="E1213" s="3">
        <f>'Home-Conversion'!D179</f>
        <v/>
      </c>
      <c r="F1213" s="3">
        <f>'Home-Conversion'!E179</f>
        <v/>
      </c>
      <c r="G1213" s="4">
        <f>'Home-Conversion'!F179</f>
        <v/>
      </c>
      <c r="H1213" s="3">
        <f>'Home-Conversion'!G179</f>
        <v/>
      </c>
      <c r="I1213" s="5">
        <f>'Home-Conversion'!H179</f>
        <v/>
      </c>
      <c r="J1213" s="5">
        <f>'Home-Conversion'!I179</f>
        <v/>
      </c>
      <c r="K1213" s="6">
        <f>'Home-Conversion'!J179</f>
        <v/>
      </c>
      <c r="L1213" s="13">
        <f>'Home-Conversion'!K179</f>
        <v/>
      </c>
      <c r="M1213" s="6">
        <f>'Home-Conversion'!N179</f>
        <v/>
      </c>
      <c r="N1213" s="3">
        <f>'Home-Conversion'!O179</f>
        <v/>
      </c>
      <c r="O1213" s="3">
        <f>'Home-Conversion'!P179</f>
        <v/>
      </c>
    </row>
    <row r="1214" ht="18" customHeight="1" s="96">
      <c r="A1214" s="93" t="inlineStr">
        <is>
          <t>Person C</t>
        </is>
      </c>
      <c r="B1214" s="93">
        <f>'Home-Conversion'!A180</f>
        <v/>
      </c>
      <c r="C1214" s="8">
        <f>'Home-Conversion'!B180</f>
        <v/>
      </c>
      <c r="D1214" s="8">
        <f>'Home-Conversion'!C180</f>
        <v/>
      </c>
      <c r="E1214" s="8">
        <f>'Home-Conversion'!D180</f>
        <v/>
      </c>
      <c r="F1214" s="8">
        <f>'Home-Conversion'!E180</f>
        <v/>
      </c>
      <c r="G1214" s="9">
        <f>'Home-Conversion'!F180</f>
        <v/>
      </c>
      <c r="H1214" s="8">
        <f>'Home-Conversion'!G180</f>
        <v/>
      </c>
      <c r="I1214" s="10">
        <f>'Home-Conversion'!H180</f>
        <v/>
      </c>
      <c r="J1214" s="10">
        <f>'Home-Conversion'!I180</f>
        <v/>
      </c>
      <c r="K1214" s="11">
        <f>'Home-Conversion'!J180</f>
        <v/>
      </c>
      <c r="L1214" s="12">
        <f>'Home-Conversion'!K180</f>
        <v/>
      </c>
      <c r="M1214" s="11">
        <f>'Home-Conversion'!N180</f>
        <v/>
      </c>
      <c r="N1214" s="8">
        <f>'Home-Conversion'!O180</f>
        <v/>
      </c>
      <c r="O1214" s="8">
        <f>'Home-Conversion'!P180</f>
        <v/>
      </c>
    </row>
    <row r="1215" ht="18" customHeight="1" s="96">
      <c r="A1215" s="2" t="inlineStr">
        <is>
          <t>Person C</t>
        </is>
      </c>
      <c r="B1215" s="2">
        <f>'Home-Conversion'!A181</f>
        <v/>
      </c>
      <c r="C1215" s="3">
        <f>'Home-Conversion'!B181</f>
        <v/>
      </c>
      <c r="D1215" s="3">
        <f>'Home-Conversion'!C181</f>
        <v/>
      </c>
      <c r="E1215" s="3">
        <f>'Home-Conversion'!D181</f>
        <v/>
      </c>
      <c r="F1215" s="3">
        <f>'Home-Conversion'!E181</f>
        <v/>
      </c>
      <c r="G1215" s="4">
        <f>'Home-Conversion'!F181</f>
        <v/>
      </c>
      <c r="H1215" s="3">
        <f>'Home-Conversion'!G181</f>
        <v/>
      </c>
      <c r="I1215" s="5">
        <f>'Home-Conversion'!H181</f>
        <v/>
      </c>
      <c r="J1215" s="5">
        <f>'Home-Conversion'!I181</f>
        <v/>
      </c>
      <c r="K1215" s="6">
        <f>'Home-Conversion'!J181</f>
        <v/>
      </c>
      <c r="L1215" s="13">
        <f>'Home-Conversion'!K181</f>
        <v/>
      </c>
      <c r="M1215" s="6">
        <f>'Home-Conversion'!N181</f>
        <v/>
      </c>
      <c r="N1215" s="3">
        <f>'Home-Conversion'!O181</f>
        <v/>
      </c>
      <c r="O1215" s="3">
        <f>'Home-Conversion'!P181</f>
        <v/>
      </c>
    </row>
    <row r="1216" ht="18" customHeight="1" s="96">
      <c r="A1216" s="93" t="inlineStr">
        <is>
          <t>Person C</t>
        </is>
      </c>
      <c r="B1216" s="93">
        <f>'Home-Conversion'!A182</f>
        <v/>
      </c>
      <c r="C1216" s="8">
        <f>'Home-Conversion'!B182</f>
        <v/>
      </c>
      <c r="D1216" s="8">
        <f>'Home-Conversion'!C182</f>
        <v/>
      </c>
      <c r="E1216" s="8">
        <f>'Home-Conversion'!D182</f>
        <v/>
      </c>
      <c r="F1216" s="8">
        <f>'Home-Conversion'!E182</f>
        <v/>
      </c>
      <c r="G1216" s="9">
        <f>'Home-Conversion'!F182</f>
        <v/>
      </c>
      <c r="H1216" s="8">
        <f>'Home-Conversion'!G182</f>
        <v/>
      </c>
      <c r="I1216" s="10">
        <f>'Home-Conversion'!H182</f>
        <v/>
      </c>
      <c r="J1216" s="10">
        <f>'Home-Conversion'!I182</f>
        <v/>
      </c>
      <c r="K1216" s="11">
        <f>'Home-Conversion'!J182</f>
        <v/>
      </c>
      <c r="L1216" s="12">
        <f>'Home-Conversion'!K182</f>
        <v/>
      </c>
      <c r="M1216" s="11">
        <f>'Home-Conversion'!N182</f>
        <v/>
      </c>
      <c r="N1216" s="8">
        <f>'Home-Conversion'!O182</f>
        <v/>
      </c>
      <c r="O1216" s="8">
        <f>'Home-Conversion'!P182</f>
        <v/>
      </c>
    </row>
    <row r="1217" ht="18" customHeight="1" s="96">
      <c r="A1217" s="2" t="inlineStr">
        <is>
          <t>Person C</t>
        </is>
      </c>
      <c r="B1217" s="2">
        <f>'Home-Conversion'!A183</f>
        <v/>
      </c>
      <c r="C1217" s="3">
        <f>'Home-Conversion'!B183</f>
        <v/>
      </c>
      <c r="D1217" s="3">
        <f>'Home-Conversion'!C183</f>
        <v/>
      </c>
      <c r="E1217" s="3">
        <f>'Home-Conversion'!D183</f>
        <v/>
      </c>
      <c r="F1217" s="3">
        <f>'Home-Conversion'!E183</f>
        <v/>
      </c>
      <c r="G1217" s="4">
        <f>'Home-Conversion'!F183</f>
        <v/>
      </c>
      <c r="H1217" s="3">
        <f>'Home-Conversion'!G183</f>
        <v/>
      </c>
      <c r="I1217" s="5">
        <f>'Home-Conversion'!H183</f>
        <v/>
      </c>
      <c r="J1217" s="5">
        <f>'Home-Conversion'!I183</f>
        <v/>
      </c>
      <c r="K1217" s="6">
        <f>'Home-Conversion'!J183</f>
        <v/>
      </c>
      <c r="L1217" s="13">
        <f>'Home-Conversion'!K183</f>
        <v/>
      </c>
      <c r="M1217" s="6">
        <f>'Home-Conversion'!N183</f>
        <v/>
      </c>
      <c r="N1217" s="3">
        <f>'Home-Conversion'!O183</f>
        <v/>
      </c>
      <c r="O1217" s="3">
        <f>'Home-Conversion'!P183</f>
        <v/>
      </c>
    </row>
    <row r="1218" ht="18" customHeight="1" s="96">
      <c r="A1218" s="93" t="inlineStr">
        <is>
          <t>Person C</t>
        </is>
      </c>
      <c r="B1218" s="93">
        <f>'Home-Conversion'!A184</f>
        <v/>
      </c>
      <c r="C1218" s="8">
        <f>'Home-Conversion'!B184</f>
        <v/>
      </c>
      <c r="D1218" s="8">
        <f>'Home-Conversion'!C184</f>
        <v/>
      </c>
      <c r="E1218" s="8">
        <f>'Home-Conversion'!D184</f>
        <v/>
      </c>
      <c r="F1218" s="8">
        <f>'Home-Conversion'!E184</f>
        <v/>
      </c>
      <c r="G1218" s="9">
        <f>'Home-Conversion'!F184</f>
        <v/>
      </c>
      <c r="H1218" s="8">
        <f>'Home-Conversion'!G184</f>
        <v/>
      </c>
      <c r="I1218" s="10">
        <f>'Home-Conversion'!H184</f>
        <v/>
      </c>
      <c r="J1218" s="10">
        <f>'Home-Conversion'!I184</f>
        <v/>
      </c>
      <c r="K1218" s="11">
        <f>'Home-Conversion'!J184</f>
        <v/>
      </c>
      <c r="L1218" s="12">
        <f>'Home-Conversion'!K184</f>
        <v/>
      </c>
      <c r="M1218" s="11">
        <f>'Home-Conversion'!N184</f>
        <v/>
      </c>
      <c r="N1218" s="8">
        <f>'Home-Conversion'!O184</f>
        <v/>
      </c>
      <c r="O1218" s="8">
        <f>'Home-Conversion'!P184</f>
        <v/>
      </c>
    </row>
    <row r="1219" ht="18" customHeight="1" s="96">
      <c r="A1219" s="2" t="inlineStr">
        <is>
          <t>Person C</t>
        </is>
      </c>
      <c r="B1219" s="2">
        <f>'Home-Conversion'!A185</f>
        <v/>
      </c>
      <c r="C1219" s="3">
        <f>'Home-Conversion'!B185</f>
        <v/>
      </c>
      <c r="D1219" s="3">
        <f>'Home-Conversion'!C185</f>
        <v/>
      </c>
      <c r="E1219" s="3">
        <f>'Home-Conversion'!D185</f>
        <v/>
      </c>
      <c r="F1219" s="3">
        <f>'Home-Conversion'!E185</f>
        <v/>
      </c>
      <c r="G1219" s="4">
        <f>'Home-Conversion'!F185</f>
        <v/>
      </c>
      <c r="H1219" s="3">
        <f>'Home-Conversion'!G185</f>
        <v/>
      </c>
      <c r="I1219" s="5">
        <f>'Home-Conversion'!H185</f>
        <v/>
      </c>
      <c r="J1219" s="5">
        <f>'Home-Conversion'!I185</f>
        <v/>
      </c>
      <c r="K1219" s="6">
        <f>'Home-Conversion'!J185</f>
        <v/>
      </c>
      <c r="L1219" s="13">
        <f>'Home-Conversion'!K185</f>
        <v/>
      </c>
      <c r="M1219" s="6">
        <f>'Home-Conversion'!N185</f>
        <v/>
      </c>
      <c r="N1219" s="3">
        <f>'Home-Conversion'!O185</f>
        <v/>
      </c>
      <c r="O1219" s="3">
        <f>'Home-Conversion'!P185</f>
        <v/>
      </c>
    </row>
    <row r="1220" ht="18" customHeight="1" s="96">
      <c r="A1220" s="93" t="inlineStr">
        <is>
          <t>Person C</t>
        </is>
      </c>
      <c r="B1220" s="93">
        <f>'Home-Conversion'!A186</f>
        <v/>
      </c>
      <c r="C1220" s="8">
        <f>'Home-Conversion'!B186</f>
        <v/>
      </c>
      <c r="D1220" s="8">
        <f>'Home-Conversion'!C186</f>
        <v/>
      </c>
      <c r="E1220" s="8">
        <f>'Home-Conversion'!D186</f>
        <v/>
      </c>
      <c r="F1220" s="8">
        <f>'Home-Conversion'!E186</f>
        <v/>
      </c>
      <c r="G1220" s="9">
        <f>'Home-Conversion'!F186</f>
        <v/>
      </c>
      <c r="H1220" s="8">
        <f>'Home-Conversion'!G186</f>
        <v/>
      </c>
      <c r="I1220" s="10">
        <f>'Home-Conversion'!H186</f>
        <v/>
      </c>
      <c r="J1220" s="10">
        <f>'Home-Conversion'!I186</f>
        <v/>
      </c>
      <c r="K1220" s="11">
        <f>'Home-Conversion'!J186</f>
        <v/>
      </c>
      <c r="L1220" s="12">
        <f>'Home-Conversion'!K186</f>
        <v/>
      </c>
      <c r="M1220" s="11">
        <f>'Home-Conversion'!N186</f>
        <v/>
      </c>
      <c r="N1220" s="8">
        <f>'Home-Conversion'!O186</f>
        <v/>
      </c>
      <c r="O1220" s="8">
        <f>'Home-Conversion'!P186</f>
        <v/>
      </c>
    </row>
    <row r="1221" ht="18" customHeight="1" s="96">
      <c r="A1221" s="2" t="inlineStr">
        <is>
          <t>Person C</t>
        </is>
      </c>
      <c r="B1221" s="2">
        <f>'Home-Conversion'!A187</f>
        <v/>
      </c>
      <c r="C1221" s="3">
        <f>'Home-Conversion'!B187</f>
        <v/>
      </c>
      <c r="D1221" s="3">
        <f>'Home-Conversion'!C187</f>
        <v/>
      </c>
      <c r="E1221" s="3">
        <f>'Home-Conversion'!D187</f>
        <v/>
      </c>
      <c r="F1221" s="3">
        <f>'Home-Conversion'!E187</f>
        <v/>
      </c>
      <c r="G1221" s="4">
        <f>'Home-Conversion'!F187</f>
        <v/>
      </c>
      <c r="H1221" s="3">
        <f>'Home-Conversion'!G187</f>
        <v/>
      </c>
      <c r="I1221" s="5">
        <f>'Home-Conversion'!H187</f>
        <v/>
      </c>
      <c r="J1221" s="5">
        <f>'Home-Conversion'!I187</f>
        <v/>
      </c>
      <c r="K1221" s="6">
        <f>'Home-Conversion'!J187</f>
        <v/>
      </c>
      <c r="L1221" s="13">
        <f>'Home-Conversion'!K187</f>
        <v/>
      </c>
      <c r="M1221" s="6">
        <f>'Home-Conversion'!N187</f>
        <v/>
      </c>
      <c r="N1221" s="3">
        <f>'Home-Conversion'!O187</f>
        <v/>
      </c>
      <c r="O1221" s="3">
        <f>'Home-Conversion'!P187</f>
        <v/>
      </c>
    </row>
    <row r="1222" ht="18" customHeight="1" s="96">
      <c r="A1222" s="93" t="inlineStr">
        <is>
          <t>Person C</t>
        </is>
      </c>
      <c r="B1222" s="93">
        <f>'Home-Conversion'!A188</f>
        <v/>
      </c>
      <c r="C1222" s="8">
        <f>'Home-Conversion'!B188</f>
        <v/>
      </c>
      <c r="D1222" s="8">
        <f>'Home-Conversion'!C188</f>
        <v/>
      </c>
      <c r="E1222" s="8">
        <f>'Home-Conversion'!D188</f>
        <v/>
      </c>
      <c r="F1222" s="8">
        <f>'Home-Conversion'!E188</f>
        <v/>
      </c>
      <c r="G1222" s="9">
        <f>'Home-Conversion'!F188</f>
        <v/>
      </c>
      <c r="H1222" s="8">
        <f>'Home-Conversion'!G188</f>
        <v/>
      </c>
      <c r="I1222" s="10">
        <f>'Home-Conversion'!H188</f>
        <v/>
      </c>
      <c r="J1222" s="10">
        <f>'Home-Conversion'!I188</f>
        <v/>
      </c>
      <c r="K1222" s="11">
        <f>'Home-Conversion'!J188</f>
        <v/>
      </c>
      <c r="L1222" s="12">
        <f>'Home-Conversion'!K188</f>
        <v/>
      </c>
      <c r="M1222" s="11">
        <f>'Home-Conversion'!N188</f>
        <v/>
      </c>
      <c r="N1222" s="8">
        <f>'Home-Conversion'!O188</f>
        <v/>
      </c>
      <c r="O1222" s="8">
        <f>'Home-Conversion'!P188</f>
        <v/>
      </c>
    </row>
    <row r="1223" ht="18" customHeight="1" s="96">
      <c r="A1223" s="2" t="inlineStr">
        <is>
          <t>Person C</t>
        </is>
      </c>
      <c r="B1223" s="2">
        <f>'Home-Conversion'!A189</f>
        <v/>
      </c>
      <c r="C1223" s="3">
        <f>'Home-Conversion'!B189</f>
        <v/>
      </c>
      <c r="D1223" s="3">
        <f>'Home-Conversion'!C189</f>
        <v/>
      </c>
      <c r="E1223" s="3">
        <f>'Home-Conversion'!D189</f>
        <v/>
      </c>
      <c r="F1223" s="3">
        <f>'Home-Conversion'!E189</f>
        <v/>
      </c>
      <c r="G1223" s="4">
        <f>'Home-Conversion'!F189</f>
        <v/>
      </c>
      <c r="H1223" s="3">
        <f>'Home-Conversion'!G189</f>
        <v/>
      </c>
      <c r="I1223" s="5">
        <f>'Home-Conversion'!H189</f>
        <v/>
      </c>
      <c r="J1223" s="5">
        <f>'Home-Conversion'!I189</f>
        <v/>
      </c>
      <c r="K1223" s="6">
        <f>'Home-Conversion'!J189</f>
        <v/>
      </c>
      <c r="L1223" s="13">
        <f>'Home-Conversion'!K189</f>
        <v/>
      </c>
      <c r="M1223" s="6">
        <f>'Home-Conversion'!N189</f>
        <v/>
      </c>
      <c r="N1223" s="3">
        <f>'Home-Conversion'!O189</f>
        <v/>
      </c>
      <c r="O1223" s="3">
        <f>'Home-Conversion'!P189</f>
        <v/>
      </c>
    </row>
    <row r="1224" ht="18" customHeight="1" s="96">
      <c r="A1224" s="93" t="inlineStr">
        <is>
          <t>Person C</t>
        </is>
      </c>
      <c r="B1224" s="93">
        <f>'Home-Conversion'!A190</f>
        <v/>
      </c>
      <c r="C1224" s="8">
        <f>'Home-Conversion'!B190</f>
        <v/>
      </c>
      <c r="D1224" s="8">
        <f>'Home-Conversion'!C190</f>
        <v/>
      </c>
      <c r="E1224" s="8">
        <f>'Home-Conversion'!D190</f>
        <v/>
      </c>
      <c r="F1224" s="8">
        <f>'Home-Conversion'!E190</f>
        <v/>
      </c>
      <c r="G1224" s="9">
        <f>'Home-Conversion'!F190</f>
        <v/>
      </c>
      <c r="H1224" s="8">
        <f>'Home-Conversion'!G190</f>
        <v/>
      </c>
      <c r="I1224" s="10">
        <f>'Home-Conversion'!H190</f>
        <v/>
      </c>
      <c r="J1224" s="10">
        <f>'Home-Conversion'!I190</f>
        <v/>
      </c>
      <c r="K1224" s="11">
        <f>'Home-Conversion'!J190</f>
        <v/>
      </c>
      <c r="L1224" s="12">
        <f>'Home-Conversion'!K190</f>
        <v/>
      </c>
      <c r="M1224" s="11">
        <f>'Home-Conversion'!N190</f>
        <v/>
      </c>
      <c r="N1224" s="8">
        <f>'Home-Conversion'!O190</f>
        <v/>
      </c>
      <c r="O1224" s="8">
        <f>'Home-Conversion'!P190</f>
        <v/>
      </c>
    </row>
    <row r="1225" ht="18" customHeight="1" s="96">
      <c r="A1225" s="2" t="inlineStr">
        <is>
          <t>Person C</t>
        </is>
      </c>
      <c r="B1225" s="2">
        <f>'Home-Conversion'!A191</f>
        <v/>
      </c>
      <c r="C1225" s="3">
        <f>'Home-Conversion'!B191</f>
        <v/>
      </c>
      <c r="D1225" s="3">
        <f>'Home-Conversion'!C191</f>
        <v/>
      </c>
      <c r="E1225" s="3">
        <f>'Home-Conversion'!D191</f>
        <v/>
      </c>
      <c r="F1225" s="3">
        <f>'Home-Conversion'!E191</f>
        <v/>
      </c>
      <c r="G1225" s="4">
        <f>'Home-Conversion'!F191</f>
        <v/>
      </c>
      <c r="H1225" s="3">
        <f>'Home-Conversion'!G191</f>
        <v/>
      </c>
      <c r="I1225" s="5">
        <f>'Home-Conversion'!H191</f>
        <v/>
      </c>
      <c r="J1225" s="5">
        <f>'Home-Conversion'!I191</f>
        <v/>
      </c>
      <c r="K1225" s="6">
        <f>'Home-Conversion'!J191</f>
        <v/>
      </c>
      <c r="L1225" s="13">
        <f>'Home-Conversion'!K191</f>
        <v/>
      </c>
      <c r="M1225" s="6">
        <f>'Home-Conversion'!N191</f>
        <v/>
      </c>
      <c r="N1225" s="3">
        <f>'Home-Conversion'!O191</f>
        <v/>
      </c>
      <c r="O1225" s="3">
        <f>'Home-Conversion'!P191</f>
        <v/>
      </c>
    </row>
    <row r="1226" ht="18" customHeight="1" s="96">
      <c r="A1226" s="93" t="inlineStr">
        <is>
          <t>Person C</t>
        </is>
      </c>
      <c r="B1226" s="93">
        <f>'Home-Conversion'!A192</f>
        <v/>
      </c>
      <c r="C1226" s="8">
        <f>'Home-Conversion'!B192</f>
        <v/>
      </c>
      <c r="D1226" s="8">
        <f>'Home-Conversion'!C192</f>
        <v/>
      </c>
      <c r="E1226" s="8">
        <f>'Home-Conversion'!D192</f>
        <v/>
      </c>
      <c r="F1226" s="8">
        <f>'Home-Conversion'!E192</f>
        <v/>
      </c>
      <c r="G1226" s="9">
        <f>'Home-Conversion'!F192</f>
        <v/>
      </c>
      <c r="H1226" s="8">
        <f>'Home-Conversion'!G192</f>
        <v/>
      </c>
      <c r="I1226" s="10">
        <f>'Home-Conversion'!H192</f>
        <v/>
      </c>
      <c r="J1226" s="10">
        <f>'Home-Conversion'!I192</f>
        <v/>
      </c>
      <c r="K1226" s="11">
        <f>'Home-Conversion'!J192</f>
        <v/>
      </c>
      <c r="L1226" s="12">
        <f>'Home-Conversion'!K192</f>
        <v/>
      </c>
      <c r="M1226" s="11">
        <f>'Home-Conversion'!N192</f>
        <v/>
      </c>
      <c r="N1226" s="8">
        <f>'Home-Conversion'!O192</f>
        <v/>
      </c>
      <c r="O1226" s="8">
        <f>'Home-Conversion'!P192</f>
        <v/>
      </c>
    </row>
    <row r="1227" ht="18" customHeight="1" s="96">
      <c r="A1227" s="2" t="inlineStr">
        <is>
          <t>Person C</t>
        </is>
      </c>
      <c r="B1227" s="2">
        <f>'Home-Conversion'!A193</f>
        <v/>
      </c>
      <c r="C1227" s="3">
        <f>'Home-Conversion'!B193</f>
        <v/>
      </c>
      <c r="D1227" s="3">
        <f>'Home-Conversion'!C193</f>
        <v/>
      </c>
      <c r="E1227" s="3">
        <f>'Home-Conversion'!D193</f>
        <v/>
      </c>
      <c r="F1227" s="3">
        <f>'Home-Conversion'!E193</f>
        <v/>
      </c>
      <c r="G1227" s="4">
        <f>'Home-Conversion'!F193</f>
        <v/>
      </c>
      <c r="H1227" s="3">
        <f>'Home-Conversion'!G193</f>
        <v/>
      </c>
      <c r="I1227" s="5">
        <f>'Home-Conversion'!H193</f>
        <v/>
      </c>
      <c r="J1227" s="5">
        <f>'Home-Conversion'!I193</f>
        <v/>
      </c>
      <c r="K1227" s="6">
        <f>'Home-Conversion'!J193</f>
        <v/>
      </c>
      <c r="L1227" s="13">
        <f>'Home-Conversion'!K193</f>
        <v/>
      </c>
      <c r="M1227" s="6">
        <f>'Home-Conversion'!N193</f>
        <v/>
      </c>
      <c r="N1227" s="3">
        <f>'Home-Conversion'!O193</f>
        <v/>
      </c>
      <c r="O1227" s="3">
        <f>'Home-Conversion'!P193</f>
        <v/>
      </c>
    </row>
    <row r="1228" ht="18" customHeight="1" s="96">
      <c r="A1228" s="93" t="inlineStr">
        <is>
          <t>Person C</t>
        </is>
      </c>
      <c r="B1228" s="93">
        <f>'Home-Conversion'!A194</f>
        <v/>
      </c>
      <c r="C1228" s="8">
        <f>'Home-Conversion'!B194</f>
        <v/>
      </c>
      <c r="D1228" s="8">
        <f>'Home-Conversion'!C194</f>
        <v/>
      </c>
      <c r="E1228" s="8">
        <f>'Home-Conversion'!D194</f>
        <v/>
      </c>
      <c r="F1228" s="8">
        <f>'Home-Conversion'!E194</f>
        <v/>
      </c>
      <c r="G1228" s="9">
        <f>'Home-Conversion'!F194</f>
        <v/>
      </c>
      <c r="H1228" s="8">
        <f>'Home-Conversion'!G194</f>
        <v/>
      </c>
      <c r="I1228" s="10">
        <f>'Home-Conversion'!H194</f>
        <v/>
      </c>
      <c r="J1228" s="10">
        <f>'Home-Conversion'!I194</f>
        <v/>
      </c>
      <c r="K1228" s="11">
        <f>'Home-Conversion'!J194</f>
        <v/>
      </c>
      <c r="L1228" s="12">
        <f>'Home-Conversion'!K194</f>
        <v/>
      </c>
      <c r="M1228" s="11">
        <f>'Home-Conversion'!N194</f>
        <v/>
      </c>
      <c r="N1228" s="8">
        <f>'Home-Conversion'!O194</f>
        <v/>
      </c>
      <c r="O1228" s="8">
        <f>'Home-Conversion'!P194</f>
        <v/>
      </c>
    </row>
    <row r="1229" ht="18" customHeight="1" s="96">
      <c r="A1229" s="2" t="inlineStr">
        <is>
          <t>Person C</t>
        </is>
      </c>
      <c r="B1229" s="2">
        <f>'Home-Conversion'!A195</f>
        <v/>
      </c>
      <c r="C1229" s="3">
        <f>'Home-Conversion'!B195</f>
        <v/>
      </c>
      <c r="D1229" s="3">
        <f>'Home-Conversion'!C195</f>
        <v/>
      </c>
      <c r="E1229" s="3">
        <f>'Home-Conversion'!D195</f>
        <v/>
      </c>
      <c r="F1229" s="3">
        <f>'Home-Conversion'!E195</f>
        <v/>
      </c>
      <c r="G1229" s="4">
        <f>'Home-Conversion'!F195</f>
        <v/>
      </c>
      <c r="H1229" s="3">
        <f>'Home-Conversion'!G195</f>
        <v/>
      </c>
      <c r="I1229" s="5">
        <f>'Home-Conversion'!H195</f>
        <v/>
      </c>
      <c r="J1229" s="5">
        <f>'Home-Conversion'!I195</f>
        <v/>
      </c>
      <c r="K1229" s="6">
        <f>'Home-Conversion'!J195</f>
        <v/>
      </c>
      <c r="L1229" s="13">
        <f>'Home-Conversion'!K195</f>
        <v/>
      </c>
      <c r="M1229" s="6">
        <f>'Home-Conversion'!N195</f>
        <v/>
      </c>
      <c r="N1229" s="3">
        <f>'Home-Conversion'!O195</f>
        <v/>
      </c>
      <c r="O1229" s="3">
        <f>'Home-Conversion'!P195</f>
        <v/>
      </c>
    </row>
    <row r="1230" ht="18" customHeight="1" s="96">
      <c r="A1230" s="93" t="inlineStr">
        <is>
          <t>Person C</t>
        </is>
      </c>
      <c r="B1230" s="93">
        <f>'Home-Conversion'!A196</f>
        <v/>
      </c>
      <c r="C1230" s="8">
        <f>'Home-Conversion'!B196</f>
        <v/>
      </c>
      <c r="D1230" s="8">
        <f>'Home-Conversion'!C196</f>
        <v/>
      </c>
      <c r="E1230" s="8">
        <f>'Home-Conversion'!D196</f>
        <v/>
      </c>
      <c r="F1230" s="8">
        <f>'Home-Conversion'!E196</f>
        <v/>
      </c>
      <c r="G1230" s="9">
        <f>'Home-Conversion'!F196</f>
        <v/>
      </c>
      <c r="H1230" s="8">
        <f>'Home-Conversion'!G196</f>
        <v/>
      </c>
      <c r="I1230" s="10">
        <f>'Home-Conversion'!H196</f>
        <v/>
      </c>
      <c r="J1230" s="10">
        <f>'Home-Conversion'!I196</f>
        <v/>
      </c>
      <c r="K1230" s="11">
        <f>'Home-Conversion'!J196</f>
        <v/>
      </c>
      <c r="L1230" s="12">
        <f>'Home-Conversion'!K196</f>
        <v/>
      </c>
      <c r="M1230" s="11">
        <f>'Home-Conversion'!N196</f>
        <v/>
      </c>
      <c r="N1230" s="8">
        <f>'Home-Conversion'!O196</f>
        <v/>
      </c>
      <c r="O1230" s="8">
        <f>'Home-Conversion'!P196</f>
        <v/>
      </c>
    </row>
    <row r="1231" ht="18" customHeight="1" s="96">
      <c r="A1231" s="2" t="inlineStr">
        <is>
          <t>Person C</t>
        </is>
      </c>
      <c r="B1231" s="2">
        <f>'Home-Conversion'!A197</f>
        <v/>
      </c>
      <c r="C1231" s="3">
        <f>'Home-Conversion'!B197</f>
        <v/>
      </c>
      <c r="D1231" s="3">
        <f>'Home-Conversion'!C197</f>
        <v/>
      </c>
      <c r="E1231" s="3">
        <f>'Home-Conversion'!D197</f>
        <v/>
      </c>
      <c r="F1231" s="3">
        <f>'Home-Conversion'!E197</f>
        <v/>
      </c>
      <c r="G1231" s="4">
        <f>'Home-Conversion'!F197</f>
        <v/>
      </c>
      <c r="H1231" s="3">
        <f>'Home-Conversion'!G197</f>
        <v/>
      </c>
      <c r="I1231" s="5">
        <f>'Home-Conversion'!H197</f>
        <v/>
      </c>
      <c r="J1231" s="5">
        <f>'Home-Conversion'!I197</f>
        <v/>
      </c>
      <c r="K1231" s="6">
        <f>'Home-Conversion'!J197</f>
        <v/>
      </c>
      <c r="L1231" s="13">
        <f>'Home-Conversion'!K197</f>
        <v/>
      </c>
      <c r="M1231" s="6">
        <f>'Home-Conversion'!N197</f>
        <v/>
      </c>
      <c r="N1231" s="3">
        <f>'Home-Conversion'!O197</f>
        <v/>
      </c>
      <c r="O1231" s="3">
        <f>'Home-Conversion'!P197</f>
        <v/>
      </c>
    </row>
    <row r="1232" ht="18" customHeight="1" s="96">
      <c r="A1232" s="93" t="inlineStr">
        <is>
          <t>Person C</t>
        </is>
      </c>
      <c r="B1232" s="93">
        <f>'Home-Conversion'!A198</f>
        <v/>
      </c>
      <c r="C1232" s="8">
        <f>'Home-Conversion'!B198</f>
        <v/>
      </c>
      <c r="D1232" s="8">
        <f>'Home-Conversion'!C198</f>
        <v/>
      </c>
      <c r="E1232" s="8">
        <f>'Home-Conversion'!D198</f>
        <v/>
      </c>
      <c r="F1232" s="8">
        <f>'Home-Conversion'!E198</f>
        <v/>
      </c>
      <c r="G1232" s="9">
        <f>'Home-Conversion'!F198</f>
        <v/>
      </c>
      <c r="H1232" s="8">
        <f>'Home-Conversion'!G198</f>
        <v/>
      </c>
      <c r="I1232" s="10">
        <f>'Home-Conversion'!H198</f>
        <v/>
      </c>
      <c r="J1232" s="10">
        <f>'Home-Conversion'!I198</f>
        <v/>
      </c>
      <c r="K1232" s="11">
        <f>'Home-Conversion'!J198</f>
        <v/>
      </c>
      <c r="L1232" s="12">
        <f>'Home-Conversion'!K198</f>
        <v/>
      </c>
      <c r="M1232" s="11">
        <f>'Home-Conversion'!N198</f>
        <v/>
      </c>
      <c r="N1232" s="8">
        <f>'Home-Conversion'!O198</f>
        <v/>
      </c>
      <c r="O1232" s="8">
        <f>'Home-Conversion'!P198</f>
        <v/>
      </c>
    </row>
    <row r="1233" ht="18" customHeight="1" s="96">
      <c r="A1233" s="2" t="inlineStr">
        <is>
          <t>Person C</t>
        </is>
      </c>
      <c r="B1233" s="2">
        <f>'Home-Conversion'!A199</f>
        <v/>
      </c>
      <c r="C1233" s="3">
        <f>'Home-Conversion'!B199</f>
        <v/>
      </c>
      <c r="D1233" s="3">
        <f>'Home-Conversion'!C199</f>
        <v/>
      </c>
      <c r="E1233" s="3">
        <f>'Home-Conversion'!D199</f>
        <v/>
      </c>
      <c r="F1233" s="3">
        <f>'Home-Conversion'!E199</f>
        <v/>
      </c>
      <c r="G1233" s="4">
        <f>'Home-Conversion'!F199</f>
        <v/>
      </c>
      <c r="H1233" s="3">
        <f>'Home-Conversion'!G199</f>
        <v/>
      </c>
      <c r="I1233" s="5">
        <f>'Home-Conversion'!H199</f>
        <v/>
      </c>
      <c r="J1233" s="5">
        <f>'Home-Conversion'!I199</f>
        <v/>
      </c>
      <c r="K1233" s="6">
        <f>'Home-Conversion'!J199</f>
        <v/>
      </c>
      <c r="L1233" s="13">
        <f>'Home-Conversion'!K199</f>
        <v/>
      </c>
      <c r="M1233" s="6">
        <f>'Home-Conversion'!N199</f>
        <v/>
      </c>
      <c r="N1233" s="3">
        <f>'Home-Conversion'!O199</f>
        <v/>
      </c>
      <c r="O1233" s="3">
        <f>'Home-Conversion'!P199</f>
        <v/>
      </c>
    </row>
    <row r="1234" ht="18" customHeight="1" s="96">
      <c r="A1234" s="93" t="inlineStr">
        <is>
          <t>Person C</t>
        </is>
      </c>
      <c r="B1234" s="93">
        <f>'Home-Conversion'!A200</f>
        <v/>
      </c>
      <c r="C1234" s="8">
        <f>'Home-Conversion'!B200</f>
        <v/>
      </c>
      <c r="D1234" s="8">
        <f>'Home-Conversion'!C200</f>
        <v/>
      </c>
      <c r="E1234" s="8">
        <f>'Home-Conversion'!D200</f>
        <v/>
      </c>
      <c r="F1234" s="8">
        <f>'Home-Conversion'!E200</f>
        <v/>
      </c>
      <c r="G1234" s="9">
        <f>'Home-Conversion'!F200</f>
        <v/>
      </c>
      <c r="H1234" s="8">
        <f>'Home-Conversion'!G200</f>
        <v/>
      </c>
      <c r="I1234" s="10">
        <f>'Home-Conversion'!H200</f>
        <v/>
      </c>
      <c r="J1234" s="10">
        <f>'Home-Conversion'!I200</f>
        <v/>
      </c>
      <c r="K1234" s="11">
        <f>'Home-Conversion'!J200</f>
        <v/>
      </c>
      <c r="L1234" s="12">
        <f>'Home-Conversion'!K200</f>
        <v/>
      </c>
      <c r="M1234" s="11">
        <f>'Home-Conversion'!N200</f>
        <v/>
      </c>
      <c r="N1234" s="8">
        <f>'Home-Conversion'!O200</f>
        <v/>
      </c>
      <c r="O1234" s="8">
        <f>'Home-Conversion'!P200</f>
        <v/>
      </c>
    </row>
    <row r="1235" ht="18" customHeight="1" s="96">
      <c r="A1235" s="2" t="inlineStr">
        <is>
          <t>Person C</t>
        </is>
      </c>
      <c r="B1235" s="2">
        <f>'Home-Conversion'!A201</f>
        <v/>
      </c>
      <c r="C1235" s="3">
        <f>'Home-Conversion'!B201</f>
        <v/>
      </c>
      <c r="D1235" s="3">
        <f>'Home-Conversion'!C201</f>
        <v/>
      </c>
      <c r="E1235" s="3">
        <f>'Home-Conversion'!D201</f>
        <v/>
      </c>
      <c r="F1235" s="3">
        <f>'Home-Conversion'!E201</f>
        <v/>
      </c>
      <c r="G1235" s="4">
        <f>'Home-Conversion'!F201</f>
        <v/>
      </c>
      <c r="H1235" s="3">
        <f>'Home-Conversion'!G201</f>
        <v/>
      </c>
      <c r="I1235" s="5">
        <f>'Home-Conversion'!H201</f>
        <v/>
      </c>
      <c r="J1235" s="5">
        <f>'Home-Conversion'!I201</f>
        <v/>
      </c>
      <c r="K1235" s="6">
        <f>'Home-Conversion'!J201</f>
        <v/>
      </c>
      <c r="L1235" s="13">
        <f>'Home-Conversion'!K201</f>
        <v/>
      </c>
      <c r="M1235" s="6">
        <f>'Home-Conversion'!N201</f>
        <v/>
      </c>
      <c r="N1235" s="3">
        <f>'Home-Conversion'!O201</f>
        <v/>
      </c>
      <c r="O1235" s="3">
        <f>'Home-Conversion'!P201</f>
        <v/>
      </c>
    </row>
    <row r="1236" ht="21.75" customHeight="1" s="96">
      <c r="A1236" s="93" t="inlineStr">
        <is>
          <t>Person C</t>
        </is>
      </c>
      <c r="B1236" s="94" t="n"/>
      <c r="C1236" s="94" t="n"/>
      <c r="D1236" s="94" t="n"/>
      <c r="E1236" s="94" t="n"/>
      <c r="F1236" s="94" t="n"/>
      <c r="G1236" s="94" t="n"/>
      <c r="H1236" s="95" t="n"/>
      <c r="I1236" s="10">
        <f>'Home-Conversion'!H202</f>
        <v/>
      </c>
      <c r="J1236" s="10">
        <f>'Home-Conversion'!I202</f>
        <v/>
      </c>
      <c r="K1236" s="11">
        <f>'Home-Conversion'!J202</f>
        <v/>
      </c>
      <c r="L1236" s="12">
        <f>'Home-Conversion'!K202</f>
        <v/>
      </c>
      <c r="M1236" s="11">
        <f>'Home-Conversion'!N202</f>
        <v/>
      </c>
      <c r="N1236" s="8">
        <f>'Home-Conversion'!O202</f>
        <v/>
      </c>
      <c r="O1236" s="8">
        <f>'Home-Conversion'!P202</f>
        <v/>
      </c>
    </row>
    <row r="1237" ht="15" customHeight="1" s="96">
      <c r="A1237" s="21" t="inlineStr">
        <is>
          <t>GRAND TOTAL — ALL CONVERSION</t>
        </is>
      </c>
      <c r="B1237" s="94" t="n"/>
      <c r="C1237" s="94" t="n"/>
      <c r="D1237" s="94" t="n"/>
      <c r="E1237" s="94" t="n"/>
      <c r="F1237" s="94" t="n"/>
      <c r="G1237" s="94" t="n"/>
      <c r="H1237" s="95" t="n"/>
      <c r="I1237" s="24">
        <f>'Madine- Conversion'!H203+'Zarrah-Conversion'!H202+'Home-Conversion'!H203</f>
        <v/>
      </c>
      <c r="J1237" s="24">
        <f>'Madine- Conversion'!I203+'Zarrah-Conversion'!I202+'Home-Conversion'!I203</f>
        <v/>
      </c>
      <c r="K1237" s="22" t="n"/>
      <c r="L1237" s="22" t="n"/>
      <c r="M1237" s="22" t="n"/>
      <c r="N1237" s="22" t="n"/>
      <c r="O1237" s="22" t="n"/>
    </row>
  </sheetData>
  <mergeCells count="10">
    <mergeCell ref="A631:G631"/>
    <mergeCell ref="A1236:H1236"/>
    <mergeCell ref="A29:L29"/>
    <mergeCell ref="A2:O2"/>
    <mergeCell ref="A634:O634"/>
    <mergeCell ref="A1:O1"/>
    <mergeCell ref="A5:O5"/>
    <mergeCell ref="A30:C30"/>
    <mergeCell ref="A18:O18"/>
    <mergeCell ref="A4:O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2026-04-07T09:58:29Z</dcterms:created>
  <dcterms:modified xmlns:dcterms="http://purl.org/dc/terms/" xmlns:xsi="http://www.w3.org/2001/XMLSchema-instance" xsi:type="dcterms:W3CDTF">2026-05-07T11:34:24Z</dcterms:modified>
  <cp:lastModifiedBy>Jon Miclat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0x010100CC9EA81D12B1294989889E6D3C6E5C36</vt:lpwstr>
  </property>
</Properties>
</file>